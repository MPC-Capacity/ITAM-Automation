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cro\Final Updated Macro\"/>
    </mc:Choice>
  </mc:AlternateContent>
  <xr:revisionPtr revIDLastSave="0" documentId="13_ncr:1_{E54E04AE-874C-4E24-B251-0D9CACA55FA8}" xr6:coauthVersionLast="46" xr6:coauthVersionMax="46" xr10:uidLastSave="{00000000-0000-0000-0000-000000000000}"/>
  <bookViews>
    <workbookView xWindow="-110" yWindow="-110" windowWidth="19420" windowHeight="10420" firstSheet="2" activeTab="2" xr2:uid="{A0ED9C47-1D73-410D-A8AC-08C60B332A40}"/>
  </bookViews>
  <sheets>
    <sheet name="Table" sheetId="1" state="veryHidden" r:id="rId1"/>
    <sheet name="Referrence" sheetId="2" state="veryHidden" r:id="rId2"/>
    <sheet name="ESL" sheetId="3" r:id="rId3"/>
  </sheets>
  <functionGroups builtInGroupCount="19"/>
  <externalReferences>
    <externalReference r:id="rId4"/>
    <externalReference r:id="rId5"/>
  </externalReferences>
  <definedNames>
    <definedName name="_xlnm._FilterDatabase" localSheetId="1" hidden="1">Referrence!$R$1:$R$28</definedName>
    <definedName name="_xlnm._FilterDatabase" localSheetId="0" hidden="1">Table!$A$1:$J$100</definedName>
    <definedName name="asset_owner">[1]Validation!$O$2:$O$5</definedName>
    <definedName name="etp_name">[2]Validation!$Y$2:$Y$30</definedName>
    <definedName name="system_role">[2]Validation!$S$2:$S$17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7" i="2" l="1"/>
  <c r="D2" i="2" l="1"/>
  <c r="B9" i="2" s="1"/>
  <c r="C2" i="2"/>
  <c r="B7" i="2" l="1"/>
  <c r="B8" i="2"/>
  <c r="B10" i="2"/>
  <c r="B13" i="2"/>
  <c r="B12" i="2"/>
  <c r="B11" i="2"/>
  <c r="W7" i="2"/>
  <c r="V7" i="2"/>
  <c r="U7" i="2"/>
  <c r="C3" i="2" l="1"/>
  <c r="N3" i="2"/>
  <c r="N4" i="2" s="1"/>
  <c r="N5" i="2" s="1"/>
  <c r="N6" i="2" s="1"/>
  <c r="N7" i="2" s="1"/>
  <c r="N8" i="2" s="1"/>
  <c r="N9" i="2" s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G83" i="1" l="1"/>
  <c r="G32" i="1"/>
  <c r="B6" i="2"/>
  <c r="C4" i="2"/>
</calcChain>
</file>

<file path=xl/sharedStrings.xml><?xml version="1.0" encoding="utf-8"?>
<sst xmlns="http://schemas.openxmlformats.org/spreadsheetml/2006/main" count="1712" uniqueCount="1091">
  <si>
    <t>New Systems</t>
  </si>
  <si>
    <t>System Name</t>
  </si>
  <si>
    <t>A</t>
  </si>
  <si>
    <t xml:space="preserve">DC Name                 </t>
  </si>
  <si>
    <t>B</t>
  </si>
  <si>
    <t xml:space="preserve">Status                  </t>
  </si>
  <si>
    <t>C</t>
  </si>
  <si>
    <t>Default</t>
  </si>
  <si>
    <t>installed in DC</t>
  </si>
  <si>
    <t>System Customers</t>
  </si>
  <si>
    <t xml:space="preserve">System Name </t>
  </si>
  <si>
    <t xml:space="preserve">Business    </t>
  </si>
  <si>
    <t>Sub-Business</t>
  </si>
  <si>
    <t xml:space="preserve">Owner Flag  </t>
  </si>
  <si>
    <t xml:space="preserve">User Flag   </t>
  </si>
  <si>
    <t>Sheet Name</t>
  </si>
  <si>
    <t>Column Header</t>
  </si>
  <si>
    <t>Column</t>
  </si>
  <si>
    <t>Marathon Petroleum</t>
  </si>
  <si>
    <t>Values</t>
  </si>
  <si>
    <t>D</t>
  </si>
  <si>
    <t>E</t>
  </si>
  <si>
    <t>Type</t>
  </si>
  <si>
    <t>New</t>
  </si>
  <si>
    <t>Attributes</t>
  </si>
  <si>
    <t>System Attributes</t>
  </si>
  <si>
    <t xml:space="preserve">Environment             </t>
  </si>
  <si>
    <t xml:space="preserve">Service Level           </t>
  </si>
  <si>
    <t xml:space="preserve">Availability            </t>
  </si>
  <si>
    <t xml:space="preserve">Impact                  </t>
  </si>
  <si>
    <t xml:space="preserve">Coverage                </t>
  </si>
  <si>
    <t>Time Zone</t>
  </si>
  <si>
    <t xml:space="preserve">OS Class                </t>
  </si>
  <si>
    <t xml:space="preserve">OS Version              </t>
  </si>
  <si>
    <t xml:space="preserve">Category                </t>
  </si>
  <si>
    <t xml:space="preserve">Security Class          </t>
  </si>
  <si>
    <t xml:space="preserve">Management Region       </t>
  </si>
  <si>
    <t>Is Virtual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</si>
  <si>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</si>
  <si>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</si>
  <si>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</si>
  <si>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</si>
  <si>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</si>
  <si>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</si>
  <si>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</si>
  <si>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</si>
  <si>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</si>
  <si>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</si>
  <si>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</si>
  <si>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User Input</t>
  </si>
  <si>
    <t>standard</t>
  </si>
  <si>
    <t>24x7 (00:00-24:00 Mon-Sun)</t>
  </si>
  <si>
    <t>(GMT-05:00) Eastern Time (US &amp; Canada)</t>
  </si>
  <si>
    <t xml:space="preserve">Server Name </t>
  </si>
  <si>
    <t>Input File: Column Header</t>
  </si>
  <si>
    <t>Input File: Column</t>
  </si>
  <si>
    <t>deinstalled</t>
  </si>
  <si>
    <t>delivered</t>
  </si>
  <si>
    <t>in production</t>
  </si>
  <si>
    <t>move to obsolescence</t>
  </si>
  <si>
    <t>move to production</t>
  </si>
  <si>
    <t>obsolete</t>
  </si>
  <si>
    <t>ordered</t>
  </si>
  <si>
    <t>out of production</t>
  </si>
  <si>
    <t>System Status</t>
  </si>
  <si>
    <t>System Type</t>
  </si>
  <si>
    <t>appliance</t>
  </si>
  <si>
    <t>atm</t>
  </si>
  <si>
    <t>bridge</t>
  </si>
  <si>
    <t>blade enclosure</t>
  </si>
  <si>
    <t>cabinet</t>
  </si>
  <si>
    <t>cluster</t>
  </si>
  <si>
    <t>cluster node</t>
  </si>
  <si>
    <t>cluster package</t>
  </si>
  <si>
    <t>console</t>
  </si>
  <si>
    <t>controller</t>
  </si>
  <si>
    <t>dummy</t>
  </si>
  <si>
    <t>farm</t>
  </si>
  <si>
    <t>firewall</t>
  </si>
  <si>
    <t>gateway</t>
  </si>
  <si>
    <t>hub</t>
  </si>
  <si>
    <t>load balancer</t>
  </si>
  <si>
    <t>mainframe</t>
  </si>
  <si>
    <t>modem</t>
  </si>
  <si>
    <t>network switch</t>
  </si>
  <si>
    <t>printer</t>
  </si>
  <si>
    <t>rack</t>
  </si>
  <si>
    <t>resource group</t>
  </si>
  <si>
    <t>router</t>
  </si>
  <si>
    <t>san switch</t>
  </si>
  <si>
    <t>server</t>
  </si>
  <si>
    <t>storage</t>
  </si>
  <si>
    <t>tape drive</t>
  </si>
  <si>
    <t>tape library</t>
  </si>
  <si>
    <t>terminal</t>
  </si>
  <si>
    <t>workstation</t>
  </si>
  <si>
    <t>Environment</t>
  </si>
  <si>
    <t>99.99</t>
  </si>
  <si>
    <t>Category</t>
  </si>
  <si>
    <t>Domain</t>
  </si>
  <si>
    <t>Maintenance/Downtime Window</t>
  </si>
  <si>
    <t>AD</t>
  </si>
  <si>
    <t>AE</t>
  </si>
  <si>
    <t>Special Handling</t>
  </si>
  <si>
    <t>System Description</t>
  </si>
  <si>
    <t>AG</t>
  </si>
  <si>
    <t>AH</t>
  </si>
  <si>
    <t>Billable</t>
  </si>
  <si>
    <t>CC</t>
  </si>
  <si>
    <t xml:space="preserve">System Name   </t>
  </si>
  <si>
    <t xml:space="preserve">Main Usage    </t>
  </si>
  <si>
    <t>Detailed Usage</t>
  </si>
  <si>
    <t>System Usages</t>
  </si>
  <si>
    <t xml:space="preserve">System Name  </t>
  </si>
  <si>
    <t xml:space="preserve">Role         </t>
  </si>
  <si>
    <t>Contact Email</t>
  </si>
  <si>
    <t>Email Notification</t>
  </si>
  <si>
    <t>Comment</t>
  </si>
  <si>
    <t>System Roles</t>
  </si>
  <si>
    <t>Customer System Owner</t>
  </si>
  <si>
    <t>Customer System Owner Backup</t>
  </si>
  <si>
    <t>Technical Owner</t>
  </si>
  <si>
    <t>Technical Owner Backup</t>
  </si>
  <si>
    <t>Primary Technical Owner</t>
  </si>
  <si>
    <t>Secondary Technical Owner</t>
  </si>
  <si>
    <t>On Site Primary</t>
  </si>
  <si>
    <t>On Site Secondary</t>
  </si>
  <si>
    <t>System Ips</t>
  </si>
  <si>
    <t xml:space="preserve">IP Type    </t>
  </si>
  <si>
    <t xml:space="preserve">IP Address </t>
  </si>
  <si>
    <t>Primary IP</t>
  </si>
  <si>
    <t>Production IP Address</t>
  </si>
  <si>
    <t>System EtPs</t>
  </si>
  <si>
    <t>EtP Name</t>
  </si>
  <si>
    <t>EtP Classification</t>
  </si>
  <si>
    <t>EtP Justification</t>
  </si>
  <si>
    <t>Patch Management</t>
  </si>
  <si>
    <t>Other</t>
  </si>
  <si>
    <t>As per the Contract, customer provided tool need to used</t>
  </si>
  <si>
    <t>Text Parameters</t>
  </si>
  <si>
    <t>Parameter Name</t>
  </si>
  <si>
    <t>Parameter Value</t>
  </si>
  <si>
    <t>Service Offering</t>
  </si>
  <si>
    <t>Application Hosting Services</t>
  </si>
  <si>
    <t>Template Name</t>
  </si>
  <si>
    <t xml:space="preserve">Service Offering </t>
  </si>
  <si>
    <t>SMC Location</t>
  </si>
  <si>
    <t>Trade</t>
  </si>
  <si>
    <t>baseline</t>
  </si>
  <si>
    <t>North America</t>
  </si>
  <si>
    <t>\Templates\ESL(New).xlsx</t>
  </si>
  <si>
    <t>S.No</t>
  </si>
  <si>
    <t>\Templates\ESL(Service Offerings).xlsx</t>
  </si>
  <si>
    <t>\Templates\ESL(Attributes).xlsx</t>
  </si>
  <si>
    <t>Selection</t>
  </si>
  <si>
    <t>Option</t>
  </si>
  <si>
    <t>Total Sheets</t>
  </si>
  <si>
    <t>Input From</t>
  </si>
  <si>
    <t>Status</t>
  </si>
  <si>
    <t>Ststem Status</t>
  </si>
  <si>
    <t>Value</t>
  </si>
  <si>
    <t>Input File - Fixed</t>
  </si>
  <si>
    <t>Input File - Condition</t>
  </si>
  <si>
    <t>Maintenance Period</t>
  </si>
  <si>
    <t>Restart/ Reboot notes</t>
  </si>
  <si>
    <t>Server purpose</t>
  </si>
  <si>
    <t xml:space="preserve">Primary Technical Contact </t>
  </si>
  <si>
    <t>Secondary Technical Contact</t>
  </si>
  <si>
    <t>Primary On-site Contact</t>
  </si>
  <si>
    <t>Secondary On-site Contact</t>
  </si>
  <si>
    <t>C2</t>
  </si>
  <si>
    <t>OS Version</t>
  </si>
  <si>
    <t>OS Class</t>
  </si>
  <si>
    <t>AIX</t>
  </si>
  <si>
    <t>BSD</t>
  </si>
  <si>
    <t>Citrix</t>
  </si>
  <si>
    <t>Cloud</t>
  </si>
  <si>
    <t>Data OnTap</t>
  </si>
  <si>
    <t>HP-UX</t>
  </si>
  <si>
    <t>IBM i</t>
  </si>
  <si>
    <t>Junos</t>
  </si>
  <si>
    <t>AIX 5.0</t>
  </si>
  <si>
    <t>Linux</t>
  </si>
  <si>
    <t>AIX 5.1</t>
  </si>
  <si>
    <t>MPE</t>
  </si>
  <si>
    <t>AIX 5.2</t>
  </si>
  <si>
    <t>Mac OS</t>
  </si>
  <si>
    <t>AIX 5.3</t>
  </si>
  <si>
    <t>NetWare</t>
  </si>
  <si>
    <t>AIX 5.4</t>
  </si>
  <si>
    <t>Network</t>
  </si>
  <si>
    <t>AIX 6.1</t>
  </si>
  <si>
    <t>NonStop</t>
  </si>
  <si>
    <t>AIX 7.1</t>
  </si>
  <si>
    <t>OpenVMS</t>
  </si>
  <si>
    <t>AIX 7.2</t>
  </si>
  <si>
    <t>Oracle VM</t>
  </si>
  <si>
    <t>Array Controller SW</t>
  </si>
  <si>
    <t>SCO Unix</t>
  </si>
  <si>
    <t>CA API Gateway Virtual Appliance</t>
  </si>
  <si>
    <t>Storage</t>
  </si>
  <si>
    <t>SunOS/Solaris</t>
  </si>
  <si>
    <t>CA Privileged Access Manager Appliance</t>
  </si>
  <si>
    <t>Tru64</t>
  </si>
  <si>
    <t>VMware</t>
  </si>
  <si>
    <t>Cisco ASA</t>
  </si>
  <si>
    <t>Windows</t>
  </si>
  <si>
    <t>Cisco AsyncOS</t>
  </si>
  <si>
    <t>z/OS</t>
  </si>
  <si>
    <t>Cisco IOS</t>
  </si>
  <si>
    <t>z/TPF</t>
  </si>
  <si>
    <t>Cisco NX-OS</t>
  </si>
  <si>
    <t>z/VM</t>
  </si>
  <si>
    <t>Cisco PIX</t>
  </si>
  <si>
    <t>z/VSE</t>
  </si>
  <si>
    <t>Cisco UCS</t>
  </si>
  <si>
    <t>Citrix NetScaler</t>
  </si>
  <si>
    <t>Citrix NetScaler SDX</t>
  </si>
  <si>
    <t>Citrix NetScaler VPX</t>
  </si>
  <si>
    <t>Citrix XenServer 5.0</t>
  </si>
  <si>
    <t>Citrix XenServer 5.5</t>
  </si>
  <si>
    <t>Citrix XenServer 5.6</t>
  </si>
  <si>
    <t>Citrix XenServer 6.0</t>
  </si>
  <si>
    <t>Citrix XenServer 6.0.2</t>
  </si>
  <si>
    <t>Citrix XenServer 6.1</t>
  </si>
  <si>
    <t>Citrix XenServer 6.2</t>
  </si>
  <si>
    <t>Citrix XenServer 6.5</t>
  </si>
  <si>
    <t>Citrix XenServer 7.0</t>
  </si>
  <si>
    <t>Citrix XenServer 7.1</t>
  </si>
  <si>
    <t>DART</t>
  </si>
  <si>
    <t>DomainOS</t>
  </si>
  <si>
    <t>EMC Secure Remote Services Appliance</t>
  </si>
  <si>
    <t>EMC Unity All-Flash OS</t>
  </si>
  <si>
    <t>FabricOS</t>
  </si>
  <si>
    <t>Fortinet Analyzer Appliance</t>
  </si>
  <si>
    <t>FreeBSD</t>
  </si>
  <si>
    <t>Gaia Smart Event Appliance</t>
  </si>
  <si>
    <t>HMC</t>
  </si>
  <si>
    <t>HP Operations Agent Virtual Appliance</t>
  </si>
  <si>
    <t>HP-UX B.10.20</t>
  </si>
  <si>
    <t>HP-UX B.10.30</t>
  </si>
  <si>
    <t>HP-UX B.11.00</t>
  </si>
  <si>
    <t>HP-UX B.11.04</t>
  </si>
  <si>
    <t>HP-UX B.11.10</t>
  </si>
  <si>
    <t>HP-UX B.11.11</t>
  </si>
  <si>
    <t>HP-UX B.11.20</t>
  </si>
  <si>
    <t>HP-UX B.11.22</t>
  </si>
  <si>
    <t>HP-UX B.11.23</t>
  </si>
  <si>
    <t>HP-UX B.11.31</t>
  </si>
  <si>
    <t>HPE 3PAR Processor Appliance</t>
  </si>
  <si>
    <t>HPE OneView Management Appliance</t>
  </si>
  <si>
    <t>HPE StoreOnce Appliance</t>
  </si>
  <si>
    <t>HSM</t>
  </si>
  <si>
    <t>Helion OpenStack</t>
  </si>
  <si>
    <t>Hyper-V</t>
  </si>
  <si>
    <t>IBM Power</t>
  </si>
  <si>
    <t>IBM Security Access Manager Appliance</t>
  </si>
  <si>
    <t>IBM i V3R1</t>
  </si>
  <si>
    <t>IBM i V3R2</t>
  </si>
  <si>
    <t>IBM i V3R6</t>
  </si>
  <si>
    <t>IBM i V3R7</t>
  </si>
  <si>
    <t>IBM i V4R1</t>
  </si>
  <si>
    <t>IBM i V4R2</t>
  </si>
  <si>
    <t>IBM i V4R3</t>
  </si>
  <si>
    <t>IBM i V4R4</t>
  </si>
  <si>
    <t>IBM i V4R5</t>
  </si>
  <si>
    <t>IBM i V5R1</t>
  </si>
  <si>
    <t>IBM i V5R2</t>
  </si>
  <si>
    <t>IBM i V5R3</t>
  </si>
  <si>
    <t>IBM i V5R3M5</t>
  </si>
  <si>
    <t>IBM i V5R4</t>
  </si>
  <si>
    <t>IBM i V5R4M5</t>
  </si>
  <si>
    <t>IBM i V6R1</t>
  </si>
  <si>
    <t>IBM i V6R1M1</t>
  </si>
  <si>
    <t>IBM i V7R1M0</t>
  </si>
  <si>
    <t>IBM i V7R2M0</t>
  </si>
  <si>
    <t>IBM i V7R3</t>
  </si>
  <si>
    <t>IRIX</t>
  </si>
  <si>
    <t>LTM</t>
  </si>
  <si>
    <t>Liquidware Stratusphere Appliance</t>
  </si>
  <si>
    <t>Local Directory</t>
  </si>
  <si>
    <t>MP-RAS</t>
  </si>
  <si>
    <t>MPE C.55</t>
  </si>
  <si>
    <t>MPE C.60</t>
  </si>
  <si>
    <t>MPE C.65</t>
  </si>
  <si>
    <t>MPE C.70</t>
  </si>
  <si>
    <t>MPE C.75</t>
  </si>
  <si>
    <t>MVS</t>
  </si>
  <si>
    <t>MacOS 10.10 (Yosemite)</t>
  </si>
  <si>
    <t>MacOS 10.11 (El Capitan)</t>
  </si>
  <si>
    <t>MacOS 10.12 (Sierra)</t>
  </si>
  <si>
    <t>MacOS 10.13 (High Sierra)</t>
  </si>
  <si>
    <t>MacOS 10.14 (Mojave)</t>
  </si>
  <si>
    <t>MicroFocus Cloud Optimizer Appliance</t>
  </si>
  <si>
    <t>Netware 3.11</t>
  </si>
  <si>
    <t>Netware 4.11</t>
  </si>
  <si>
    <t>Netware 5.0</t>
  </si>
  <si>
    <t>Netware 5.1</t>
  </si>
  <si>
    <t>Netware 6.0</t>
  </si>
  <si>
    <t>Netware 6.5</t>
  </si>
  <si>
    <t>Nokia IPSO</t>
  </si>
  <si>
    <t>NonStop D45.00</t>
  </si>
  <si>
    <t>NonStop D45.01</t>
  </si>
  <si>
    <t>NonStop D46.00</t>
  </si>
  <si>
    <t>NonStop D47.00</t>
  </si>
  <si>
    <t>NonStop D48.00</t>
  </si>
  <si>
    <t>NonStop D48.01</t>
  </si>
  <si>
    <t>NonStop D48.02</t>
  </si>
  <si>
    <t>NonStop D48.03</t>
  </si>
  <si>
    <t>NonStop G06.10</t>
  </si>
  <si>
    <t>NonStop G06.16</t>
  </si>
  <si>
    <t>NonStop G06.18</t>
  </si>
  <si>
    <t>NonStop G06.19</t>
  </si>
  <si>
    <t>NonStop G06.20</t>
  </si>
  <si>
    <t>NonStop G06.23</t>
  </si>
  <si>
    <t>NonStop G06.24</t>
  </si>
  <si>
    <t>NonStop G06.25</t>
  </si>
  <si>
    <t>NonStop G06.26</t>
  </si>
  <si>
    <t>NonStop G06.27</t>
  </si>
  <si>
    <t>NonStop G06.28</t>
  </si>
  <si>
    <t>NonStop G06.29</t>
  </si>
  <si>
    <t>NonStop G06.30</t>
  </si>
  <si>
    <t>NonStop G06.32</t>
  </si>
  <si>
    <t>NonStop H06.09</t>
  </si>
  <si>
    <t>NonStop H06.11</t>
  </si>
  <si>
    <t>NonStop H06.15</t>
  </si>
  <si>
    <t>NonStop H06.18</t>
  </si>
  <si>
    <t>NonStop H06.19</t>
  </si>
  <si>
    <t>NonStop H06.23</t>
  </si>
  <si>
    <t>NonStop H06.24</t>
  </si>
  <si>
    <t>NonStop H06.25</t>
  </si>
  <si>
    <t>NonStop H06.26</t>
  </si>
  <si>
    <t>NonStop H06.27</t>
  </si>
  <si>
    <t>NonStop H06.28</t>
  </si>
  <si>
    <t>NonStop H06.29</t>
  </si>
  <si>
    <t>NonStop J06.10</t>
  </si>
  <si>
    <t>NonStop J06.11</t>
  </si>
  <si>
    <t>NonStop J06.12</t>
  </si>
  <si>
    <t>NonStop J06.13</t>
  </si>
  <si>
    <t>NonStop J06.14</t>
  </si>
  <si>
    <t>NonStop J06.15</t>
  </si>
  <si>
    <t>NonStop J06.16</t>
  </si>
  <si>
    <t>NonStop J06.17</t>
  </si>
  <si>
    <t>NonStop J06.18</t>
  </si>
  <si>
    <t>NonStop J06.19</t>
  </si>
  <si>
    <t>NonStop J06.20</t>
  </si>
  <si>
    <t>NonStop J06.21</t>
  </si>
  <si>
    <t>NonStop J06.22</t>
  </si>
  <si>
    <t>NonStop J06.23</t>
  </si>
  <si>
    <t>NonStop N06.02</t>
  </si>
  <si>
    <t>OS/2 Warp 3.0</t>
  </si>
  <si>
    <t>OS/2 Warp 4.0</t>
  </si>
  <si>
    <t>OpenVMS 5.3</t>
  </si>
  <si>
    <t>OpenVMS 5.4</t>
  </si>
  <si>
    <t>OpenVMS 5.5</t>
  </si>
  <si>
    <t>OpenVMS 6.1</t>
  </si>
  <si>
    <t>OpenVMS 6.2</t>
  </si>
  <si>
    <t>OpenVMS 7.1</t>
  </si>
  <si>
    <t>OpenVMS 7.2</t>
  </si>
  <si>
    <t>OpenVMS 7.3</t>
  </si>
  <si>
    <t>OpenVMS 8.1</t>
  </si>
  <si>
    <t>OpenVMS 8.2</t>
  </si>
  <si>
    <t>OpenVMS 8.3</t>
  </si>
  <si>
    <t>OpenVMS 8.4</t>
  </si>
  <si>
    <t>Oracle VM 2.2</t>
  </si>
  <si>
    <t>Oracle VM 3.1</t>
  </si>
  <si>
    <t>Oracle VM 3.2</t>
  </si>
  <si>
    <t>Oracle VM 3.3</t>
  </si>
  <si>
    <t>Oracle VM 3.4</t>
  </si>
  <si>
    <t>SAN</t>
  </si>
  <si>
    <t>Solaris</t>
  </si>
  <si>
    <t>Solaris 1.1c (SunOS 4.1.3C)</t>
  </si>
  <si>
    <t>Solaris 10 (SunOS 5.10)</t>
  </si>
  <si>
    <t>Solaris 11 (SunOS 5.11)</t>
  </si>
  <si>
    <t>Solaris 11.1 (SunOS 5.11.1)</t>
  </si>
  <si>
    <t>Solaris 11.2 (SunOS 5.11.2)</t>
  </si>
  <si>
    <t>Solaris 2.1 (SunOS 5.1)</t>
  </si>
  <si>
    <t>Solaris 2.5 (SunOS 5.5)</t>
  </si>
  <si>
    <t>Solaris 2.5.1 (SunOS 5.5.1)</t>
  </si>
  <si>
    <t>Solaris 2.6 (SunOS 5.6)</t>
  </si>
  <si>
    <t>Solaris 7 (SunOS 5.7)</t>
  </si>
  <si>
    <t>Solaris 8 (SunOS 5.8)</t>
  </si>
  <si>
    <t>Solaris 9 (SunOS 5.9)</t>
  </si>
  <si>
    <t>TMOS</t>
  </si>
  <si>
    <t>Tru64 4.0</t>
  </si>
  <si>
    <t>Tru64 5.0</t>
  </si>
  <si>
    <t>Tru64 5.1</t>
  </si>
  <si>
    <t>Unixware</t>
  </si>
  <si>
    <t>Unknown</t>
  </si>
  <si>
    <t>VCS</t>
  </si>
  <si>
    <t>VIO 1.5</t>
  </si>
  <si>
    <t>VIO 2</t>
  </si>
  <si>
    <t>VIO 2.2</t>
  </si>
  <si>
    <t>VM</t>
  </si>
  <si>
    <t>VM ESX</t>
  </si>
  <si>
    <t>VM ESX 1.5.2</t>
  </si>
  <si>
    <t>VM ESX 2.1.0</t>
  </si>
  <si>
    <t>VM ESX 2.1.2</t>
  </si>
  <si>
    <t>VM ESX 2.5</t>
  </si>
  <si>
    <t>VM ESX 2.5.1</t>
  </si>
  <si>
    <t>VM ESX 2.5.2</t>
  </si>
  <si>
    <t>VM ESX 2.5.3</t>
  </si>
  <si>
    <t>VM ESX 2.5.4</t>
  </si>
  <si>
    <t>VM ESX 2.6.18</t>
  </si>
  <si>
    <t>VM ESX 3.0.0</t>
  </si>
  <si>
    <t>VM ESX 3.0.1</t>
  </si>
  <si>
    <t>VM ESX 3.0.2</t>
  </si>
  <si>
    <t>VM ESX 3.1.5</t>
  </si>
  <si>
    <t>VM ESX 3.5</t>
  </si>
  <si>
    <t>VM ESX 4.0</t>
  </si>
  <si>
    <t>VM ESX 4.1</t>
  </si>
  <si>
    <t>VM ESXi</t>
  </si>
  <si>
    <t>VM ESXi 4.0</t>
  </si>
  <si>
    <t>VM ESXi 4.1</t>
  </si>
  <si>
    <t>VM ESXi 5.0</t>
  </si>
  <si>
    <t>VM ESXi 5.1</t>
  </si>
  <si>
    <t>VM ESXi 5.5</t>
  </si>
  <si>
    <t>VM ESXi 6.0</t>
  </si>
  <si>
    <t>VM ESXi 6.5</t>
  </si>
  <si>
    <t>VM ESXi 6.7</t>
  </si>
  <si>
    <t>VM/ESA</t>
  </si>
  <si>
    <t>VMware vSphere</t>
  </si>
  <si>
    <t>Windows .NET Adv Server</t>
  </si>
  <si>
    <t>Windows 10</t>
  </si>
  <si>
    <t>Windows 2000</t>
  </si>
  <si>
    <t>Windows 2000 Advanced Server</t>
  </si>
  <si>
    <t>Windows 2000 Enterprise</t>
  </si>
  <si>
    <t>Windows 2000 Professional</t>
  </si>
  <si>
    <t>Windows 2000 Server</t>
  </si>
  <si>
    <t>Windows 2000 TS</t>
  </si>
  <si>
    <t>Windows 2003 Advanced</t>
  </si>
  <si>
    <t>Windows 2003 Appliance</t>
  </si>
  <si>
    <t>Windows 2003 Datacenter R2</t>
  </si>
  <si>
    <t>Windows 2003 Enterprise</t>
  </si>
  <si>
    <t>Windows 2003 Enterprise R2</t>
  </si>
  <si>
    <t>Windows 2003 Standard</t>
  </si>
  <si>
    <t>Windows 2003 Standard R2</t>
  </si>
  <si>
    <t>Windows 2003 Storage</t>
  </si>
  <si>
    <t>Windows 2003 TS</t>
  </si>
  <si>
    <t>Windows 2003 Web</t>
  </si>
  <si>
    <t>Windows 2008 Datacenter</t>
  </si>
  <si>
    <t>Windows 2008 Datacenter R2</t>
  </si>
  <si>
    <t>Windows 2008 Enterprise</t>
  </si>
  <si>
    <t>Windows 2008 Enterprise R2</t>
  </si>
  <si>
    <t>Windows 2008 HPC Server</t>
  </si>
  <si>
    <t>Windows 2008 HPC Server R2</t>
  </si>
  <si>
    <t>Windows 2008 Standard</t>
  </si>
  <si>
    <t>Windows 2008 Standard R2</t>
  </si>
  <si>
    <t>Windows 2008 Storage</t>
  </si>
  <si>
    <t>Windows 2008 Web</t>
  </si>
  <si>
    <t>Windows 2012 Datacenter</t>
  </si>
  <si>
    <t>Windows 2012 Datacenter R2</t>
  </si>
  <si>
    <t>Windows 2012 Essentials</t>
  </si>
  <si>
    <t>Windows 2012 Essentials R2</t>
  </si>
  <si>
    <t>Windows 2012 Foundation</t>
  </si>
  <si>
    <t>Windows 2012 Standard</t>
  </si>
  <si>
    <t>Windows 2012 Standard R2</t>
  </si>
  <si>
    <t>Windows 2012 Storage</t>
  </si>
  <si>
    <t>Windows 2012 Storage R2</t>
  </si>
  <si>
    <t>Windows 2016 Datacenter</t>
  </si>
  <si>
    <t>Windows 2016 Standard</t>
  </si>
  <si>
    <t>Windows 2016 Storage</t>
  </si>
  <si>
    <t>Windows 2019 Datacenter</t>
  </si>
  <si>
    <t>Windows 2019 Standard</t>
  </si>
  <si>
    <t>Windows 7 Enterprise</t>
  </si>
  <si>
    <t>Windows 8</t>
  </si>
  <si>
    <t>Windows 8.1</t>
  </si>
  <si>
    <t>Windows NT 4.0</t>
  </si>
  <si>
    <t>Windows NT 4.0 TS</t>
  </si>
  <si>
    <t>Windows XP</t>
  </si>
  <si>
    <t>XenServer 5.5.2</t>
  </si>
  <si>
    <t>z/OS 1.1</t>
  </si>
  <si>
    <t>z/OS 1.10</t>
  </si>
  <si>
    <t>z/OS 1.11</t>
  </si>
  <si>
    <t>z/OS 1.12</t>
  </si>
  <si>
    <t>z/OS 1.13</t>
  </si>
  <si>
    <t>z/OS 1.2</t>
  </si>
  <si>
    <t>z/OS 1.3</t>
  </si>
  <si>
    <t>z/OS 1.4</t>
  </si>
  <si>
    <t>z/OS 1.5</t>
  </si>
  <si>
    <t>z/OS 1.6</t>
  </si>
  <si>
    <t>z/OS 1.7</t>
  </si>
  <si>
    <t>z/OS 1.8</t>
  </si>
  <si>
    <t>z/OS 1.9</t>
  </si>
  <si>
    <t>z/OS 2.0</t>
  </si>
  <si>
    <t>z/OS 2.1</t>
  </si>
  <si>
    <t>z/OS 2.2</t>
  </si>
  <si>
    <t>z/OS 2.3</t>
  </si>
  <si>
    <t>z/VM 5.1</t>
  </si>
  <si>
    <t>z/VM 5.2</t>
  </si>
  <si>
    <t>z/VM 5.3</t>
  </si>
  <si>
    <t>z/VM 5.4</t>
  </si>
  <si>
    <t>z/VM 6.1</t>
  </si>
  <si>
    <t>z/VM 6.2</t>
  </si>
  <si>
    <t>z/VM 6.3</t>
  </si>
  <si>
    <t>U</t>
  </si>
  <si>
    <t>Manual Selection (Only For -Attributes)</t>
  </si>
  <si>
    <t>Step 1</t>
  </si>
  <si>
    <t>Step 2</t>
  </si>
  <si>
    <t>Step 3</t>
  </si>
  <si>
    <t>Select the input file.</t>
  </si>
  <si>
    <t>Click "Fill Template" button.</t>
  </si>
  <si>
    <t>Select the System Status</t>
  </si>
  <si>
    <t>Select the System Type</t>
  </si>
  <si>
    <t>Slect the type of change</t>
  </si>
  <si>
    <t>V</t>
  </si>
  <si>
    <t>W</t>
  </si>
  <si>
    <t>S</t>
  </si>
  <si>
    <t>Asset Owner</t>
  </si>
  <si>
    <t>CG</t>
  </si>
  <si>
    <t>Customer</t>
  </si>
  <si>
    <t xml:space="preserve">Serial Number           </t>
  </si>
  <si>
    <t>Model Number</t>
  </si>
  <si>
    <t xml:space="preserve">System Model            </t>
  </si>
  <si>
    <t>AO</t>
  </si>
  <si>
    <t>AN</t>
  </si>
  <si>
    <t>Serial Number</t>
  </si>
  <si>
    <t>X</t>
  </si>
  <si>
    <t>Y</t>
  </si>
  <si>
    <t>Is Virtual?</t>
  </si>
  <si>
    <t>Billable (Y/N)</t>
  </si>
  <si>
    <t>EtP Contact</t>
  </si>
  <si>
    <t>New + Attributes</t>
  </si>
  <si>
    <t>rahul.chandankar@dxc.com</t>
  </si>
  <si>
    <t>Downtime Contact</t>
  </si>
  <si>
    <t>C7</t>
  </si>
  <si>
    <t>Location</t>
  </si>
  <si>
    <t>MPCP Locations</t>
  </si>
  <si>
    <t>Canton</t>
  </si>
  <si>
    <t>MPCP-US-Canton-CAN</t>
  </si>
  <si>
    <t>Catlettsburg</t>
  </si>
  <si>
    <t>MPCP-US-Catlettsburg-CBG</t>
  </si>
  <si>
    <t>Detroit</t>
  </si>
  <si>
    <t>MPCP-US-Detroit-DET</t>
  </si>
  <si>
    <t>Enon</t>
  </si>
  <si>
    <t>MPCP-US-Enon-EMC</t>
  </si>
  <si>
    <t>Findlay</t>
  </si>
  <si>
    <t>MPCP-US-Findlay-FDY</t>
  </si>
  <si>
    <t>Garyville</t>
  </si>
  <si>
    <t>MPCP-US-Garyville-GVL</t>
  </si>
  <si>
    <t>Lebanon</t>
  </si>
  <si>
    <t>MPCP-US-Lebanon-CYL</t>
  </si>
  <si>
    <t>McAlester</t>
  </si>
  <si>
    <t>MPCP-US-McAlester-MCA</t>
  </si>
  <si>
    <t>Robinson</t>
  </si>
  <si>
    <t>MPCP-US-Robinson-ROB</t>
  </si>
  <si>
    <t>MPCP-US-Russell</t>
  </si>
  <si>
    <t>Texas City</t>
  </si>
  <si>
    <t>MPCP-US-Texas City-TXC</t>
  </si>
  <si>
    <t>Allen Park</t>
  </si>
  <si>
    <t>MPCP-US-Allen Park-Com Room</t>
  </si>
  <si>
    <t>Cincinnati</t>
  </si>
  <si>
    <t>MPCP-US-Cincinnati-CVG</t>
  </si>
  <si>
    <t>MPCP-US-Galveston Bay Refinery</t>
  </si>
  <si>
    <t>MPCP-US-Indianapolis-INT</t>
  </si>
  <si>
    <t>Martinsville</t>
  </si>
  <si>
    <t>MPCP-US-Martinsville</t>
  </si>
  <si>
    <t>Romulus</t>
  </si>
  <si>
    <t>MPCP-US-Romulus-ROM</t>
  </si>
  <si>
    <t>Cadiz</t>
  </si>
  <si>
    <t>Carthage</t>
  </si>
  <si>
    <t>MPCP-US-Carthage-CTH</t>
  </si>
  <si>
    <t>Corpus Christi</t>
  </si>
  <si>
    <t>MPCP-US-Corpus Christi-CRP</t>
  </si>
  <si>
    <t>Washington</t>
  </si>
  <si>
    <t>MPCP-US-Washington-WAS</t>
  </si>
  <si>
    <t>MPCP-US-Siloam-SIL</t>
  </si>
  <si>
    <t>MPCP-US-Stack-SOO</t>
  </si>
  <si>
    <t>Tulsa</t>
  </si>
  <si>
    <t>MPCP-US-Tulsa-TUL</t>
  </si>
  <si>
    <t>MPCP-US-Southpointe-SPT</t>
  </si>
  <si>
    <t>Denver</t>
  </si>
  <si>
    <t>MPCP-US-Denver-MWD</t>
  </si>
  <si>
    <t>MPCP-US-Englewood-EGL</t>
  </si>
  <si>
    <t>C9</t>
  </si>
  <si>
    <t>OS Version Matrix</t>
  </si>
  <si>
    <t>Microsoft Server 2000</t>
  </si>
  <si>
    <t>Microsoft Server 2003</t>
  </si>
  <si>
    <t>Microsoft Server 2003 R2</t>
  </si>
  <si>
    <t>Microsoft Server 2008</t>
  </si>
  <si>
    <t>Microsoft Server 2008 R2</t>
  </si>
  <si>
    <t>Microsoft Server 2012</t>
  </si>
  <si>
    <t>Microsoft Server 2012 R2</t>
  </si>
  <si>
    <t>Microsoft Server 2016</t>
  </si>
  <si>
    <t>Microsoft Server 2019</t>
  </si>
  <si>
    <t>C10</t>
  </si>
  <si>
    <t>C11</t>
  </si>
  <si>
    <t>C12</t>
  </si>
  <si>
    <t>VMware vCenter Appliance</t>
  </si>
  <si>
    <t>C13</t>
  </si>
  <si>
    <t>AWS</t>
  </si>
  <si>
    <t>MPCP-US-AWS-AWS</t>
  </si>
  <si>
    <t>Ashburn</t>
  </si>
  <si>
    <t>MPCP-US-AWSUS-East1-IAD</t>
  </si>
  <si>
    <t>Hilliard</t>
  </si>
  <si>
    <t>MPCP-US-AWSUS-East2-CMH</t>
  </si>
  <si>
    <t>Alpharetta</t>
  </si>
  <si>
    <t>MPCP-US-Alpharetta-ALF</t>
  </si>
  <si>
    <t>Ashland</t>
  </si>
  <si>
    <t>MPCP-US-Alps-APS</t>
  </si>
  <si>
    <t>Anacortes</t>
  </si>
  <si>
    <t>MPCP-US-Anacortes-ANR</t>
  </si>
  <si>
    <t>Anchorage</t>
  </si>
  <si>
    <t>MPCP-US-Anchorage-ANC</t>
  </si>
  <si>
    <t>SAT</t>
  </si>
  <si>
    <t>MPCP-US-Andeavor-SAT</t>
  </si>
  <si>
    <t>Garrison</t>
  </si>
  <si>
    <t>MPCP-US-Appleby-ABY</t>
  </si>
  <si>
    <t>Asherton</t>
  </si>
  <si>
    <t>MPCP-US-Asherton-ATN</t>
  </si>
  <si>
    <t>Boydton</t>
  </si>
  <si>
    <t>MPCP-US-Azure EAST L-ANDV-Non-Prod</t>
  </si>
  <si>
    <t>MPCP-US-Azure EAST L-ANDV-Prod</t>
  </si>
  <si>
    <t>MPCP-US-Azure East - ROA</t>
  </si>
  <si>
    <t>Fresno</t>
  </si>
  <si>
    <t>MPCP-US-Azure WEST L-ANDV-Non-Prod</t>
  </si>
  <si>
    <t>MPCP-US-Azure WEST L-ANDV-Prod</t>
  </si>
  <si>
    <t>MPCP-US-Azure West - OAK</t>
  </si>
  <si>
    <t>MPCP-US-Azure-LANDV-Transit</t>
  </si>
  <si>
    <t>MPCP-US-Azure-MPC-DevSandbox</t>
  </si>
  <si>
    <t>MPCP-US-Azure-MPC-Non-Prod</t>
  </si>
  <si>
    <t>MPCP-US-Azure-MPC-Prod</t>
  </si>
  <si>
    <t>MPCP-US-Azure-MPC-Sandbox</t>
  </si>
  <si>
    <t>MPCP-US-Azure-MPC-Security</t>
  </si>
  <si>
    <t>MPCP-US-Azure-MPC-Shared-Services</t>
  </si>
  <si>
    <t>MPCP-US-Azure-MPC-Transit</t>
  </si>
  <si>
    <t>MPCP-US-Barnesville-BNV</t>
  </si>
  <si>
    <t>Bloomfield</t>
  </si>
  <si>
    <t>MPCP-US-Bloomfield-BLS</t>
  </si>
  <si>
    <t>Bluestone</t>
  </si>
  <si>
    <t>MPCP-US-Bluestone-BLU</t>
  </si>
  <si>
    <t>Boise</t>
  </si>
  <si>
    <t>MPCP-US-Boise-BOI</t>
  </si>
  <si>
    <t>MPCP-US-Boldman-BLD</t>
  </si>
  <si>
    <t>Cordell</t>
  </si>
  <si>
    <t>MPCP-US-Buffalo Creek – BUF</t>
  </si>
  <si>
    <t>MPCP-US-Buffalo Creek-BFC</t>
  </si>
  <si>
    <t>Evans City</t>
  </si>
  <si>
    <t>MPCP-US-Butler – BUT</t>
  </si>
  <si>
    <t>Butler</t>
  </si>
  <si>
    <t>MPCP-US-Butler-BLR</t>
  </si>
  <si>
    <t>MPCP-US-Cadiz Admin-CDA</t>
  </si>
  <si>
    <t>MPCP-US-Cadiz Plant-CDP</t>
  </si>
  <si>
    <t>MPCP-US-Cadiz condensate-CDC</t>
  </si>
  <si>
    <t>MPCP-US-Carlsbad-CSB</t>
  </si>
  <si>
    <t>Carson</t>
  </si>
  <si>
    <t>MPCP-US-Carson-CAT</t>
  </si>
  <si>
    <t>MPCP-US-Carthage – CAR</t>
  </si>
  <si>
    <t>Clendenin</t>
  </si>
  <si>
    <t>MPCP-US-Clendenin-Cobb</t>
  </si>
  <si>
    <t>MPCP-US-Cobb-COB</t>
  </si>
  <si>
    <t>Bloomington</t>
  </si>
  <si>
    <t>MPCP-US-Colton-COT</t>
  </si>
  <si>
    <t>Dallas</t>
  </si>
  <si>
    <t>MPCP-US-Dallas-DAL</t>
  </si>
  <si>
    <t>MPCP-US-Denver-DEN</t>
  </si>
  <si>
    <t>MPCP-US-Denver-DVL</t>
  </si>
  <si>
    <t>Denmark</t>
  </si>
  <si>
    <t>Dickinson</t>
  </si>
  <si>
    <t>MPCP-US-Dickinson-DIR</t>
  </si>
  <si>
    <t>El Paso</t>
  </si>
  <si>
    <t>MPCP-US-El Paso-ELP</t>
  </si>
  <si>
    <t>Elk City</t>
  </si>
  <si>
    <t>MPCP-US-Elk City-ELK</t>
  </si>
  <si>
    <t>ENGLEWOOD</t>
  </si>
  <si>
    <t>MPCP-US-Evans City-Blustone</t>
  </si>
  <si>
    <t>Belfield</t>
  </si>
  <si>
    <t>MPCP-US-Fryburg-FRT</t>
  </si>
  <si>
    <t>Gallup</t>
  </si>
  <si>
    <t>MPCP-US-Gallup-GLP</t>
  </si>
  <si>
    <t>MPCP-US-Harmon-HRM</t>
  </si>
  <si>
    <t>Orla</t>
  </si>
  <si>
    <t>MPCP-US-Hidalgo-HDG</t>
  </si>
  <si>
    <t>Jewett</t>
  </si>
  <si>
    <t>MPCP-US-Hopedale-HPD</t>
  </si>
  <si>
    <t>INDIANAPOLIS</t>
  </si>
  <si>
    <t>Keene</t>
  </si>
  <si>
    <t>MPCP-US-Keene-KEL</t>
  </si>
  <si>
    <t>Kenai</t>
  </si>
  <si>
    <t>MPCP-US-Kenai-KEN</t>
  </si>
  <si>
    <t>Kenova</t>
  </si>
  <si>
    <t>MPCP-US-Kenova-KVA</t>
  </si>
  <si>
    <t>La Palma</t>
  </si>
  <si>
    <t>MPCP-US-La Palma-LAP</t>
  </si>
  <si>
    <t>Langley</t>
  </si>
  <si>
    <t>MPCP-US-Langley-LGY</t>
  </si>
  <si>
    <t>MPCP-US-Long Beach-CAR</t>
  </si>
  <si>
    <t>Long Beach</t>
  </si>
  <si>
    <t>MPCP-US-Long Beach-LBB</t>
  </si>
  <si>
    <t>MPCP-US-Long Beach-LBC</t>
  </si>
  <si>
    <t>MPCP-US-Long Beach-LBD</t>
  </si>
  <si>
    <t>MPCP-US-Long Beach-LBO</t>
  </si>
  <si>
    <t>MPCP-US-Long Beach-LOB</t>
  </si>
  <si>
    <t>Los Angeles</t>
  </si>
  <si>
    <t>MPCP-US-Los Angeles-LAR</t>
  </si>
  <si>
    <t>Mandan</t>
  </si>
  <si>
    <t>MPCP-US-Mandan-MAN</t>
  </si>
  <si>
    <t>Martinez</t>
  </si>
  <si>
    <t>MPCP-US-Martinez-MTZ</t>
  </si>
  <si>
    <t>Mexico City</t>
  </si>
  <si>
    <t>MPCP-US-Mexico City-MEX</t>
  </si>
  <si>
    <t>Pine Grove</t>
  </si>
  <si>
    <t>MPCP-US-Mobley-MOB</t>
  </si>
  <si>
    <t>MPCP-US-North Dakota-DKN</t>
  </si>
  <si>
    <t>North Pole</t>
  </si>
  <si>
    <t>MPCP-US-North Pole-NPT</t>
  </si>
  <si>
    <t>MPCP-US-Okarche-OOK</t>
  </si>
  <si>
    <t>MPCP-US-Panola-PNL</t>
  </si>
  <si>
    <t>Pasco</t>
  </si>
  <si>
    <t>MPCP-US-Pasco-PST</t>
  </si>
  <si>
    <t>Pikeville</t>
  </si>
  <si>
    <t>MPCP-US-Pikeville-Boldman</t>
  </si>
  <si>
    <t>Port Angeles</t>
  </si>
  <si>
    <t>MPCP-US-Port Angeles-PTA</t>
  </si>
  <si>
    <t>New Town</t>
  </si>
  <si>
    <t>MPCP-US-Robinson Lake-RLP</t>
  </si>
  <si>
    <t>Rock Springs</t>
  </si>
  <si>
    <t>MPCP-US-Rock Springs-RKS</t>
  </si>
  <si>
    <t>Salt Lake City</t>
  </si>
  <si>
    <t>MPCP-US-Salt Lake City-SLC</t>
  </si>
  <si>
    <t>San Antonio</t>
  </si>
  <si>
    <t>MPCP-US-San Antonio-SAT</t>
  </si>
  <si>
    <t>San Diego</t>
  </si>
  <si>
    <t>MPCP-US-San Diego-SDT</t>
  </si>
  <si>
    <t>Sayre</t>
  </si>
  <si>
    <t>MPCP-US-Sayre-Buffalo Creek</t>
  </si>
  <si>
    <t>MPCP-US-Seguin-SEG</t>
  </si>
  <si>
    <t>West Union</t>
  </si>
  <si>
    <t>MPCP-US-Sherwood-SHW</t>
  </si>
  <si>
    <t>South Shore</t>
  </si>
  <si>
    <t>United Square</t>
  </si>
  <si>
    <t>MPCP-US-Singapore-SIN</t>
  </si>
  <si>
    <t>South Gate</t>
  </si>
  <si>
    <t>MPCP-US-South Gate-VIN</t>
  </si>
  <si>
    <t>CANONSBURG</t>
  </si>
  <si>
    <t>MPCP-US-SouthPointe – SPT</t>
  </si>
  <si>
    <t>Canonsburg</t>
  </si>
  <si>
    <t>St Paul Park</t>
  </si>
  <si>
    <t>MPCP-US-St. Paul Park-SPP</t>
  </si>
  <si>
    <t>Kingfisher</t>
  </si>
  <si>
    <t>Steubenville</t>
  </si>
  <si>
    <t>MPCP-US-Steubenville-Wintersville</t>
  </si>
  <si>
    <t>Tempe</t>
  </si>
  <si>
    <t>MPCP-US-Tempe-TPE</t>
  </si>
  <si>
    <t>MPCP-US-Texas-RPW</t>
  </si>
  <si>
    <t>MPCP-US-Tulsa-TLA</t>
  </si>
  <si>
    <t>MPCP-US-VMCUS-East1-IAD</t>
  </si>
  <si>
    <t>MPCP-US-VMCUS-East2-CMH</t>
  </si>
  <si>
    <t>VMWARE CLOUD EAST</t>
  </si>
  <si>
    <t>MPCP-US-VMWARE CLOUD EAST-VCE</t>
  </si>
  <si>
    <t>Vancouver</t>
  </si>
  <si>
    <t>MPCP-US-Vancouver-VNT</t>
  </si>
  <si>
    <t>Vernal</t>
  </si>
  <si>
    <t>MPCP-US-Vernal-VRO</t>
  </si>
  <si>
    <t>MPCP-US-WV Field Office-WVF</t>
  </si>
  <si>
    <t>MPCP-US-Washington - WA</t>
  </si>
  <si>
    <t>Watford City</t>
  </si>
  <si>
    <t>MPCP-US-Watford City-WAP</t>
  </si>
  <si>
    <t>Bridgeport</t>
  </si>
  <si>
    <t>MPCP-US-White Oaks-WTO</t>
  </si>
  <si>
    <t>Wilmington</t>
  </si>
  <si>
    <t>MPCP-US-Wilmington-WIL</t>
  </si>
  <si>
    <t>AIX 4.1</t>
  </si>
  <si>
    <t>AIX 4.2</t>
  </si>
  <si>
    <t>AIX 4.3</t>
  </si>
  <si>
    <t>ArcMC</t>
  </si>
  <si>
    <t>Azure Kubernetes Service</t>
  </si>
  <si>
    <t>Azure Stack HCI 20H2</t>
  </si>
  <si>
    <t>BIG-IP Virtual Edition Appliance</t>
  </si>
  <si>
    <t>BIG-IQ DCD Virtual Edition Appliance</t>
  </si>
  <si>
    <t>Backup</t>
  </si>
  <si>
    <t>Canary Virtual Appliance</t>
  </si>
  <si>
    <t>Check Point</t>
  </si>
  <si>
    <t>Check Point R71</t>
  </si>
  <si>
    <t>Check Point R75</t>
  </si>
  <si>
    <t>Check Point R76</t>
  </si>
  <si>
    <t>Check Point R77</t>
  </si>
  <si>
    <t>Check Point R80</t>
  </si>
  <si>
    <t>Cisco Application Policy Infrastructure Controller</t>
  </si>
  <si>
    <t>Cisco CSR</t>
  </si>
  <si>
    <t>Cisco FXOS</t>
  </si>
  <si>
    <t>Citrix Hypervisor 8.0</t>
  </si>
  <si>
    <t>Citrix Hypervisor 8.1</t>
  </si>
  <si>
    <t>Citrix XenServer 8.0</t>
  </si>
  <si>
    <t>Citrix XenServer 8.1</t>
  </si>
  <si>
    <t>Citrix XenServer 8.2</t>
  </si>
  <si>
    <t>CyberSponse CyOps Appliance</t>
  </si>
  <si>
    <t>Dell Solutions Enabler Virtual Appliance</t>
  </si>
  <si>
    <t>Flatcar Container Linux</t>
  </si>
  <si>
    <t>Google</t>
  </si>
  <si>
    <t>HPE Comware</t>
  </si>
  <si>
    <t>IBM i V7R4</t>
  </si>
  <si>
    <t>Infoblox NIOS Appliance</t>
  </si>
  <si>
    <t>Junos OS</t>
  </si>
  <si>
    <t>Linux AMI</t>
  </si>
  <si>
    <t>Linux CentOS</t>
  </si>
  <si>
    <t>Linux CentOS 3.1</t>
  </si>
  <si>
    <t>Linux CentOS 3.2</t>
  </si>
  <si>
    <t>Linux CentOS 3.3</t>
  </si>
  <si>
    <t>Linux CentOS 3.4</t>
  </si>
  <si>
    <t>Linux CentOS 3.8</t>
  </si>
  <si>
    <t>Linux CentOS 3.9</t>
  </si>
  <si>
    <t>Linux CentOS 4</t>
  </si>
  <si>
    <t>Linux CentOS 4.4</t>
  </si>
  <si>
    <t>Linux CentOS 4.5</t>
  </si>
  <si>
    <t>Linux CentOS 4.6</t>
  </si>
  <si>
    <t>Linux CentOS 4.7</t>
  </si>
  <si>
    <t>Linux CentOS 4.8</t>
  </si>
  <si>
    <t>Linux CentOS 4.9</t>
  </si>
  <si>
    <t>Linux CentOS 5</t>
  </si>
  <si>
    <t>Linux CentOS 5.1</t>
  </si>
  <si>
    <t>Linux CentOS 5.10</t>
  </si>
  <si>
    <t>Linux CentOS 5.11</t>
  </si>
  <si>
    <t>Linux CentOS 5.2</t>
  </si>
  <si>
    <t>Linux CentOS 5.3</t>
  </si>
  <si>
    <t>Linux CentOS 5.4</t>
  </si>
  <si>
    <t>Linux CentOS 5.5</t>
  </si>
  <si>
    <t>Linux CentOS 5.6</t>
  </si>
  <si>
    <t>Linux CentOS 5.7</t>
  </si>
  <si>
    <t>Linux CentOS 5.8</t>
  </si>
  <si>
    <t>Linux CentOS 5.9</t>
  </si>
  <si>
    <t>Linux CentOS 6.0</t>
  </si>
  <si>
    <t>Linux CentOS 6.1</t>
  </si>
  <si>
    <t>Linux CentOS 6.10</t>
  </si>
  <si>
    <t>Linux CentOS 6.2</t>
  </si>
  <si>
    <t>Linux CentOS 6.3</t>
  </si>
  <si>
    <t>Linux CentOS 6.4</t>
  </si>
  <si>
    <t>Linux CentOS 6.5</t>
  </si>
  <si>
    <t>Linux CentOS 6.6</t>
  </si>
  <si>
    <t>Linux CentOS 6.7</t>
  </si>
  <si>
    <t>Linux CentOS 6.8</t>
  </si>
  <si>
    <t>Linux CentOS 6.9</t>
  </si>
  <si>
    <t>Linux CentOS 7.0</t>
  </si>
  <si>
    <t>Linux CentOS 7.1</t>
  </si>
  <si>
    <t>Linux CentOS 7.2</t>
  </si>
  <si>
    <t>Linux CentOS 7.3</t>
  </si>
  <si>
    <t>Linux CentOS 7.4</t>
  </si>
  <si>
    <t>Linux CentOS 7.5</t>
  </si>
  <si>
    <t>Linux CentOS 7.6</t>
  </si>
  <si>
    <t>Linux CentOS 7.7</t>
  </si>
  <si>
    <t>Linux CentOS 7.8</t>
  </si>
  <si>
    <t>Linux CentOS 7.9</t>
  </si>
  <si>
    <t>Linux CentOS 8</t>
  </si>
  <si>
    <t>Linux CentOS 8.0</t>
  </si>
  <si>
    <t>Linux CentOS 8.1</t>
  </si>
  <si>
    <t>Linux CentOS 8.2</t>
  </si>
  <si>
    <t>Linux CentOS 8.3</t>
  </si>
  <si>
    <t>Linux Debian 10</t>
  </si>
  <si>
    <t>Linux Debian 2</t>
  </si>
  <si>
    <t>Linux Debian 3</t>
  </si>
  <si>
    <t>Linux Debian 4</t>
  </si>
  <si>
    <t>Linux Debian 5</t>
  </si>
  <si>
    <t>Linux Debian 6</t>
  </si>
  <si>
    <t>Linux Debian 7</t>
  </si>
  <si>
    <t>Linux Debian 8</t>
  </si>
  <si>
    <t>Linux Debian 9</t>
  </si>
  <si>
    <t>Linux Fedora</t>
  </si>
  <si>
    <t>Linux Fedora 8</t>
  </si>
  <si>
    <t>Linux Fedora Core 1</t>
  </si>
  <si>
    <t>Linux Fedora Core 2</t>
  </si>
  <si>
    <t>Linux Fedora Core 3</t>
  </si>
  <si>
    <t>Linux Fedora Core 4</t>
  </si>
  <si>
    <t>Linux Fedora Core 5</t>
  </si>
  <si>
    <t>Linux Gentoo</t>
  </si>
  <si>
    <t>Linux HMC</t>
  </si>
  <si>
    <t>Linux Lincase SL 5.3</t>
  </si>
  <si>
    <t>Linux Lincase SL 5.5</t>
  </si>
  <si>
    <t>Linux Lincase SL 6.1</t>
  </si>
  <si>
    <t>Linux Mandrake</t>
  </si>
  <si>
    <t>Linux Mandrake 8.0</t>
  </si>
  <si>
    <t>Linux Mandrake 8.1</t>
  </si>
  <si>
    <t>Linux Mandrake 8.2</t>
  </si>
  <si>
    <t>Linux Oracle EL 4</t>
  </si>
  <si>
    <t>Linux Oracle EL 4.8</t>
  </si>
  <si>
    <t>Linux Oracle EL 4.9</t>
  </si>
  <si>
    <t>Linux Oracle EL 5</t>
  </si>
  <si>
    <t>Linux Oracle EL 5.10</t>
  </si>
  <si>
    <t>Linux Oracle EL 5.11</t>
  </si>
  <si>
    <t>Linux Oracle EL 5.3</t>
  </si>
  <si>
    <t>Linux Oracle EL 5.5</t>
  </si>
  <si>
    <t>Linux Oracle EL 5.6</t>
  </si>
  <si>
    <t>Linux Oracle EL 5.7</t>
  </si>
  <si>
    <t>Linux Oracle EL 5.8</t>
  </si>
  <si>
    <t>Linux Oracle EL 5.9</t>
  </si>
  <si>
    <t>Linux Oracle EL 6.0</t>
  </si>
  <si>
    <t>Linux Oracle EL 6.1</t>
  </si>
  <si>
    <t>Linux Oracle EL 6.10</t>
  </si>
  <si>
    <t>Linux Oracle EL 6.2</t>
  </si>
  <si>
    <t>Linux Oracle EL 6.3</t>
  </si>
  <si>
    <t>Linux Oracle EL 6.4</t>
  </si>
  <si>
    <t>Linux Oracle EL 6.5</t>
  </si>
  <si>
    <t>Linux Oracle EL 6.6</t>
  </si>
  <si>
    <t>Linux Oracle EL 6.7</t>
  </si>
  <si>
    <t>Linux Oracle EL 6.8</t>
  </si>
  <si>
    <t>Linux Oracle EL 6.9</t>
  </si>
  <si>
    <t>Linux Oracle EL 7.0</t>
  </si>
  <si>
    <t>Linux Oracle EL 7.1</t>
  </si>
  <si>
    <t>Linux Oracle EL 7.2</t>
  </si>
  <si>
    <t>Linux Oracle EL 7.3</t>
  </si>
  <si>
    <t>Linux Oracle EL 7.4</t>
  </si>
  <si>
    <t>Linux Oracle EL 7.5</t>
  </si>
  <si>
    <t>Linux Oracle EL 7.6</t>
  </si>
  <si>
    <t>Linux Oracle EL 7.7</t>
  </si>
  <si>
    <t>Linux Oracle EL 7.8</t>
  </si>
  <si>
    <t>Linux Oracle EL 7.9</t>
  </si>
  <si>
    <t>Linux Oracle EL 8.0</t>
  </si>
  <si>
    <t>Linux Oracle EL 8.1</t>
  </si>
  <si>
    <t>Linux Oracle EL 8.2</t>
  </si>
  <si>
    <t>Linux Oracle EL 8.3</t>
  </si>
  <si>
    <t>Linux Other</t>
  </si>
  <si>
    <t>Linux RedHat 3.0</t>
  </si>
  <si>
    <t>Linux RedHat 3.2</t>
  </si>
  <si>
    <t>Linux RedHat 4.0</t>
  </si>
  <si>
    <t>Linux RedHat 8.0</t>
  </si>
  <si>
    <t>Linux RedHat 9.0</t>
  </si>
  <si>
    <t>Linux RedHat AS 2.1</t>
  </si>
  <si>
    <t>Linux RedHat AS 3.0</t>
  </si>
  <si>
    <t>Linux RedHat AS 3.1</t>
  </si>
  <si>
    <t>Linux RedHat AS 3.2</t>
  </si>
  <si>
    <t>Linux RedHat AS 3.3</t>
  </si>
  <si>
    <t>Linux RedHat AS 3.4</t>
  </si>
  <si>
    <t>Linux RedHat AS 3.5</t>
  </si>
  <si>
    <t>Linux RedHat AS 3.6</t>
  </si>
  <si>
    <t>Linux RedHat AS 3.7</t>
  </si>
  <si>
    <t>Linux RedHat AS 3.8</t>
  </si>
  <si>
    <t>Linux RedHat AS 3.9</t>
  </si>
  <si>
    <t>Linux RedHat AS 4.0</t>
  </si>
  <si>
    <t>Linux RedHat AS 4.1</t>
  </si>
  <si>
    <t>Linux RedHat AS 4.2</t>
  </si>
  <si>
    <t>Linux RedHat AS 4.3</t>
  </si>
  <si>
    <t>Linux RedHat AS 4.4</t>
  </si>
  <si>
    <t>Linux RedHat AS 4.5</t>
  </si>
  <si>
    <t>Linux RedHat AS 4.6</t>
  </si>
  <si>
    <t>Linux RedHat AS 4.7</t>
  </si>
  <si>
    <t>Linux RedHat AS 4.8</t>
  </si>
  <si>
    <t>Linux RedHat AS 4.9</t>
  </si>
  <si>
    <t>Linux RedHat Desktop 5</t>
  </si>
  <si>
    <t>Linux RedHat Desktop 6</t>
  </si>
  <si>
    <t>Linux RedHat Desktop 7</t>
  </si>
  <si>
    <t>Linux RedHat EL 5.0</t>
  </si>
  <si>
    <t>Linux RedHat EL 5.1</t>
  </si>
  <si>
    <t>Linux RedHat EL 5.10</t>
  </si>
  <si>
    <t>Linux RedHat EL 5.11</t>
  </si>
  <si>
    <t>Linux RedHat EL 5.12</t>
  </si>
  <si>
    <t>Linux RedHat EL 5.2</t>
  </si>
  <si>
    <t>Linux RedHat EL 5.3</t>
  </si>
  <si>
    <t>Linux RedHat EL 5.4</t>
  </si>
  <si>
    <t>Linux RedHat EL 5.5</t>
  </si>
  <si>
    <t>Linux RedHat EL 5.6</t>
  </si>
  <si>
    <t>Linux RedHat EL 5.7</t>
  </si>
  <si>
    <t>Linux RedHat EL 5.8</t>
  </si>
  <si>
    <t>Linux RedHat EL 5.9</t>
  </si>
  <si>
    <t>Linux RedHat EL 6.0</t>
  </si>
  <si>
    <t>Linux RedHat EL 6.1</t>
  </si>
  <si>
    <t>Linux RedHat EL 6.10</t>
  </si>
  <si>
    <t>Linux RedHat EL 6.2</t>
  </si>
  <si>
    <t>Linux RedHat EL 6.3</t>
  </si>
  <si>
    <t>Linux RedHat EL 6.4</t>
  </si>
  <si>
    <t>Linux RedHat EL 6.5</t>
  </si>
  <si>
    <t>Linux RedHat EL 6.6</t>
  </si>
  <si>
    <t>Linux RedHat EL 6.7</t>
  </si>
  <si>
    <t>Linux RedHat EL 6.8</t>
  </si>
  <si>
    <t>Linux RedHat EL 6.9</t>
  </si>
  <si>
    <t>Linux RedHat EL 7.0</t>
  </si>
  <si>
    <t>Linux RedHat EL 7.1</t>
  </si>
  <si>
    <t>Linux RedHat EL 7.2</t>
  </si>
  <si>
    <t>Linux RedHat EL 7.3</t>
  </si>
  <si>
    <t>Linux RedHat EL 7.4</t>
  </si>
  <si>
    <t>Linux RedHat EL 7.5</t>
  </si>
  <si>
    <t>Linux RedHat EL 7.6</t>
  </si>
  <si>
    <t>Linux RedHat EL 7.7</t>
  </si>
  <si>
    <t>Linux RedHat EL 7.8</t>
  </si>
  <si>
    <t>Linux RedHat EL 7.9</t>
  </si>
  <si>
    <t>Linux RedHat EL 8.0</t>
  </si>
  <si>
    <t>Linux RedHat EL 8.1</t>
  </si>
  <si>
    <t>Linux RedHat EL 8.2</t>
  </si>
  <si>
    <t>Linux RedHat EL 8.3</t>
  </si>
  <si>
    <t>Linux RedHat EL 8.4</t>
  </si>
  <si>
    <t>Linux RedHat EL CoreOS</t>
  </si>
  <si>
    <t>Linux RedHat ES 2.1</t>
  </si>
  <si>
    <t>Linux RedHat ES 3.0</t>
  </si>
  <si>
    <t>Linux RedHat ES 3.2</t>
  </si>
  <si>
    <t>Linux RedHat ES 3.3</t>
  </si>
  <si>
    <t>Linux RedHat ES 3.4</t>
  </si>
  <si>
    <t>Linux RedHat ES 3.5</t>
  </si>
  <si>
    <t>Linux RedHat ES 3.6</t>
  </si>
  <si>
    <t>Linux RedHat ES 3.7</t>
  </si>
  <si>
    <t>Linux RedHat ES 3.8</t>
  </si>
  <si>
    <t>Linux RedHat ES 3.9</t>
  </si>
  <si>
    <t>Linux RedHat ES 4.0</t>
  </si>
  <si>
    <t>Linux RedHat ES 4.1</t>
  </si>
  <si>
    <t>Linux RedHat ES 4.2</t>
  </si>
  <si>
    <t>Linux RedHat ES 4.3</t>
  </si>
  <si>
    <t>Linux RedHat ES 4.4</t>
  </si>
  <si>
    <t>Linux RedHat ES 4.5</t>
  </si>
  <si>
    <t>Linux RedHat ES 4.6</t>
  </si>
  <si>
    <t>Linux RedHat ES 4.7</t>
  </si>
  <si>
    <t>Linux RedHat ES 4.8</t>
  </si>
  <si>
    <t>Linux RedHat ES 4.9</t>
  </si>
  <si>
    <t>Linux RedHat WS 3</t>
  </si>
  <si>
    <t>Linux RedHat WS 4</t>
  </si>
  <si>
    <t>Linux SuSE Enterprise Desktop 10</t>
  </si>
  <si>
    <t>Linux SuSE Enterprise Desktop 10.3</t>
  </si>
  <si>
    <t>Linux SuSE Enterprise Desktop 11</t>
  </si>
  <si>
    <t>Linux SuSE Enterprise Server 10</t>
  </si>
  <si>
    <t>Linux SuSE Enterprise Server 10.1</t>
  </si>
  <si>
    <t>Linux SuSE Enterprise Server 10.2</t>
  </si>
  <si>
    <t>Linux SuSE Enterprise Server 10.3</t>
  </si>
  <si>
    <t>Linux SuSE Enterprise Server 10.4</t>
  </si>
  <si>
    <t>Linux SuSE Enterprise Server 11</t>
  </si>
  <si>
    <t>Linux SuSE Enterprise Server 11.1</t>
  </si>
  <si>
    <t>Linux SuSE Enterprise Server 11.2</t>
  </si>
  <si>
    <t>Linux SuSE Enterprise Server 11.3</t>
  </si>
  <si>
    <t>Linux SuSE Enterprise Server 11.4</t>
  </si>
  <si>
    <t>Linux SuSE Enterprise Server 12</t>
  </si>
  <si>
    <t>Linux SuSE Enterprise Server 12.1</t>
  </si>
  <si>
    <t>Linux SuSE Enterprise Server 12.2</t>
  </si>
  <si>
    <t>Linux SuSE Enterprise Server 12.3</t>
  </si>
  <si>
    <t>Linux SuSE Enterprise Server 12.4</t>
  </si>
  <si>
    <t>Linux SuSE Enterprise Server 12.5</t>
  </si>
  <si>
    <t>Linux SuSE Enterprise Server 15</t>
  </si>
  <si>
    <t>Linux SuSE Enterprise Server 15.1</t>
  </si>
  <si>
    <t>Linux SuSE Enterprise Server 15.2</t>
  </si>
  <si>
    <t>Linux SuSE Enterprise Server 6</t>
  </si>
  <si>
    <t>Linux SuSE Enterprise Server 6.1</t>
  </si>
  <si>
    <t>Linux SuSE Enterprise Server 7</t>
  </si>
  <si>
    <t>Linux SuSE Enterprise Server 7.1</t>
  </si>
  <si>
    <t>Linux SuSE Enterprise Server 7.2</t>
  </si>
  <si>
    <t>Linux SuSE Enterprise Server 7.3</t>
  </si>
  <si>
    <t>Linux SuSE Enterprise Server 8</t>
  </si>
  <si>
    <t>Linux SuSE Enterprise Server 8.1</t>
  </si>
  <si>
    <t>Linux SuSE Enterprise Server 8.2</t>
  </si>
  <si>
    <t>Linux SuSE Enterprise Server 9</t>
  </si>
  <si>
    <t>Linux SuSE Enterprise Server 9.1</t>
  </si>
  <si>
    <t>Linux SuSE Enterprise Server 9.2</t>
  </si>
  <si>
    <t>Linux SuSE Enterprise Server 9.3</t>
  </si>
  <si>
    <t>Linux SuSE Enterprise Server 9.4</t>
  </si>
  <si>
    <t>Linux Ubuntu</t>
  </si>
  <si>
    <t>Linux Ubuntu 10.04</t>
  </si>
  <si>
    <t>Linux Ubuntu 10.10</t>
  </si>
  <si>
    <t>Linux Ubuntu 12.04</t>
  </si>
  <si>
    <t>Linux Ubuntu 14.04</t>
  </si>
  <si>
    <t>Linux Ubuntu 16.04</t>
  </si>
  <si>
    <t>Linux Ubuntu 18.04</t>
  </si>
  <si>
    <t>Linux Ubuntu 18.04 LTS</t>
  </si>
  <si>
    <t>Linux Ubuntu 20.04</t>
  </si>
  <si>
    <t>Linux Ubuntu 8.04</t>
  </si>
  <si>
    <t>Linux Ubuntu 9.04</t>
  </si>
  <si>
    <t>Linux openSUSE 11.0</t>
  </si>
  <si>
    <t>Linux openSUSE 11.1</t>
  </si>
  <si>
    <t>Linux openSUSE 11.2</t>
  </si>
  <si>
    <t>Linux openSUSE 11.3</t>
  </si>
  <si>
    <t>Linux openSUSE 11.4</t>
  </si>
  <si>
    <t>Linux openSUSE 12.1</t>
  </si>
  <si>
    <t>Linux openSUSE 12.2</t>
  </si>
  <si>
    <t>Linux openSUSE 12.3</t>
  </si>
  <si>
    <t>Linux openSUSE 13.1</t>
  </si>
  <si>
    <t>Linux openSUSE 13.2</t>
  </si>
  <si>
    <t>MacOS 10.15 (Catalina)</t>
  </si>
  <si>
    <t>Mandiant Security Validation Appliance</t>
  </si>
  <si>
    <t>NonStop L18.02</t>
  </si>
  <si>
    <t>NonStop L18.08.01</t>
  </si>
  <si>
    <t>NonStop L19.08.00</t>
  </si>
  <si>
    <t>Nutanix Virtual Appliance</t>
  </si>
  <si>
    <t>Okta Access Gateway Appliance</t>
  </si>
  <si>
    <t>Panorama Virtual Appliance</t>
  </si>
  <si>
    <t>Proofpoint Threat Response Virtual Appliance</t>
  </si>
  <si>
    <t>SGOS</t>
  </si>
  <si>
    <t>ScreenOS</t>
  </si>
  <si>
    <t>Solaris 11.3</t>
  </si>
  <si>
    <t>Solaris 11.4</t>
  </si>
  <si>
    <t>SwaggerHub Appliance</t>
  </si>
  <si>
    <t>Tripwire IP360 Appliances</t>
  </si>
  <si>
    <t>VIO 3.1</t>
  </si>
  <si>
    <t>VM ESXi 7.0</t>
  </si>
  <si>
    <t>VM Photon OS 2.0</t>
  </si>
  <si>
    <t>VMWare vCenter Server Appliance 7.0</t>
  </si>
  <si>
    <t>VMware PSC Appliance 6.7</t>
  </si>
  <si>
    <t>VMware Appliance</t>
  </si>
  <si>
    <t>Appliance</t>
  </si>
  <si>
    <t>VMware vCenter Appliance 6.5</t>
  </si>
  <si>
    <t>VMware vCenter Appliance 6.7</t>
  </si>
  <si>
    <t>Vidyo Virtual Appliance</t>
  </si>
  <si>
    <t>Windows 10 Pro</t>
  </si>
  <si>
    <t>Windows 2003 Datacenter</t>
  </si>
  <si>
    <t>Windows 2008 Foundation R2</t>
  </si>
  <si>
    <t>Windows 2008 Storage R2</t>
  </si>
  <si>
    <t>Windows 2008 Web R2</t>
  </si>
  <si>
    <t>Windows 2016 Core</t>
  </si>
  <si>
    <t>Windows 2019 Core</t>
  </si>
  <si>
    <t>Windows 7 Pro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</si>
</sst>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left"/>
    </xf>
    <xf numFmtId="0" fontId="2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Border="1"/>
    <xf numFmtId="0" fontId="1" fillId="2" borderId="1" xfId="1" applyBorder="1" applyAlignment="1">
      <alignment horizontal="left"/>
    </xf>
    <xf numFmtId="0" fontId="2" fillId="0" borderId="1" xfId="0" applyFont="1" applyBorder="1"/>
    <xf numFmtId="0" fontId="0" fillId="0" borderId="1" xfId="0" applyFont="1" applyBorder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0" borderId="1" xfId="0" applyFill="1" applyBorder="1" applyAlignment="1">
      <alignment horizontal="left"/>
    </xf>
    <xf numFmtId="0" fontId="7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Fill="1" applyBorder="1" applyAlignment="1">
      <alignment horizontal="left"/>
    </xf>
    <xf numFmtId="0" fontId="0" fillId="0" borderId="1" xfId="0" applyFont="1" applyBorder="1" applyAlignment="1">
      <alignment horizontal="left"/>
    </xf>
    <xf numFmtId="0" fontId="8" fillId="0" borderId="1" xfId="0" applyFont="1" applyBorder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Referrence!$B$2" fmlaRange="Referrence!$F$2:$F$5" sel="4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9" dropStyle="combo" dx="26" fmlaLink="Referrence!$B$3" fmlaRange="Referrence!$O$2:$O$10" sel="4" val="0"/>
</file>

<file path=xl/ctrlProps/ctrlProp4.xml><?xml version="1.0" encoding="utf-8"?>
<formControlPr xmlns="http://schemas.microsoft.com/office/spreadsheetml/2009/9/main" objectType="Drop" dropLines="12" dropStyle="combo" dx="26" fmlaLink="Referrence!$B$4" fmlaRange="Referrence!$P$2:$P$31" sel="25" val="18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144780</xdr:colOff>
      <xdr:row>25</xdr:row>
      <xdr:rowOff>106680</xdr:rowOff>
    </xdr:from>
    <xdr:to>
      <xdr:col>8</xdr:col>
      <xdr:colOff>175260</xdr:colOff>
      <xdr:row>27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44780" y="4861560"/>
          <a:ext cx="4907280" cy="259080"/>
        </a:xfrm>
        <a:prstGeom prst="rect">
          <a:avLst/>
        </a:prstGeom>
        <a:solidFill>
          <a:srgbClr val="7030A0"/>
        </a:solidFill>
        <a:ln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050"/>
            <a:t>DXC - IT Asset Managemen</a:t>
          </a:r>
          <a:r>
            <a:rPr lang="en-GB" sz="1050" baseline="0"/>
            <a:t>t Team Chennai</a:t>
          </a:r>
          <a:endParaRPr lang="en-GB" sz="1050"/>
        </a:p>
      </xdr:txBody>
    </xdr:sp>
    <xdr:clientData/>
  </xdr:twoCellAnchor>
  <xdr:twoCellAnchor>
    <xdr:from>
      <xdr:col>0</xdr:col>
      <xdr:colOff>167640</xdr:colOff>
      <xdr:row>1</xdr:row>
      <xdr:rowOff>22860</xdr:rowOff>
    </xdr:from>
    <xdr:to>
      <xdr:col>8</xdr:col>
      <xdr:colOff>198120</xdr:colOff>
      <xdr:row>2</xdr:row>
      <xdr:rowOff>228600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67640" y="205740"/>
          <a:ext cx="4907280" cy="388620"/>
        </a:xfrm>
        <a:prstGeom prst="rect">
          <a:avLst/>
        </a:prstGeom>
        <a:solidFill>
          <a:srgbClr val="7030A0"/>
        </a:solidFill>
        <a:ln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eaLnBrk="1" fontAlgn="auto" latinLnBrk="0" hangingPunct="1"/>
          <a:r>
            <a:rPr lang="en-GB" sz="1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Marathon</a:t>
          </a:r>
          <a:r>
            <a:rPr lang="en-GB" sz="18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Petroleum ESL Template - AutoFill</a:t>
          </a:r>
          <a:endParaRPr lang="en-IN" sz="180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5</xdr:row>
          <xdr:rowOff>139700</xdr:rowOff>
        </xdr:from>
        <xdr:to>
          <xdr:col>7</xdr:col>
          <xdr:colOff>222250</xdr:colOff>
          <xdr:row>7</xdr:row>
          <xdr:rowOff>44450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387350</xdr:colOff>
          <xdr:row>13</xdr:row>
          <xdr:rowOff>177800</xdr:rowOff>
        </xdr:from>
        <xdr:to>
          <xdr:col>7</xdr:col>
          <xdr:colOff>215900</xdr:colOff>
          <xdr:row>15</xdr:row>
          <xdr:rowOff>82550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203200</xdr:colOff>
          <xdr:row>10</xdr:row>
          <xdr:rowOff>12700</xdr:rowOff>
        </xdr:from>
        <xdr:to>
          <xdr:col>7</xdr:col>
          <xdr:colOff>203200</xdr:colOff>
          <xdr:row>11</xdr:row>
          <xdr:rowOff>107950</xdr:rowOff>
        </xdr:to>
        <xdr:sp macro="" textlink="">
          <xdr:nvSpPr>
            <xdr:cNvPr id="4099" name="Drop Dow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203200</xdr:colOff>
          <xdr:row>12</xdr:row>
          <xdr:rowOff>12700</xdr:rowOff>
        </xdr:from>
        <xdr:to>
          <xdr:col>7</xdr:col>
          <xdr:colOff>203200</xdr:colOff>
          <xdr:row>13</xdr:row>
          <xdr:rowOff>107950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18</xdr:row>
          <xdr:rowOff>31750</xdr:rowOff>
        </xdr:from>
        <xdr:to>
          <xdr:col>3</xdr:col>
          <xdr:colOff>520700</xdr:colOff>
          <xdr:row>19</xdr:row>
          <xdr:rowOff>120650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Referrence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137160</xdr:colOff>
      <xdr:row>1</xdr:row>
      <xdr:rowOff>0</xdr:rowOff>
    </xdr:from>
    <xdr:to>
      <xdr:col>8</xdr:col>
      <xdr:colOff>198120</xdr:colOff>
      <xdr:row>27</xdr:row>
      <xdr:rowOff>15240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7160" y="182880"/>
          <a:ext cx="4937760" cy="4953000"/>
        </a:xfrm>
        <a:prstGeom prst="rect">
          <a:avLst/>
        </a:prstGeom>
        <a:noFill/>
        <a:ln w="571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317500</xdr:colOff>
      <xdr:row>22</xdr:row>
      <xdr:rowOff>173990</xdr:rowOff>
    </xdr:from>
    <xdr:to>
      <xdr:col>7</xdr:col>
      <xdr:colOff>539750</xdr:colOff>
      <xdr:row>25</xdr:row>
      <xdr:rowOff>89626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17500" y="4380230"/>
          <a:ext cx="4489450" cy="464276"/>
        </a:xfrm>
        <a:prstGeom prst="roundRect">
          <a:avLst/>
        </a:prstGeom>
        <a:blipFill dpi="0"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IN" sz="1100"/>
        </a:p>
      </xdr:txBody>
    </xdr:sp>
    <xdr:clientData/>
  </xdr:twoCellAnchor>
  <xdr:twoCellAnchor>
    <xdr:from>
      <xdr:col>0</xdr:col>
      <xdr:colOff>304800</xdr:colOff>
      <xdr:row>2</xdr:row>
      <xdr:rowOff>294640</xdr:rowOff>
    </xdr:from>
    <xdr:to>
      <xdr:col>1</xdr:col>
      <xdr:colOff>525236</xdr:colOff>
      <xdr:row>5</xdr:row>
      <xdr:rowOff>48804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304800" y="660400"/>
          <a:ext cx="830036" cy="485684"/>
        </a:xfrm>
        <a:prstGeom prst="rect">
          <a:avLst/>
        </a:prstGeom>
        <a:blipFill dpi="0"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ln>
              <a:noFill/>
            </a:ln>
          </a:endParaRPr>
        </a:p>
      </xdr:txBody>
    </xdr:sp>
    <xdr:clientData/>
  </xdr:twoCellAnchor>
  <xdr:twoCellAnchor>
    <xdr:from>
      <xdr:col>6</xdr:col>
      <xdr:colOff>19050</xdr:colOff>
      <xdr:row>2</xdr:row>
      <xdr:rowOff>281940</xdr:rowOff>
    </xdr:from>
    <xdr:to>
      <xdr:col>7</xdr:col>
      <xdr:colOff>580572</xdr:colOff>
      <xdr:row>5</xdr:row>
      <xdr:rowOff>42454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676650" y="647700"/>
          <a:ext cx="1171122" cy="492034"/>
        </a:xfrm>
        <a:prstGeom prst="rect">
          <a:avLst/>
        </a:prstGeom>
        <a:blipFill dpi="0"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Users/MPCP%20New%20macro/NEW%20UPDATED%20MACRO/Templates/ESL(Attributes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Users/pgnanasekara/Desktop/P%20R%20Karthik/ESL%205441365_Bulk%20load_5%20Servers_(Attributes)_Smriti_02101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 Systems"/>
      <sheetName val="System Attributes"/>
      <sheetName val="System Usages"/>
      <sheetName val="System Roles"/>
      <sheetName val="System Customers"/>
      <sheetName val="System IPs"/>
      <sheetName val="System Consoles"/>
      <sheetName val="System Contracts"/>
      <sheetName val="System Backups"/>
      <sheetName val="System Backup Clients"/>
      <sheetName val="System Backup Devices"/>
      <sheetName val="System Relations"/>
      <sheetName val="System URLs"/>
      <sheetName val="System EtPs"/>
      <sheetName val="System Regulations"/>
      <sheetName val="System ERM Groups"/>
      <sheetName val="System Peripherals"/>
      <sheetName val="System Assets"/>
      <sheetName val="CI Group System Assignments"/>
      <sheetName val="KPE System Assignments"/>
      <sheetName val="Validation"/>
      <sheetName val="Legend"/>
      <sheetName val="Change Lo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2">
          <cell r="O2" t="str">
            <v>Customer</v>
          </cell>
        </row>
        <row r="3">
          <cell r="O3" t="str">
            <v>DXC</v>
          </cell>
        </row>
        <row r="4">
          <cell r="O4" t="str">
            <v>HP</v>
          </cell>
        </row>
        <row r="5">
          <cell r="O5" t="str">
            <v>Third Party</v>
          </cell>
        </row>
      </sheetData>
      <sheetData sheetId="21"/>
      <sheetData sheetId="2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 Systems"/>
      <sheetName val="System Attributes"/>
      <sheetName val="System Usages"/>
      <sheetName val="System Roles"/>
      <sheetName val="System Customers"/>
      <sheetName val="System IPs"/>
      <sheetName val="System Consoles"/>
      <sheetName val="System Contracts"/>
      <sheetName val="System Backups"/>
      <sheetName val="System Backup Clients"/>
      <sheetName val="System Backup Devices"/>
      <sheetName val="System Relations"/>
      <sheetName val="System URLs"/>
      <sheetName val="System EtPs"/>
      <sheetName val="System Regulations"/>
      <sheetName val="System ERM Groups"/>
      <sheetName val="System Peripherals"/>
      <sheetName val="System Assets"/>
      <sheetName val="CI Group System Assignments"/>
      <sheetName val="KPE System Assignments"/>
      <sheetName val="Validation"/>
      <sheetName val="Legend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2">
          <cell r="S2" t="str">
            <v>Authorized Caller</v>
          </cell>
          <cell r="Y2" t="str">
            <v>AAD Automation</v>
          </cell>
        </row>
        <row r="3">
          <cell r="S3" t="str">
            <v>Authorized Reboot Requestor</v>
          </cell>
          <cell r="Y3" t="str">
            <v>ACF Reporting</v>
          </cell>
        </row>
        <row r="4">
          <cell r="S4" t="str">
            <v>Backup Lead</v>
          </cell>
          <cell r="Y4" t="str">
            <v>AD GPO for Security Configuration</v>
          </cell>
        </row>
        <row r="5">
          <cell r="S5" t="str">
            <v>Capacity Management Contact</v>
          </cell>
          <cell r="Y5" t="str">
            <v>Active Directory</v>
          </cell>
        </row>
        <row r="6">
          <cell r="S6" t="str">
            <v>CI Requester</v>
          </cell>
          <cell r="Y6" t="str">
            <v>Antivirus</v>
          </cell>
        </row>
        <row r="7">
          <cell r="S7" t="str">
            <v>Customer Change Coordinator</v>
          </cell>
          <cell r="Y7" t="str">
            <v>Automated Patching Tool</v>
          </cell>
        </row>
        <row r="8">
          <cell r="S8" t="str">
            <v>Customer System Owner</v>
          </cell>
          <cell r="Y8" t="str">
            <v>BTR Reporting</v>
          </cell>
        </row>
        <row r="9">
          <cell r="S9" t="str">
            <v>Customer System Owner Backup</v>
          </cell>
          <cell r="Y9" t="str">
            <v>Backup</v>
          </cell>
        </row>
        <row r="10">
          <cell r="S10" t="str">
            <v>Downtime Contact</v>
          </cell>
          <cell r="Y10" t="str">
            <v>CPM</v>
          </cell>
        </row>
        <row r="11">
          <cell r="S11" t="str">
            <v>Financial Contact</v>
          </cell>
          <cell r="Y11" t="str">
            <v>Capacity Management</v>
          </cell>
        </row>
        <row r="12">
          <cell r="S12" t="str">
            <v>Patching Lead</v>
          </cell>
          <cell r="Y12" t="str">
            <v>Cluster Management</v>
          </cell>
        </row>
        <row r="13">
          <cell r="S13" t="str">
            <v>Privilege Access Approver</v>
          </cell>
          <cell r="Y13" t="str">
            <v>DBSPI</v>
          </cell>
        </row>
        <row r="14">
          <cell r="S14" t="str">
            <v>Restore Contact</v>
          </cell>
          <cell r="Y14" t="str">
            <v>ERM (Enterprise Root Model)</v>
          </cell>
        </row>
        <row r="15">
          <cell r="S15" t="str">
            <v>Technical Owner</v>
          </cell>
          <cell r="Y15" t="str">
            <v>Hardware Lifecycle</v>
          </cell>
        </row>
        <row r="16">
          <cell r="S16" t="str">
            <v>Technical Owner Backup</v>
          </cell>
          <cell r="Y16" t="str">
            <v>HPSA Agent</v>
          </cell>
        </row>
        <row r="17">
          <cell r="S17" t="str">
            <v>Threshold Admin</v>
          </cell>
          <cell r="Y17" t="str">
            <v>ID Attestation</v>
          </cell>
        </row>
        <row r="18">
          <cell r="Y18" t="str">
            <v>Inventory</v>
          </cell>
        </row>
        <row r="19">
          <cell r="Y19" t="str">
            <v>Monitoring</v>
          </cell>
        </row>
        <row r="20">
          <cell r="Y20" t="str">
            <v>Monitoring Name match</v>
          </cell>
        </row>
        <row r="21">
          <cell r="Y21" t="str">
            <v>NetIQ SM</v>
          </cell>
        </row>
        <row r="22">
          <cell r="Y22" t="str">
            <v>OVPA</v>
          </cell>
        </row>
        <row r="23">
          <cell r="Y23" t="str">
            <v>Operating System</v>
          </cell>
        </row>
        <row r="24">
          <cell r="Y24" t="str">
            <v>PUC Agent</v>
          </cell>
        </row>
        <row r="25">
          <cell r="Y25" t="str">
            <v>Patch Management</v>
          </cell>
        </row>
        <row r="26">
          <cell r="Y26" t="str">
            <v>Remote Console</v>
          </cell>
        </row>
        <row r="27">
          <cell r="Y27" t="str">
            <v>Run Book Automation</v>
          </cell>
        </row>
        <row r="28">
          <cell r="Y28" t="str">
            <v>Storage Child Relationship</v>
          </cell>
        </row>
        <row r="29">
          <cell r="Y29" t="str">
            <v>Vulnerability Scanning</v>
          </cell>
        </row>
        <row r="30">
          <cell r="Y30" t="str">
            <v>non-DXC Privileged Access</v>
          </cell>
        </row>
      </sheetData>
      <sheetData sheetId="21" refreshError="1"/>
      <sheetData sheetId="2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0F136-2D2A-44A7-9173-D1D52D4B5F95}">
  <sheetPr codeName="Sheet1"/>
  <dimension ref="A1:J100"/>
  <sheetViews>
    <sheetView showGridLines="0" workbookViewId="0">
      <selection activeCell="F1" sqref="F1"/>
    </sheetView>
  </sheetViews>
  <sheetFormatPr defaultRowHeight="14.5" x14ac:dyDescent="0.35"/>
  <cols>
    <col min="1" max="1" width="14.81640625" bestFit="1" customWidth="1"/>
    <col min="2" max="2" width="16" bestFit="1" customWidth="1"/>
    <col min="3" max="3" width="28.54296875" bestFit="1" customWidth="1"/>
    <col min="4" max="5" width="7.54296875" bestFit="1" customWidth="1"/>
    <col min="6" max="6" width="18.08984375" bestFit="1" customWidth="1"/>
    <col min="7" max="7" width="48.453125" bestFit="1" customWidth="1"/>
    <col min="8" max="8" width="23.08984375" bestFit="1" customWidth="1"/>
    <col min="9" max="9" width="16.453125" bestFit="1" customWidth="1"/>
    <col min="10" max="10" width="16.453125" style="1" bestFit="1" customWidth="1"/>
    <col min="11" max="11" width="9.81640625" bestFit="1" customWidth="1"/>
  </cols>
  <sheetData>
    <row r="1" spans="1:10" x14ac:dyDescent="0.35">
      <c r="A1" s="6" t="s">
        <v>22</v>
      </c>
      <c r="B1" s="6" t="s">
        <v>15</v>
      </c>
      <c r="C1" s="6" t="s">
        <v>16</v>
      </c>
      <c r="D1" s="6" t="s">
        <v>17</v>
      </c>
      <c r="E1" s="6" t="s">
        <v>17</v>
      </c>
      <c r="F1" s="6" t="s">
        <v>157</v>
      </c>
      <c r="G1" s="6" t="s">
        <v>19</v>
      </c>
      <c r="H1" s="6" t="s">
        <v>54</v>
      </c>
      <c r="I1" s="6" t="s">
        <v>55</v>
      </c>
      <c r="J1" s="2" t="s">
        <v>55</v>
      </c>
    </row>
    <row r="2" spans="1:10" x14ac:dyDescent="0.35">
      <c r="A2" s="3" t="s">
        <v>24</v>
      </c>
      <c r="B2" s="3" t="s">
        <v>25</v>
      </c>
      <c r="C2" s="3" t="s">
        <v>508</v>
      </c>
      <c r="D2" s="11" t="s">
        <v>509</v>
      </c>
      <c r="E2" s="3">
        <v>85</v>
      </c>
      <c r="F2" s="3" t="s">
        <v>7</v>
      </c>
      <c r="G2" s="3" t="s">
        <v>510</v>
      </c>
      <c r="H2" s="3"/>
      <c r="I2" s="4"/>
      <c r="J2" s="3"/>
    </row>
    <row r="3" spans="1:10" x14ac:dyDescent="0.35">
      <c r="A3" s="3" t="s">
        <v>24</v>
      </c>
      <c r="B3" s="3" t="s">
        <v>25</v>
      </c>
      <c r="C3" s="3" t="s">
        <v>28</v>
      </c>
      <c r="D3" s="11" t="s">
        <v>39</v>
      </c>
      <c r="E3" s="3">
        <v>7</v>
      </c>
      <c r="F3" s="3" t="s">
        <v>7</v>
      </c>
      <c r="G3" s="3" t="s">
        <v>97</v>
      </c>
      <c r="H3" s="3"/>
      <c r="I3" s="4"/>
      <c r="J3" s="3"/>
    </row>
    <row r="4" spans="1:10" x14ac:dyDescent="0.35">
      <c r="A4" s="3" t="s">
        <v>24</v>
      </c>
      <c r="B4" s="3" t="s">
        <v>25</v>
      </c>
      <c r="C4" s="3" t="s">
        <v>107</v>
      </c>
      <c r="D4" s="11" t="s">
        <v>108</v>
      </c>
      <c r="E4" s="3">
        <v>81</v>
      </c>
      <c r="F4" s="3" t="s">
        <v>161</v>
      </c>
      <c r="G4" s="3"/>
      <c r="H4" s="3" t="s">
        <v>520</v>
      </c>
      <c r="I4" s="4" t="s">
        <v>506</v>
      </c>
      <c r="J4" s="3">
        <v>23</v>
      </c>
    </row>
    <row r="5" spans="1:10" x14ac:dyDescent="0.35">
      <c r="A5" s="3" t="s">
        <v>24</v>
      </c>
      <c r="B5" s="3" t="s">
        <v>25</v>
      </c>
      <c r="C5" s="4" t="s">
        <v>34</v>
      </c>
      <c r="D5" s="11" t="s">
        <v>45</v>
      </c>
      <c r="E5" s="3">
        <v>13</v>
      </c>
      <c r="F5" s="3" t="s">
        <v>7</v>
      </c>
      <c r="G5" s="3" t="s">
        <v>147</v>
      </c>
      <c r="H5" s="3"/>
      <c r="I5" s="4"/>
      <c r="J5" s="3"/>
    </row>
    <row r="6" spans="1:10" x14ac:dyDescent="0.35">
      <c r="A6" s="3" t="s">
        <v>24</v>
      </c>
      <c r="B6" s="3" t="s">
        <v>118</v>
      </c>
      <c r="C6" s="4" t="s">
        <v>117</v>
      </c>
      <c r="D6" s="11" t="s">
        <v>39</v>
      </c>
      <c r="E6" s="3">
        <v>7</v>
      </c>
      <c r="F6" s="3" t="s">
        <v>7</v>
      </c>
      <c r="G6" s="4"/>
      <c r="H6" s="4" t="s">
        <v>117</v>
      </c>
      <c r="I6" s="4" t="s">
        <v>506</v>
      </c>
      <c r="J6" s="3">
        <v>22</v>
      </c>
    </row>
    <row r="7" spans="1:10" x14ac:dyDescent="0.35">
      <c r="A7" s="3" t="s">
        <v>24</v>
      </c>
      <c r="B7" s="3" t="s">
        <v>118</v>
      </c>
      <c r="C7" s="3" t="s">
        <v>115</v>
      </c>
      <c r="D7" s="11" t="s">
        <v>6</v>
      </c>
      <c r="E7" s="3">
        <v>3</v>
      </c>
      <c r="F7" s="3" t="s">
        <v>162</v>
      </c>
      <c r="G7" s="3" t="s">
        <v>170</v>
      </c>
      <c r="H7" s="3" t="s">
        <v>166</v>
      </c>
      <c r="I7" s="4" t="s">
        <v>46</v>
      </c>
      <c r="J7" s="3">
        <v>14</v>
      </c>
    </row>
    <row r="8" spans="1:10" x14ac:dyDescent="0.35">
      <c r="A8" s="3" t="s">
        <v>24</v>
      </c>
      <c r="B8" s="3" t="s">
        <v>25</v>
      </c>
      <c r="C8" s="3" t="s">
        <v>30</v>
      </c>
      <c r="D8" s="11" t="s">
        <v>41</v>
      </c>
      <c r="E8" s="3">
        <v>9</v>
      </c>
      <c r="F8" s="3" t="s">
        <v>7</v>
      </c>
      <c r="G8" s="3" t="s">
        <v>51</v>
      </c>
      <c r="H8" s="3"/>
      <c r="I8" s="4"/>
      <c r="J8" s="3"/>
    </row>
    <row r="9" spans="1:10" x14ac:dyDescent="0.35">
      <c r="A9" s="3" t="s">
        <v>24</v>
      </c>
      <c r="B9" s="3" t="s">
        <v>25</v>
      </c>
      <c r="C9" s="3" t="s">
        <v>3</v>
      </c>
      <c r="D9" s="11" t="s">
        <v>4</v>
      </c>
      <c r="E9" s="3">
        <v>2</v>
      </c>
      <c r="F9" s="3" t="s">
        <v>162</v>
      </c>
      <c r="G9" s="3" t="s">
        <v>574</v>
      </c>
      <c r="H9" s="3" t="s">
        <v>146</v>
      </c>
      <c r="I9" s="4" t="s">
        <v>21</v>
      </c>
      <c r="J9" s="3">
        <v>5</v>
      </c>
    </row>
    <row r="10" spans="1:10" x14ac:dyDescent="0.35">
      <c r="A10" s="3" t="s">
        <v>24</v>
      </c>
      <c r="B10" s="3" t="s">
        <v>112</v>
      </c>
      <c r="C10" s="3" t="s">
        <v>111</v>
      </c>
      <c r="D10" s="11" t="s">
        <v>6</v>
      </c>
      <c r="E10" s="3">
        <v>3</v>
      </c>
      <c r="F10" s="3" t="s">
        <v>161</v>
      </c>
      <c r="G10" s="3"/>
      <c r="H10" s="3"/>
      <c r="I10" s="4" t="s">
        <v>42</v>
      </c>
      <c r="J10" s="3">
        <v>10</v>
      </c>
    </row>
    <row r="11" spans="1:10" x14ac:dyDescent="0.35">
      <c r="A11" s="3" t="s">
        <v>24</v>
      </c>
      <c r="B11" s="3" t="s">
        <v>25</v>
      </c>
      <c r="C11" s="3" t="s">
        <v>99</v>
      </c>
      <c r="D11" s="11" t="s">
        <v>101</v>
      </c>
      <c r="E11" s="3">
        <v>30</v>
      </c>
      <c r="F11" s="3" t="s">
        <v>161</v>
      </c>
      <c r="G11" s="3"/>
      <c r="H11" s="3" t="s">
        <v>99</v>
      </c>
      <c r="I11" s="4" t="s">
        <v>45</v>
      </c>
      <c r="J11" s="3">
        <v>13</v>
      </c>
    </row>
    <row r="12" spans="1:10" x14ac:dyDescent="0.35">
      <c r="A12" s="3" t="s">
        <v>24</v>
      </c>
      <c r="B12" s="3" t="s">
        <v>118</v>
      </c>
      <c r="C12" s="3" t="s">
        <v>116</v>
      </c>
      <c r="D12" s="11" t="s">
        <v>21</v>
      </c>
      <c r="E12" s="3">
        <v>5</v>
      </c>
      <c r="F12" s="3" t="s">
        <v>7</v>
      </c>
      <c r="G12" s="3">
        <v>1</v>
      </c>
      <c r="H12" s="3" t="s">
        <v>116</v>
      </c>
      <c r="I12" s="4" t="s">
        <v>505</v>
      </c>
      <c r="J12" s="3">
        <v>21</v>
      </c>
    </row>
    <row r="13" spans="1:10" x14ac:dyDescent="0.35">
      <c r="A13" s="3" t="s">
        <v>24</v>
      </c>
      <c r="B13" s="3" t="s">
        <v>25</v>
      </c>
      <c r="C13" s="3" t="s">
        <v>26</v>
      </c>
      <c r="D13" s="11" t="s">
        <v>21</v>
      </c>
      <c r="E13" s="3">
        <v>5</v>
      </c>
      <c r="F13" s="3" t="s">
        <v>161</v>
      </c>
      <c r="G13" s="3"/>
      <c r="H13" s="7" t="s">
        <v>96</v>
      </c>
      <c r="I13" s="4" t="s">
        <v>38</v>
      </c>
      <c r="J13" s="3">
        <v>6</v>
      </c>
    </row>
    <row r="14" spans="1:10" x14ac:dyDescent="0.35">
      <c r="A14" s="3" t="s">
        <v>24</v>
      </c>
      <c r="B14" s="3" t="s">
        <v>132</v>
      </c>
      <c r="C14" s="4" t="s">
        <v>134</v>
      </c>
      <c r="D14" s="11" t="s">
        <v>20</v>
      </c>
      <c r="E14" s="3">
        <v>4</v>
      </c>
      <c r="F14" s="3" t="s">
        <v>7</v>
      </c>
      <c r="G14" s="4" t="s">
        <v>137</v>
      </c>
      <c r="H14" s="4"/>
      <c r="I14" s="4"/>
      <c r="J14" s="3"/>
    </row>
    <row r="15" spans="1:10" x14ac:dyDescent="0.35">
      <c r="A15" s="3" t="s">
        <v>24</v>
      </c>
      <c r="B15" s="3" t="s">
        <v>132</v>
      </c>
      <c r="C15" s="4" t="s">
        <v>521</v>
      </c>
      <c r="D15" s="11" t="s">
        <v>38</v>
      </c>
      <c r="E15" s="3">
        <v>6</v>
      </c>
      <c r="F15" s="3" t="s">
        <v>7</v>
      </c>
      <c r="G15" s="4" t="s">
        <v>523</v>
      </c>
      <c r="H15" s="4"/>
      <c r="I15" s="4"/>
      <c r="J15" s="3"/>
    </row>
    <row r="16" spans="1:10" x14ac:dyDescent="0.35">
      <c r="A16" s="3" t="s">
        <v>24</v>
      </c>
      <c r="B16" s="3" t="s">
        <v>132</v>
      </c>
      <c r="C16" s="3" t="s">
        <v>135</v>
      </c>
      <c r="D16" s="11" t="s">
        <v>21</v>
      </c>
      <c r="E16" s="3">
        <v>5</v>
      </c>
      <c r="F16" s="3" t="s">
        <v>7</v>
      </c>
      <c r="G16" s="3" t="s">
        <v>138</v>
      </c>
      <c r="H16" s="4"/>
      <c r="I16" s="4"/>
      <c r="J16" s="3"/>
    </row>
    <row r="17" spans="1:10" x14ac:dyDescent="0.35">
      <c r="A17" s="3" t="s">
        <v>24</v>
      </c>
      <c r="B17" s="3" t="s">
        <v>132</v>
      </c>
      <c r="C17" s="4" t="s">
        <v>133</v>
      </c>
      <c r="D17" s="11" t="s">
        <v>4</v>
      </c>
      <c r="E17" s="3">
        <v>2</v>
      </c>
      <c r="F17" s="3" t="s">
        <v>7</v>
      </c>
      <c r="G17" s="4" t="s">
        <v>136</v>
      </c>
      <c r="H17" s="4"/>
      <c r="I17" s="4"/>
      <c r="J17" s="3"/>
    </row>
    <row r="18" spans="1:10" x14ac:dyDescent="0.35">
      <c r="A18" s="3" t="s">
        <v>24</v>
      </c>
      <c r="B18" s="3" t="s">
        <v>25</v>
      </c>
      <c r="C18" s="4" t="s">
        <v>29</v>
      </c>
      <c r="D18" s="11" t="s">
        <v>40</v>
      </c>
      <c r="E18" s="3">
        <v>8</v>
      </c>
      <c r="F18" s="3" t="s">
        <v>162</v>
      </c>
      <c r="G18" s="4" t="s">
        <v>525</v>
      </c>
      <c r="H18" s="4" t="s">
        <v>98</v>
      </c>
      <c r="I18" s="4" t="s">
        <v>20</v>
      </c>
      <c r="J18" s="3">
        <v>4</v>
      </c>
    </row>
    <row r="19" spans="1:10" x14ac:dyDescent="0.35">
      <c r="A19" s="3" t="s">
        <v>24</v>
      </c>
      <c r="B19" s="3" t="s">
        <v>127</v>
      </c>
      <c r="C19" s="4" t="s">
        <v>129</v>
      </c>
      <c r="D19" s="11" t="s">
        <v>6</v>
      </c>
      <c r="E19" s="3">
        <v>3</v>
      </c>
      <c r="F19" s="3" t="s">
        <v>161</v>
      </c>
      <c r="G19" s="3"/>
      <c r="H19" s="3" t="s">
        <v>131</v>
      </c>
      <c r="I19" s="4" t="s">
        <v>44</v>
      </c>
      <c r="J19" s="3">
        <v>12</v>
      </c>
    </row>
    <row r="20" spans="1:10" x14ac:dyDescent="0.35">
      <c r="A20" s="3" t="s">
        <v>24</v>
      </c>
      <c r="B20" s="3" t="s">
        <v>127</v>
      </c>
      <c r="C20" s="4" t="s">
        <v>128</v>
      </c>
      <c r="D20" s="11" t="s">
        <v>4</v>
      </c>
      <c r="E20" s="3">
        <v>2</v>
      </c>
      <c r="F20" s="3" t="s">
        <v>7</v>
      </c>
      <c r="G20" s="4" t="s">
        <v>130</v>
      </c>
      <c r="H20" s="4"/>
      <c r="I20" s="4"/>
      <c r="J20" s="3"/>
    </row>
    <row r="21" spans="1:10" x14ac:dyDescent="0.35">
      <c r="A21" s="3" t="s">
        <v>24</v>
      </c>
      <c r="B21" s="3" t="s">
        <v>25</v>
      </c>
      <c r="C21" s="4" t="s">
        <v>37</v>
      </c>
      <c r="D21" s="11" t="s">
        <v>48</v>
      </c>
      <c r="E21" s="3">
        <v>16</v>
      </c>
      <c r="F21" s="3" t="s">
        <v>162</v>
      </c>
      <c r="G21" s="4" t="s">
        <v>587</v>
      </c>
      <c r="H21" s="4" t="s">
        <v>519</v>
      </c>
      <c r="I21" s="4" t="s">
        <v>505</v>
      </c>
      <c r="J21" s="3">
        <v>22</v>
      </c>
    </row>
    <row r="22" spans="1:10" x14ac:dyDescent="0.35">
      <c r="A22" s="3" t="s">
        <v>24</v>
      </c>
      <c r="B22" s="3" t="s">
        <v>112</v>
      </c>
      <c r="C22" s="4" t="s">
        <v>110</v>
      </c>
      <c r="D22" s="11" t="s">
        <v>4</v>
      </c>
      <c r="E22" s="3">
        <v>2</v>
      </c>
      <c r="F22" s="3" t="s">
        <v>161</v>
      </c>
      <c r="G22" s="4"/>
      <c r="H22" s="4"/>
      <c r="I22" s="4" t="s">
        <v>41</v>
      </c>
      <c r="J22" s="3">
        <v>9</v>
      </c>
    </row>
    <row r="23" spans="1:10" x14ac:dyDescent="0.35">
      <c r="A23" s="3" t="s">
        <v>24</v>
      </c>
      <c r="B23" s="3" t="s">
        <v>25</v>
      </c>
      <c r="C23" s="4" t="s">
        <v>100</v>
      </c>
      <c r="D23" s="11" t="s">
        <v>102</v>
      </c>
      <c r="E23" s="3">
        <v>31</v>
      </c>
      <c r="F23" s="3" t="s">
        <v>161</v>
      </c>
      <c r="G23" s="3"/>
      <c r="H23" s="3" t="s">
        <v>163</v>
      </c>
      <c r="I23" s="4" t="s">
        <v>507</v>
      </c>
      <c r="J23" s="3">
        <v>19</v>
      </c>
    </row>
    <row r="24" spans="1:10" x14ac:dyDescent="0.35">
      <c r="A24" s="3" t="s">
        <v>24</v>
      </c>
      <c r="B24" s="3" t="s">
        <v>25</v>
      </c>
      <c r="C24" s="4" t="s">
        <v>36</v>
      </c>
      <c r="D24" s="11" t="s">
        <v>47</v>
      </c>
      <c r="E24" s="3">
        <v>15</v>
      </c>
      <c r="F24" s="3" t="s">
        <v>7</v>
      </c>
      <c r="G24" s="4" t="s">
        <v>149</v>
      </c>
      <c r="H24" s="4"/>
      <c r="I24" s="4"/>
      <c r="J24" s="3"/>
    </row>
    <row r="25" spans="1:10" x14ac:dyDescent="0.35">
      <c r="A25" s="3" t="s">
        <v>24</v>
      </c>
      <c r="B25" s="3" t="s">
        <v>25</v>
      </c>
      <c r="C25" s="4" t="s">
        <v>32</v>
      </c>
      <c r="D25" s="11" t="s">
        <v>43</v>
      </c>
      <c r="E25" s="3">
        <v>11</v>
      </c>
      <c r="F25" s="3" t="s">
        <v>162</v>
      </c>
      <c r="G25" s="4" t="s">
        <v>586</v>
      </c>
      <c r="H25" s="4" t="s">
        <v>172</v>
      </c>
      <c r="I25" s="4" t="s">
        <v>39</v>
      </c>
      <c r="J25" s="3">
        <v>7</v>
      </c>
    </row>
    <row r="26" spans="1:10" x14ac:dyDescent="0.35">
      <c r="A26" s="3" t="s">
        <v>24</v>
      </c>
      <c r="B26" s="3" t="s">
        <v>25</v>
      </c>
      <c r="C26" s="3" t="s">
        <v>33</v>
      </c>
      <c r="D26" s="11" t="s">
        <v>44</v>
      </c>
      <c r="E26" s="3">
        <v>12</v>
      </c>
      <c r="F26" s="3" t="s">
        <v>162</v>
      </c>
      <c r="G26" s="3" t="s">
        <v>585</v>
      </c>
      <c r="H26" s="3" t="s">
        <v>171</v>
      </c>
      <c r="I26" s="4" t="s">
        <v>40</v>
      </c>
      <c r="J26" s="3">
        <v>8</v>
      </c>
    </row>
    <row r="27" spans="1:10" x14ac:dyDescent="0.35">
      <c r="A27" s="3" t="s">
        <v>24</v>
      </c>
      <c r="B27" s="3" t="s">
        <v>118</v>
      </c>
      <c r="C27" s="3" t="s">
        <v>114</v>
      </c>
      <c r="D27" s="11" t="s">
        <v>4</v>
      </c>
      <c r="E27" s="3">
        <v>2</v>
      </c>
      <c r="F27" s="3" t="s">
        <v>7</v>
      </c>
      <c r="G27" s="4"/>
      <c r="H27" s="3" t="s">
        <v>114</v>
      </c>
      <c r="I27" s="4" t="s">
        <v>495</v>
      </c>
      <c r="J27" s="3">
        <v>20</v>
      </c>
    </row>
    <row r="28" spans="1:10" x14ac:dyDescent="0.35">
      <c r="A28" s="3" t="s">
        <v>24</v>
      </c>
      <c r="B28" s="3" t="s">
        <v>25</v>
      </c>
      <c r="C28" s="3" t="s">
        <v>35</v>
      </c>
      <c r="D28" s="11" t="s">
        <v>46</v>
      </c>
      <c r="E28" s="3">
        <v>14</v>
      </c>
      <c r="F28" s="3" t="s">
        <v>7</v>
      </c>
      <c r="G28" s="3" t="s">
        <v>148</v>
      </c>
      <c r="H28" s="3"/>
      <c r="I28" s="4"/>
      <c r="J28" s="3"/>
    </row>
    <row r="29" spans="1:10" x14ac:dyDescent="0.35">
      <c r="A29" s="3" t="s">
        <v>24</v>
      </c>
      <c r="B29" s="3" t="s">
        <v>25</v>
      </c>
      <c r="C29" s="3" t="s">
        <v>511</v>
      </c>
      <c r="D29" s="11" t="s">
        <v>515</v>
      </c>
      <c r="E29" s="3">
        <v>40</v>
      </c>
      <c r="F29" s="3" t="s">
        <v>161</v>
      </c>
      <c r="G29" s="3"/>
      <c r="H29" s="3" t="s">
        <v>516</v>
      </c>
      <c r="I29" s="4" t="s">
        <v>517</v>
      </c>
      <c r="J29" s="3">
        <v>24</v>
      </c>
    </row>
    <row r="30" spans="1:10" x14ac:dyDescent="0.35">
      <c r="A30" s="3" t="s">
        <v>24</v>
      </c>
      <c r="B30" s="3" t="s">
        <v>25</v>
      </c>
      <c r="C30" s="3" t="s">
        <v>27</v>
      </c>
      <c r="D30" s="11" t="s">
        <v>38</v>
      </c>
      <c r="E30" s="3">
        <v>6</v>
      </c>
      <c r="F30" s="3" t="s">
        <v>7</v>
      </c>
      <c r="G30" s="3" t="s">
        <v>50</v>
      </c>
      <c r="H30" s="3"/>
      <c r="I30" s="4"/>
      <c r="J30" s="3"/>
    </row>
    <row r="31" spans="1:10" x14ac:dyDescent="0.35">
      <c r="A31" s="3" t="s">
        <v>24</v>
      </c>
      <c r="B31" s="3" t="s">
        <v>25</v>
      </c>
      <c r="C31" s="3" t="s">
        <v>103</v>
      </c>
      <c r="D31" s="11" t="s">
        <v>105</v>
      </c>
      <c r="E31" s="3">
        <v>33</v>
      </c>
      <c r="F31" s="3" t="s">
        <v>161</v>
      </c>
      <c r="G31" s="3"/>
      <c r="H31" s="3" t="s">
        <v>164</v>
      </c>
      <c r="I31" s="4" t="s">
        <v>495</v>
      </c>
      <c r="J31" s="3">
        <v>21</v>
      </c>
    </row>
    <row r="32" spans="1:10" x14ac:dyDescent="0.35">
      <c r="A32" s="3" t="s">
        <v>24</v>
      </c>
      <c r="B32" s="3" t="s">
        <v>25</v>
      </c>
      <c r="C32" s="3" t="s">
        <v>158</v>
      </c>
      <c r="D32" s="11" t="s">
        <v>6</v>
      </c>
      <c r="E32" s="3">
        <v>3</v>
      </c>
      <c r="F32" s="3" t="s">
        <v>49</v>
      </c>
      <c r="G32" s="3" t="str">
        <f>Referrence!C3</f>
        <v>installed in DC</v>
      </c>
      <c r="H32" s="3"/>
      <c r="I32" s="4"/>
      <c r="J32" s="3"/>
    </row>
    <row r="33" spans="1:10" x14ac:dyDescent="0.35">
      <c r="A33" s="3" t="s">
        <v>24</v>
      </c>
      <c r="B33" s="3" t="s">
        <v>25</v>
      </c>
      <c r="C33" s="3" t="s">
        <v>104</v>
      </c>
      <c r="D33" s="11" t="s">
        <v>106</v>
      </c>
      <c r="E33" s="3">
        <v>34</v>
      </c>
      <c r="F33" s="3" t="s">
        <v>161</v>
      </c>
      <c r="G33" s="3"/>
      <c r="H33" s="7" t="s">
        <v>165</v>
      </c>
      <c r="I33" s="4" t="s">
        <v>43</v>
      </c>
      <c r="J33" s="3">
        <v>11</v>
      </c>
    </row>
    <row r="34" spans="1:10" x14ac:dyDescent="0.35">
      <c r="A34" s="3" t="s">
        <v>24</v>
      </c>
      <c r="B34" s="3" t="s">
        <v>25</v>
      </c>
      <c r="C34" s="4" t="s">
        <v>513</v>
      </c>
      <c r="D34" s="11" t="s">
        <v>514</v>
      </c>
      <c r="E34" s="3">
        <v>41</v>
      </c>
      <c r="F34" s="3" t="s">
        <v>161</v>
      </c>
      <c r="G34" s="4"/>
      <c r="H34" s="4" t="s">
        <v>512</v>
      </c>
      <c r="I34" s="4" t="s">
        <v>518</v>
      </c>
      <c r="J34" s="3">
        <v>25</v>
      </c>
    </row>
    <row r="35" spans="1:10" x14ac:dyDescent="0.35">
      <c r="A35" s="3" t="s">
        <v>24</v>
      </c>
      <c r="B35" s="3" t="s">
        <v>25</v>
      </c>
      <c r="C35" s="3" t="s">
        <v>1</v>
      </c>
      <c r="D35" s="11" t="s">
        <v>2</v>
      </c>
      <c r="E35" s="3">
        <v>1</v>
      </c>
      <c r="F35" s="3" t="s">
        <v>161</v>
      </c>
      <c r="G35" s="3"/>
      <c r="H35" s="4" t="s">
        <v>53</v>
      </c>
      <c r="I35" s="4" t="s">
        <v>4</v>
      </c>
      <c r="J35" s="3">
        <v>2</v>
      </c>
    </row>
    <row r="36" spans="1:10" x14ac:dyDescent="0.35">
      <c r="A36" s="3" t="s">
        <v>24</v>
      </c>
      <c r="B36" s="3" t="s">
        <v>127</v>
      </c>
      <c r="C36" s="4" t="s">
        <v>1</v>
      </c>
      <c r="D36" s="11" t="s">
        <v>2</v>
      </c>
      <c r="E36" s="3">
        <v>1</v>
      </c>
      <c r="F36" s="3" t="s">
        <v>161</v>
      </c>
      <c r="G36" s="4"/>
      <c r="H36" s="4" t="s">
        <v>53</v>
      </c>
      <c r="I36" s="4" t="s">
        <v>4</v>
      </c>
      <c r="J36" s="3">
        <v>2</v>
      </c>
    </row>
    <row r="37" spans="1:10" x14ac:dyDescent="0.35">
      <c r="A37" s="3" t="s">
        <v>24</v>
      </c>
      <c r="B37" s="3" t="s">
        <v>132</v>
      </c>
      <c r="C37" s="4" t="s">
        <v>10</v>
      </c>
      <c r="D37" s="11" t="s">
        <v>2</v>
      </c>
      <c r="E37" s="3">
        <v>1</v>
      </c>
      <c r="F37" s="3" t="s">
        <v>161</v>
      </c>
      <c r="G37" s="3"/>
      <c r="H37" s="3" t="s">
        <v>53</v>
      </c>
      <c r="I37" s="4" t="s">
        <v>4</v>
      </c>
      <c r="J37" s="3">
        <v>2</v>
      </c>
    </row>
    <row r="38" spans="1:10" x14ac:dyDescent="0.35">
      <c r="A38" s="3" t="s">
        <v>24</v>
      </c>
      <c r="B38" s="3" t="s">
        <v>118</v>
      </c>
      <c r="C38" s="4" t="s">
        <v>113</v>
      </c>
      <c r="D38" s="11" t="s">
        <v>2</v>
      </c>
      <c r="E38" s="3">
        <v>1</v>
      </c>
      <c r="F38" s="3" t="s">
        <v>161</v>
      </c>
      <c r="G38" s="3"/>
      <c r="H38" s="4" t="s">
        <v>53</v>
      </c>
      <c r="I38" s="4" t="s">
        <v>4</v>
      </c>
      <c r="J38" s="3">
        <v>2</v>
      </c>
    </row>
    <row r="39" spans="1:10" x14ac:dyDescent="0.35">
      <c r="A39" s="3" t="s">
        <v>24</v>
      </c>
      <c r="B39" s="3" t="s">
        <v>112</v>
      </c>
      <c r="C39" s="4" t="s">
        <v>109</v>
      </c>
      <c r="D39" s="11" t="s">
        <v>2</v>
      </c>
      <c r="E39" s="3">
        <v>1</v>
      </c>
      <c r="F39" s="3" t="s">
        <v>161</v>
      </c>
      <c r="G39" s="3"/>
      <c r="H39" s="3" t="s">
        <v>53</v>
      </c>
      <c r="I39" s="4" t="s">
        <v>4</v>
      </c>
      <c r="J39" s="3">
        <v>2</v>
      </c>
    </row>
    <row r="40" spans="1:10" x14ac:dyDescent="0.35">
      <c r="A40" s="3" t="s">
        <v>24</v>
      </c>
      <c r="B40" s="3" t="s">
        <v>25</v>
      </c>
      <c r="C40" s="4" t="s">
        <v>65</v>
      </c>
      <c r="D40" s="11" t="s">
        <v>20</v>
      </c>
      <c r="E40" s="3">
        <v>4</v>
      </c>
      <c r="F40" s="3" t="s">
        <v>162</v>
      </c>
      <c r="G40" s="4" t="s">
        <v>589</v>
      </c>
      <c r="H40" s="4" t="s">
        <v>65</v>
      </c>
      <c r="I40" s="4" t="s">
        <v>6</v>
      </c>
      <c r="J40" s="3">
        <v>3</v>
      </c>
    </row>
    <row r="41" spans="1:10" x14ac:dyDescent="0.35">
      <c r="A41" s="3" t="s">
        <v>24</v>
      </c>
      <c r="B41" s="3" t="s">
        <v>25</v>
      </c>
      <c r="C41" s="4" t="s">
        <v>31</v>
      </c>
      <c r="D41" s="11" t="s">
        <v>42</v>
      </c>
      <c r="E41" s="3">
        <v>10</v>
      </c>
      <c r="F41" s="3" t="s">
        <v>7</v>
      </c>
      <c r="G41" s="4" t="s">
        <v>52</v>
      </c>
      <c r="H41" s="4"/>
      <c r="I41" s="4"/>
      <c r="J41" s="3"/>
    </row>
    <row r="42" spans="1:10" x14ac:dyDescent="0.35">
      <c r="A42" s="3" t="s">
        <v>23</v>
      </c>
      <c r="B42" s="3" t="s">
        <v>9</v>
      </c>
      <c r="C42" s="3" t="s">
        <v>11</v>
      </c>
      <c r="D42" s="11" t="s">
        <v>4</v>
      </c>
      <c r="E42" s="3">
        <v>2</v>
      </c>
      <c r="F42" s="3" t="s">
        <v>7</v>
      </c>
      <c r="G42" s="3" t="s">
        <v>18</v>
      </c>
      <c r="H42" s="3"/>
      <c r="I42" s="4"/>
      <c r="J42" s="3"/>
    </row>
    <row r="43" spans="1:10" x14ac:dyDescent="0.35">
      <c r="A43" s="3" t="s">
        <v>23</v>
      </c>
      <c r="B43" s="3" t="s">
        <v>0</v>
      </c>
      <c r="C43" s="3" t="s">
        <v>3</v>
      </c>
      <c r="D43" s="11" t="s">
        <v>4</v>
      </c>
      <c r="E43" s="3">
        <v>2</v>
      </c>
      <c r="F43" s="3" t="s">
        <v>162</v>
      </c>
      <c r="G43" s="3" t="s">
        <v>574</v>
      </c>
      <c r="H43" s="3" t="s">
        <v>146</v>
      </c>
      <c r="I43" s="4" t="s">
        <v>21</v>
      </c>
      <c r="J43" s="3">
        <v>5</v>
      </c>
    </row>
    <row r="44" spans="1:10" x14ac:dyDescent="0.35">
      <c r="A44" s="3" t="s">
        <v>23</v>
      </c>
      <c r="B44" s="3" t="s">
        <v>9</v>
      </c>
      <c r="C44" s="3" t="s">
        <v>13</v>
      </c>
      <c r="D44" s="11" t="s">
        <v>20</v>
      </c>
      <c r="E44" s="3">
        <v>4</v>
      </c>
      <c r="F44" s="3" t="s">
        <v>7</v>
      </c>
      <c r="G44" s="3">
        <v>1</v>
      </c>
      <c r="H44" s="3"/>
      <c r="I44" s="4"/>
      <c r="J44" s="3"/>
    </row>
    <row r="45" spans="1:10" x14ac:dyDescent="0.35">
      <c r="A45" s="3" t="s">
        <v>23</v>
      </c>
      <c r="B45" s="3" t="s">
        <v>0</v>
      </c>
      <c r="C45" s="3" t="s">
        <v>5</v>
      </c>
      <c r="D45" s="11" t="s">
        <v>6</v>
      </c>
      <c r="E45" s="3">
        <v>3</v>
      </c>
      <c r="F45" s="3" t="s">
        <v>7</v>
      </c>
      <c r="G45" s="3" t="s">
        <v>8</v>
      </c>
      <c r="H45" s="3"/>
      <c r="I45" s="4"/>
      <c r="J45" s="3"/>
    </row>
    <row r="46" spans="1:10" x14ac:dyDescent="0.35">
      <c r="A46" s="3" t="s">
        <v>23</v>
      </c>
      <c r="B46" s="3" t="s">
        <v>9</v>
      </c>
      <c r="C46" s="3" t="s">
        <v>12</v>
      </c>
      <c r="D46" s="11" t="s">
        <v>6</v>
      </c>
      <c r="E46" s="3">
        <v>3</v>
      </c>
      <c r="F46" s="3" t="s">
        <v>7</v>
      </c>
      <c r="G46" s="3" t="s">
        <v>18</v>
      </c>
      <c r="H46" s="3"/>
      <c r="I46" s="4"/>
      <c r="J46" s="3"/>
    </row>
    <row r="47" spans="1:10" x14ac:dyDescent="0.35">
      <c r="A47" s="3" t="s">
        <v>23</v>
      </c>
      <c r="B47" s="3" t="s">
        <v>0</v>
      </c>
      <c r="C47" s="4" t="s">
        <v>1</v>
      </c>
      <c r="D47" s="11" t="s">
        <v>2</v>
      </c>
      <c r="E47" s="3">
        <v>1</v>
      </c>
      <c r="F47" s="3" t="s">
        <v>161</v>
      </c>
      <c r="G47" s="4"/>
      <c r="H47" s="4" t="s">
        <v>53</v>
      </c>
      <c r="I47" s="4" t="s">
        <v>4</v>
      </c>
      <c r="J47" s="3">
        <v>2</v>
      </c>
    </row>
    <row r="48" spans="1:10" x14ac:dyDescent="0.35">
      <c r="A48" s="3" t="s">
        <v>23</v>
      </c>
      <c r="B48" s="3" t="s">
        <v>9</v>
      </c>
      <c r="C48" s="4" t="s">
        <v>10</v>
      </c>
      <c r="D48" s="11" t="s">
        <v>2</v>
      </c>
      <c r="E48" s="3">
        <v>1</v>
      </c>
      <c r="F48" s="3" t="s">
        <v>161</v>
      </c>
      <c r="G48" s="4"/>
      <c r="H48" s="4" t="s">
        <v>53</v>
      </c>
      <c r="I48" s="4" t="s">
        <v>4</v>
      </c>
      <c r="J48" s="3">
        <v>2</v>
      </c>
    </row>
    <row r="49" spans="1:10" x14ac:dyDescent="0.35">
      <c r="A49" s="3" t="s">
        <v>23</v>
      </c>
      <c r="B49" s="3" t="s">
        <v>9</v>
      </c>
      <c r="C49" s="4" t="s">
        <v>14</v>
      </c>
      <c r="D49" s="11" t="s">
        <v>21</v>
      </c>
      <c r="E49" s="3">
        <v>5</v>
      </c>
      <c r="F49" s="3" t="s">
        <v>7</v>
      </c>
      <c r="G49" s="3">
        <v>1</v>
      </c>
      <c r="H49" s="4"/>
      <c r="I49" s="4"/>
      <c r="J49" s="3"/>
    </row>
    <row r="50" spans="1:10" x14ac:dyDescent="0.35">
      <c r="A50" s="3" t="s">
        <v>522</v>
      </c>
      <c r="B50" s="3" t="s">
        <v>25</v>
      </c>
      <c r="C50" s="3" t="s">
        <v>508</v>
      </c>
      <c r="D50" s="11" t="s">
        <v>509</v>
      </c>
      <c r="E50" s="3">
        <v>85</v>
      </c>
      <c r="F50" s="3" t="s">
        <v>7</v>
      </c>
      <c r="G50" s="3" t="s">
        <v>510</v>
      </c>
      <c r="H50" s="3"/>
      <c r="I50" s="4"/>
      <c r="J50" s="3"/>
    </row>
    <row r="51" spans="1:10" x14ac:dyDescent="0.35">
      <c r="A51" s="3" t="s">
        <v>522</v>
      </c>
      <c r="B51" s="3" t="s">
        <v>25</v>
      </c>
      <c r="C51" s="3" t="s">
        <v>28</v>
      </c>
      <c r="D51" s="11" t="s">
        <v>39</v>
      </c>
      <c r="E51" s="3">
        <v>7</v>
      </c>
      <c r="F51" s="3" t="s">
        <v>7</v>
      </c>
      <c r="G51" s="3" t="s">
        <v>97</v>
      </c>
      <c r="H51" s="3"/>
      <c r="I51" s="4"/>
      <c r="J51" s="3"/>
    </row>
    <row r="52" spans="1:10" x14ac:dyDescent="0.35">
      <c r="A52" s="3" t="s">
        <v>522</v>
      </c>
      <c r="B52" s="3" t="s">
        <v>25</v>
      </c>
      <c r="C52" s="3" t="s">
        <v>107</v>
      </c>
      <c r="D52" s="11" t="s">
        <v>108</v>
      </c>
      <c r="E52" s="3">
        <v>81</v>
      </c>
      <c r="F52" s="3" t="s">
        <v>161</v>
      </c>
      <c r="G52" s="3"/>
      <c r="H52" s="3" t="s">
        <v>520</v>
      </c>
      <c r="I52" s="4" t="s">
        <v>506</v>
      </c>
      <c r="J52" s="3">
        <v>23</v>
      </c>
    </row>
    <row r="53" spans="1:10" x14ac:dyDescent="0.35">
      <c r="A53" s="3" t="s">
        <v>522</v>
      </c>
      <c r="B53" s="3" t="s">
        <v>9</v>
      </c>
      <c r="C53" s="3" t="s">
        <v>11</v>
      </c>
      <c r="D53" s="11" t="s">
        <v>4</v>
      </c>
      <c r="E53" s="3">
        <v>2</v>
      </c>
      <c r="F53" s="3" t="s">
        <v>7</v>
      </c>
      <c r="G53" s="3" t="s">
        <v>18</v>
      </c>
      <c r="H53" s="3"/>
      <c r="I53" s="4"/>
      <c r="J53" s="3"/>
    </row>
    <row r="54" spans="1:10" x14ac:dyDescent="0.35">
      <c r="A54" s="3" t="s">
        <v>522</v>
      </c>
      <c r="B54" s="3" t="s">
        <v>25</v>
      </c>
      <c r="C54" s="4" t="s">
        <v>34</v>
      </c>
      <c r="D54" s="11" t="s">
        <v>45</v>
      </c>
      <c r="E54" s="3">
        <v>13</v>
      </c>
      <c r="F54" s="3" t="s">
        <v>7</v>
      </c>
      <c r="G54" s="4" t="s">
        <v>147</v>
      </c>
      <c r="H54" s="4"/>
      <c r="I54" s="4"/>
      <c r="J54" s="3"/>
    </row>
    <row r="55" spans="1:10" x14ac:dyDescent="0.35">
      <c r="A55" s="3" t="s">
        <v>522</v>
      </c>
      <c r="B55" s="3" t="s">
        <v>118</v>
      </c>
      <c r="C55" s="3" t="s">
        <v>117</v>
      </c>
      <c r="D55" s="11" t="s">
        <v>39</v>
      </c>
      <c r="E55" s="3">
        <v>7</v>
      </c>
      <c r="F55" s="3" t="s">
        <v>7</v>
      </c>
      <c r="G55" s="4"/>
      <c r="H55" s="3" t="s">
        <v>117</v>
      </c>
      <c r="I55" s="4" t="s">
        <v>506</v>
      </c>
      <c r="J55" s="3">
        <v>22</v>
      </c>
    </row>
    <row r="56" spans="1:10" x14ac:dyDescent="0.35">
      <c r="A56" s="3" t="s">
        <v>522</v>
      </c>
      <c r="B56" s="3" t="s">
        <v>118</v>
      </c>
      <c r="C56" s="3" t="s">
        <v>115</v>
      </c>
      <c r="D56" s="11" t="s">
        <v>6</v>
      </c>
      <c r="E56" s="3">
        <v>3</v>
      </c>
      <c r="F56" s="3" t="s">
        <v>162</v>
      </c>
      <c r="G56" s="3" t="s">
        <v>170</v>
      </c>
      <c r="H56" s="3" t="s">
        <v>166</v>
      </c>
      <c r="I56" s="4" t="s">
        <v>46</v>
      </c>
      <c r="J56" s="3">
        <v>14</v>
      </c>
    </row>
    <row r="57" spans="1:10" x14ac:dyDescent="0.35">
      <c r="A57" s="3" t="s">
        <v>522</v>
      </c>
      <c r="B57" s="3" t="s">
        <v>25</v>
      </c>
      <c r="C57" s="3" t="s">
        <v>30</v>
      </c>
      <c r="D57" s="11" t="s">
        <v>41</v>
      </c>
      <c r="E57" s="3">
        <v>9</v>
      </c>
      <c r="F57" s="3" t="s">
        <v>7</v>
      </c>
      <c r="G57" s="3" t="s">
        <v>51</v>
      </c>
      <c r="H57" s="3"/>
      <c r="I57" s="4"/>
      <c r="J57" s="3"/>
    </row>
    <row r="58" spans="1:10" x14ac:dyDescent="0.35">
      <c r="A58" s="3" t="s">
        <v>522</v>
      </c>
      <c r="B58" s="3" t="s">
        <v>0</v>
      </c>
      <c r="C58" s="3" t="s">
        <v>3</v>
      </c>
      <c r="D58" s="11" t="s">
        <v>4</v>
      </c>
      <c r="E58" s="3">
        <v>2</v>
      </c>
      <c r="F58" s="3" t="s">
        <v>162</v>
      </c>
      <c r="G58" s="3" t="s">
        <v>574</v>
      </c>
      <c r="H58" s="3" t="s">
        <v>146</v>
      </c>
      <c r="I58" s="4" t="s">
        <v>21</v>
      </c>
      <c r="J58" s="3">
        <v>5</v>
      </c>
    </row>
    <row r="59" spans="1:10" x14ac:dyDescent="0.35">
      <c r="A59" s="3" t="s">
        <v>522</v>
      </c>
      <c r="B59" s="3" t="s">
        <v>25</v>
      </c>
      <c r="C59" s="3" t="s">
        <v>3</v>
      </c>
      <c r="D59" s="11" t="s">
        <v>4</v>
      </c>
      <c r="E59" s="3">
        <v>2</v>
      </c>
      <c r="F59" s="3" t="s">
        <v>162</v>
      </c>
      <c r="G59" s="3" t="s">
        <v>574</v>
      </c>
      <c r="H59" s="3" t="s">
        <v>146</v>
      </c>
      <c r="I59" s="4" t="s">
        <v>21</v>
      </c>
      <c r="J59" s="3">
        <v>5</v>
      </c>
    </row>
    <row r="60" spans="1:10" x14ac:dyDescent="0.35">
      <c r="A60" s="3" t="s">
        <v>522</v>
      </c>
      <c r="B60" s="3" t="s">
        <v>112</v>
      </c>
      <c r="C60" s="3" t="s">
        <v>111</v>
      </c>
      <c r="D60" s="11" t="s">
        <v>6</v>
      </c>
      <c r="E60" s="3">
        <v>3</v>
      </c>
      <c r="F60" s="3" t="s">
        <v>161</v>
      </c>
      <c r="G60" s="3"/>
      <c r="H60" s="3"/>
      <c r="I60" s="4" t="s">
        <v>42</v>
      </c>
      <c r="J60" s="3">
        <v>10</v>
      </c>
    </row>
    <row r="61" spans="1:10" x14ac:dyDescent="0.35">
      <c r="A61" s="3" t="s">
        <v>522</v>
      </c>
      <c r="B61" s="3" t="s">
        <v>25</v>
      </c>
      <c r="C61" s="3" t="s">
        <v>99</v>
      </c>
      <c r="D61" s="11" t="s">
        <v>101</v>
      </c>
      <c r="E61" s="3">
        <v>30</v>
      </c>
      <c r="F61" s="3" t="s">
        <v>161</v>
      </c>
      <c r="G61" s="3"/>
      <c r="H61" s="3" t="s">
        <v>99</v>
      </c>
      <c r="I61" s="4" t="s">
        <v>45</v>
      </c>
      <c r="J61" s="3">
        <v>13</v>
      </c>
    </row>
    <row r="62" spans="1:10" x14ac:dyDescent="0.35">
      <c r="A62" s="3" t="s">
        <v>522</v>
      </c>
      <c r="B62" s="3" t="s">
        <v>118</v>
      </c>
      <c r="C62" s="3" t="s">
        <v>116</v>
      </c>
      <c r="D62" s="11" t="s">
        <v>21</v>
      </c>
      <c r="E62" s="3">
        <v>5</v>
      </c>
      <c r="F62" s="3" t="s">
        <v>7</v>
      </c>
      <c r="G62" s="3">
        <v>1</v>
      </c>
      <c r="H62" s="3" t="s">
        <v>116</v>
      </c>
      <c r="I62" s="4" t="s">
        <v>505</v>
      </c>
      <c r="J62" s="3">
        <v>21</v>
      </c>
    </row>
    <row r="63" spans="1:10" x14ac:dyDescent="0.35">
      <c r="A63" s="3" t="s">
        <v>522</v>
      </c>
      <c r="B63" s="3" t="s">
        <v>25</v>
      </c>
      <c r="C63" s="4" t="s">
        <v>26</v>
      </c>
      <c r="D63" s="11" t="s">
        <v>21</v>
      </c>
      <c r="E63" s="3">
        <v>5</v>
      </c>
      <c r="F63" s="3" t="s">
        <v>161</v>
      </c>
      <c r="G63" s="3"/>
      <c r="H63" s="4" t="s">
        <v>96</v>
      </c>
      <c r="I63" s="4" t="s">
        <v>38</v>
      </c>
      <c r="J63" s="3">
        <v>6</v>
      </c>
    </row>
    <row r="64" spans="1:10" x14ac:dyDescent="0.35">
      <c r="A64" s="3" t="s">
        <v>522</v>
      </c>
      <c r="B64" s="3" t="s">
        <v>132</v>
      </c>
      <c r="C64" s="4" t="s">
        <v>134</v>
      </c>
      <c r="D64" s="11" t="s">
        <v>20</v>
      </c>
      <c r="E64" s="3">
        <v>4</v>
      </c>
      <c r="F64" s="3" t="s">
        <v>7</v>
      </c>
      <c r="G64" s="4" t="s">
        <v>137</v>
      </c>
      <c r="H64" s="4"/>
      <c r="I64" s="4"/>
      <c r="J64" s="3"/>
    </row>
    <row r="65" spans="1:10" x14ac:dyDescent="0.35">
      <c r="A65" s="3" t="s">
        <v>522</v>
      </c>
      <c r="B65" s="3" t="s">
        <v>132</v>
      </c>
      <c r="C65" s="4" t="s">
        <v>521</v>
      </c>
      <c r="D65" s="11" t="s">
        <v>38</v>
      </c>
      <c r="E65" s="3">
        <v>6</v>
      </c>
      <c r="F65" s="3" t="s">
        <v>7</v>
      </c>
      <c r="G65" s="3" t="s">
        <v>523</v>
      </c>
      <c r="H65" s="4"/>
      <c r="I65" s="4"/>
      <c r="J65" s="3"/>
    </row>
    <row r="66" spans="1:10" x14ac:dyDescent="0.35">
      <c r="A66" s="3" t="s">
        <v>522</v>
      </c>
      <c r="B66" s="3" t="s">
        <v>132</v>
      </c>
      <c r="C66" s="4" t="s">
        <v>135</v>
      </c>
      <c r="D66" s="11" t="s">
        <v>21</v>
      </c>
      <c r="E66" s="3">
        <v>5</v>
      </c>
      <c r="F66" s="3" t="s">
        <v>7</v>
      </c>
      <c r="G66" s="4" t="s">
        <v>138</v>
      </c>
      <c r="H66" s="4"/>
      <c r="I66" s="4"/>
      <c r="J66" s="3"/>
    </row>
    <row r="67" spans="1:10" x14ac:dyDescent="0.35">
      <c r="A67" s="3" t="s">
        <v>522</v>
      </c>
      <c r="B67" s="3" t="s">
        <v>132</v>
      </c>
      <c r="C67" s="4" t="s">
        <v>133</v>
      </c>
      <c r="D67" s="11" t="s">
        <v>4</v>
      </c>
      <c r="E67" s="3">
        <v>2</v>
      </c>
      <c r="F67" s="3" t="s">
        <v>7</v>
      </c>
      <c r="G67" s="3" t="s">
        <v>136</v>
      </c>
      <c r="H67" s="3"/>
      <c r="I67" s="4"/>
      <c r="J67" s="3"/>
    </row>
    <row r="68" spans="1:10" x14ac:dyDescent="0.35">
      <c r="A68" s="3" t="s">
        <v>522</v>
      </c>
      <c r="B68" s="3" t="s">
        <v>25</v>
      </c>
      <c r="C68" s="4" t="s">
        <v>29</v>
      </c>
      <c r="D68" s="11" t="s">
        <v>40</v>
      </c>
      <c r="E68" s="3">
        <v>8</v>
      </c>
      <c r="F68" s="3" t="s">
        <v>162</v>
      </c>
      <c r="G68" s="4" t="s">
        <v>525</v>
      </c>
      <c r="H68" s="4" t="s">
        <v>98</v>
      </c>
      <c r="I68" s="4" t="s">
        <v>20</v>
      </c>
      <c r="J68" s="3">
        <v>4</v>
      </c>
    </row>
    <row r="69" spans="1:10" x14ac:dyDescent="0.35">
      <c r="A69" s="3" t="s">
        <v>522</v>
      </c>
      <c r="B69" s="3" t="s">
        <v>127</v>
      </c>
      <c r="C69" s="4" t="s">
        <v>129</v>
      </c>
      <c r="D69" s="11" t="s">
        <v>6</v>
      </c>
      <c r="E69" s="3">
        <v>3</v>
      </c>
      <c r="F69" s="3" t="s">
        <v>161</v>
      </c>
      <c r="G69" s="4"/>
      <c r="H69" s="4" t="s">
        <v>131</v>
      </c>
      <c r="I69" s="4" t="s">
        <v>44</v>
      </c>
      <c r="J69" s="3">
        <v>12</v>
      </c>
    </row>
    <row r="70" spans="1:10" x14ac:dyDescent="0.35">
      <c r="A70" s="3" t="s">
        <v>522</v>
      </c>
      <c r="B70" s="3" t="s">
        <v>127</v>
      </c>
      <c r="C70" s="4" t="s">
        <v>128</v>
      </c>
      <c r="D70" s="11" t="s">
        <v>4</v>
      </c>
      <c r="E70" s="3">
        <v>2</v>
      </c>
      <c r="F70" s="3" t="s">
        <v>7</v>
      </c>
      <c r="G70" s="3" t="s">
        <v>130</v>
      </c>
      <c r="H70" s="4"/>
      <c r="I70" s="4"/>
      <c r="J70" s="3"/>
    </row>
    <row r="71" spans="1:10" x14ac:dyDescent="0.35">
      <c r="A71" s="3" t="s">
        <v>522</v>
      </c>
      <c r="B71" s="3" t="s">
        <v>25</v>
      </c>
      <c r="C71" s="4" t="s">
        <v>37</v>
      </c>
      <c r="D71" s="11" t="s">
        <v>48</v>
      </c>
      <c r="E71" s="3">
        <v>16</v>
      </c>
      <c r="F71" s="3" t="s">
        <v>162</v>
      </c>
      <c r="G71" s="4" t="s">
        <v>587</v>
      </c>
      <c r="H71" s="3" t="s">
        <v>519</v>
      </c>
      <c r="I71" s="4" t="s">
        <v>505</v>
      </c>
      <c r="J71" s="3">
        <v>22</v>
      </c>
    </row>
    <row r="72" spans="1:10" x14ac:dyDescent="0.35">
      <c r="A72" s="3" t="s">
        <v>522</v>
      </c>
      <c r="B72" s="3" t="s">
        <v>112</v>
      </c>
      <c r="C72" s="4" t="s">
        <v>110</v>
      </c>
      <c r="D72" s="11" t="s">
        <v>4</v>
      </c>
      <c r="E72" s="3">
        <v>2</v>
      </c>
      <c r="F72" s="3" t="s">
        <v>161</v>
      </c>
      <c r="G72" s="4"/>
      <c r="H72" s="4"/>
      <c r="I72" s="4" t="s">
        <v>41</v>
      </c>
      <c r="J72" s="3">
        <v>9</v>
      </c>
    </row>
    <row r="73" spans="1:10" x14ac:dyDescent="0.35">
      <c r="A73" s="3" t="s">
        <v>522</v>
      </c>
      <c r="B73" s="3" t="s">
        <v>25</v>
      </c>
      <c r="C73" s="4" t="s">
        <v>100</v>
      </c>
      <c r="D73" s="11" t="s">
        <v>102</v>
      </c>
      <c r="E73" s="3">
        <v>31</v>
      </c>
      <c r="F73" s="3" t="s">
        <v>161</v>
      </c>
      <c r="G73" s="4"/>
      <c r="H73" s="4" t="s">
        <v>163</v>
      </c>
      <c r="I73" s="4" t="s">
        <v>507</v>
      </c>
      <c r="J73" s="3">
        <v>19</v>
      </c>
    </row>
    <row r="74" spans="1:10" x14ac:dyDescent="0.35">
      <c r="A74" s="3" t="s">
        <v>522</v>
      </c>
      <c r="B74" s="3" t="s">
        <v>25</v>
      </c>
      <c r="C74" s="4" t="s">
        <v>36</v>
      </c>
      <c r="D74" s="11" t="s">
        <v>47</v>
      </c>
      <c r="E74" s="3">
        <v>15</v>
      </c>
      <c r="F74" s="3" t="s">
        <v>7</v>
      </c>
      <c r="G74" s="3" t="s">
        <v>149</v>
      </c>
      <c r="H74" s="4"/>
      <c r="I74" s="4"/>
      <c r="J74" s="3"/>
    </row>
    <row r="75" spans="1:10" x14ac:dyDescent="0.35">
      <c r="A75" s="3" t="s">
        <v>522</v>
      </c>
      <c r="B75" s="3" t="s">
        <v>25</v>
      </c>
      <c r="C75" s="3" t="s">
        <v>32</v>
      </c>
      <c r="D75" s="11" t="s">
        <v>43</v>
      </c>
      <c r="E75" s="3">
        <v>11</v>
      </c>
      <c r="F75" s="3" t="s">
        <v>162</v>
      </c>
      <c r="G75" s="4" t="s">
        <v>586</v>
      </c>
      <c r="H75" s="3" t="s">
        <v>172</v>
      </c>
      <c r="I75" s="4" t="s">
        <v>39</v>
      </c>
      <c r="J75" s="3">
        <v>7</v>
      </c>
    </row>
    <row r="76" spans="1:10" x14ac:dyDescent="0.35">
      <c r="A76" s="3" t="s">
        <v>522</v>
      </c>
      <c r="B76" s="3" t="s">
        <v>25</v>
      </c>
      <c r="C76" s="3" t="s">
        <v>33</v>
      </c>
      <c r="D76" s="11" t="s">
        <v>44</v>
      </c>
      <c r="E76" s="3">
        <v>12</v>
      </c>
      <c r="F76" s="3" t="s">
        <v>162</v>
      </c>
      <c r="G76" s="3" t="s">
        <v>585</v>
      </c>
      <c r="H76" s="3" t="s">
        <v>171</v>
      </c>
      <c r="I76" s="4" t="s">
        <v>40</v>
      </c>
      <c r="J76" s="3">
        <v>8</v>
      </c>
    </row>
    <row r="77" spans="1:10" x14ac:dyDescent="0.35">
      <c r="A77" s="3" t="s">
        <v>522</v>
      </c>
      <c r="B77" s="3" t="s">
        <v>9</v>
      </c>
      <c r="C77" s="3" t="s">
        <v>13</v>
      </c>
      <c r="D77" s="11" t="s">
        <v>20</v>
      </c>
      <c r="E77" s="3">
        <v>4</v>
      </c>
      <c r="F77" s="3" t="s">
        <v>7</v>
      </c>
      <c r="G77" s="3">
        <v>1</v>
      </c>
      <c r="H77" s="3"/>
      <c r="I77" s="4"/>
      <c r="J77" s="3"/>
    </row>
    <row r="78" spans="1:10" x14ac:dyDescent="0.35">
      <c r="A78" s="3" t="s">
        <v>522</v>
      </c>
      <c r="B78" s="3" t="s">
        <v>118</v>
      </c>
      <c r="C78" s="3" t="s">
        <v>114</v>
      </c>
      <c r="D78" s="11" t="s">
        <v>4</v>
      </c>
      <c r="E78" s="3">
        <v>2</v>
      </c>
      <c r="F78" s="3" t="s">
        <v>7</v>
      </c>
      <c r="G78" s="4"/>
      <c r="H78" s="3" t="s">
        <v>114</v>
      </c>
      <c r="I78" s="4" t="s">
        <v>495</v>
      </c>
      <c r="J78" s="3">
        <v>20</v>
      </c>
    </row>
    <row r="79" spans="1:10" x14ac:dyDescent="0.35">
      <c r="A79" s="3" t="s">
        <v>522</v>
      </c>
      <c r="B79" s="3" t="s">
        <v>25</v>
      </c>
      <c r="C79" s="3" t="s">
        <v>35</v>
      </c>
      <c r="D79" s="11" t="s">
        <v>46</v>
      </c>
      <c r="E79" s="3">
        <v>14</v>
      </c>
      <c r="F79" s="3" t="s">
        <v>7</v>
      </c>
      <c r="G79" s="3" t="s">
        <v>148</v>
      </c>
      <c r="H79" s="3"/>
      <c r="I79" s="4"/>
      <c r="J79" s="3"/>
    </row>
    <row r="80" spans="1:10" x14ac:dyDescent="0.35">
      <c r="A80" s="3" t="s">
        <v>522</v>
      </c>
      <c r="B80" s="3" t="s">
        <v>25</v>
      </c>
      <c r="C80" s="3" t="s">
        <v>511</v>
      </c>
      <c r="D80" s="11" t="s">
        <v>515</v>
      </c>
      <c r="E80" s="3">
        <v>40</v>
      </c>
      <c r="F80" s="3" t="s">
        <v>161</v>
      </c>
      <c r="G80" s="3"/>
      <c r="H80" s="3" t="s">
        <v>516</v>
      </c>
      <c r="I80" s="4" t="s">
        <v>517</v>
      </c>
      <c r="J80" s="3">
        <v>24</v>
      </c>
    </row>
    <row r="81" spans="1:10" x14ac:dyDescent="0.35">
      <c r="A81" s="3" t="s">
        <v>522</v>
      </c>
      <c r="B81" s="3" t="s">
        <v>25</v>
      </c>
      <c r="C81" s="3" t="s">
        <v>27</v>
      </c>
      <c r="D81" s="11" t="s">
        <v>38</v>
      </c>
      <c r="E81" s="3">
        <v>6</v>
      </c>
      <c r="F81" s="3" t="s">
        <v>7</v>
      </c>
      <c r="G81" s="3" t="s">
        <v>50</v>
      </c>
      <c r="H81" s="3"/>
      <c r="I81" s="4"/>
      <c r="J81" s="3"/>
    </row>
    <row r="82" spans="1:10" x14ac:dyDescent="0.35">
      <c r="A82" s="3" t="s">
        <v>522</v>
      </c>
      <c r="B82" s="3" t="s">
        <v>25</v>
      </c>
      <c r="C82" s="3" t="s">
        <v>103</v>
      </c>
      <c r="D82" s="11" t="s">
        <v>105</v>
      </c>
      <c r="E82" s="3">
        <v>33</v>
      </c>
      <c r="F82" s="3" t="s">
        <v>161</v>
      </c>
      <c r="G82" s="3"/>
      <c r="H82" s="3" t="s">
        <v>164</v>
      </c>
      <c r="I82" s="4" t="s">
        <v>495</v>
      </c>
      <c r="J82" s="3">
        <v>21</v>
      </c>
    </row>
    <row r="83" spans="1:10" x14ac:dyDescent="0.35">
      <c r="A83" s="3" t="s">
        <v>522</v>
      </c>
      <c r="B83" s="3" t="s">
        <v>25</v>
      </c>
      <c r="C83" s="3" t="s">
        <v>158</v>
      </c>
      <c r="D83" s="11" t="s">
        <v>6</v>
      </c>
      <c r="E83" s="3">
        <v>3</v>
      </c>
      <c r="F83" s="3" t="s">
        <v>49</v>
      </c>
      <c r="G83" s="3" t="str">
        <f>Referrence!C3</f>
        <v>installed in DC</v>
      </c>
      <c r="H83" s="3"/>
      <c r="I83" s="4"/>
      <c r="J83" s="3"/>
    </row>
    <row r="84" spans="1:10" x14ac:dyDescent="0.35">
      <c r="A84" s="3" t="s">
        <v>522</v>
      </c>
      <c r="B84" s="3" t="s">
        <v>0</v>
      </c>
      <c r="C84" s="3" t="s">
        <v>5</v>
      </c>
      <c r="D84" s="11" t="s">
        <v>6</v>
      </c>
      <c r="E84" s="3">
        <v>3</v>
      </c>
      <c r="F84" s="3" t="s">
        <v>7</v>
      </c>
      <c r="G84" s="3" t="s">
        <v>8</v>
      </c>
      <c r="H84" s="3"/>
      <c r="I84" s="4"/>
      <c r="J84" s="3"/>
    </row>
    <row r="85" spans="1:10" x14ac:dyDescent="0.35">
      <c r="A85" s="3" t="s">
        <v>522</v>
      </c>
      <c r="B85" s="3" t="s">
        <v>9</v>
      </c>
      <c r="C85" s="3" t="s">
        <v>12</v>
      </c>
      <c r="D85" s="11" t="s">
        <v>6</v>
      </c>
      <c r="E85" s="3">
        <v>3</v>
      </c>
      <c r="F85" s="3" t="s">
        <v>7</v>
      </c>
      <c r="G85" s="3" t="s">
        <v>18</v>
      </c>
      <c r="H85" s="3"/>
      <c r="I85" s="4"/>
      <c r="J85" s="3"/>
    </row>
    <row r="86" spans="1:10" x14ac:dyDescent="0.35">
      <c r="A86" s="3" t="s">
        <v>522</v>
      </c>
      <c r="B86" s="3" t="s">
        <v>25</v>
      </c>
      <c r="C86" s="4" t="s">
        <v>104</v>
      </c>
      <c r="D86" s="11" t="s">
        <v>106</v>
      </c>
      <c r="E86" s="3">
        <v>34</v>
      </c>
      <c r="F86" s="3" t="s">
        <v>161</v>
      </c>
      <c r="G86" s="3"/>
      <c r="H86" s="4" t="s">
        <v>165</v>
      </c>
      <c r="I86" s="4" t="s">
        <v>43</v>
      </c>
      <c r="J86" s="3">
        <v>11</v>
      </c>
    </row>
    <row r="87" spans="1:10" x14ac:dyDescent="0.35">
      <c r="A87" s="3" t="s">
        <v>522</v>
      </c>
      <c r="B87" s="3" t="s">
        <v>25</v>
      </c>
      <c r="C87" s="4" t="s">
        <v>513</v>
      </c>
      <c r="D87" s="11" t="s">
        <v>514</v>
      </c>
      <c r="E87" s="3">
        <v>41</v>
      </c>
      <c r="F87" s="3" t="s">
        <v>161</v>
      </c>
      <c r="G87" s="4"/>
      <c r="H87" s="4" t="s">
        <v>512</v>
      </c>
      <c r="I87" s="4" t="s">
        <v>518</v>
      </c>
      <c r="J87" s="3">
        <v>25</v>
      </c>
    </row>
    <row r="88" spans="1:10" x14ac:dyDescent="0.35">
      <c r="A88" s="3" t="s">
        <v>522</v>
      </c>
      <c r="B88" s="3" t="s">
        <v>0</v>
      </c>
      <c r="C88" s="4" t="s">
        <v>1</v>
      </c>
      <c r="D88" s="11" t="s">
        <v>2</v>
      </c>
      <c r="E88" s="3">
        <v>1</v>
      </c>
      <c r="F88" s="3" t="s">
        <v>161</v>
      </c>
      <c r="G88" s="4"/>
      <c r="H88" s="4" t="s">
        <v>53</v>
      </c>
      <c r="I88" s="4" t="s">
        <v>4</v>
      </c>
      <c r="J88" s="3">
        <v>2</v>
      </c>
    </row>
    <row r="89" spans="1:10" x14ac:dyDescent="0.35">
      <c r="A89" s="3" t="s">
        <v>522</v>
      </c>
      <c r="B89" s="3" t="s">
        <v>25</v>
      </c>
      <c r="C89" s="4" t="s">
        <v>1</v>
      </c>
      <c r="D89" s="11" t="s">
        <v>2</v>
      </c>
      <c r="E89" s="3">
        <v>1</v>
      </c>
      <c r="F89" s="3" t="s">
        <v>161</v>
      </c>
      <c r="G89" s="3"/>
      <c r="H89" s="3" t="s">
        <v>53</v>
      </c>
      <c r="I89" s="4" t="s">
        <v>4</v>
      </c>
      <c r="J89" s="3">
        <v>2</v>
      </c>
    </row>
    <row r="90" spans="1:10" x14ac:dyDescent="0.35">
      <c r="A90" s="3" t="s">
        <v>522</v>
      </c>
      <c r="B90" s="3" t="s">
        <v>127</v>
      </c>
      <c r="C90" s="4" t="s">
        <v>1</v>
      </c>
      <c r="D90" s="11" t="s">
        <v>2</v>
      </c>
      <c r="E90" s="3">
        <v>1</v>
      </c>
      <c r="F90" s="3" t="s">
        <v>161</v>
      </c>
      <c r="G90" s="4"/>
      <c r="H90" s="4" t="s">
        <v>53</v>
      </c>
      <c r="I90" s="4" t="s">
        <v>4</v>
      </c>
      <c r="J90" s="3">
        <v>2</v>
      </c>
    </row>
    <row r="91" spans="1:10" x14ac:dyDescent="0.35">
      <c r="A91" s="3" t="s">
        <v>522</v>
      </c>
      <c r="B91" s="3" t="s">
        <v>9</v>
      </c>
      <c r="C91" s="4" t="s">
        <v>10</v>
      </c>
      <c r="D91" s="11" t="s">
        <v>2</v>
      </c>
      <c r="E91" s="3">
        <v>1</v>
      </c>
      <c r="F91" s="3" t="s">
        <v>161</v>
      </c>
      <c r="G91" s="4"/>
      <c r="H91" s="4" t="s">
        <v>53</v>
      </c>
      <c r="I91" s="4" t="s">
        <v>4</v>
      </c>
      <c r="J91" s="3">
        <v>2</v>
      </c>
    </row>
    <row r="92" spans="1:10" x14ac:dyDescent="0.35">
      <c r="A92" s="3" t="s">
        <v>522</v>
      </c>
      <c r="B92" s="3" t="s">
        <v>132</v>
      </c>
      <c r="C92" s="4" t="s">
        <v>10</v>
      </c>
      <c r="D92" s="11" t="s">
        <v>2</v>
      </c>
      <c r="E92" s="3">
        <v>1</v>
      </c>
      <c r="F92" s="3" t="s">
        <v>161</v>
      </c>
      <c r="G92" s="4"/>
      <c r="H92" s="4" t="s">
        <v>53</v>
      </c>
      <c r="I92" s="4" t="s">
        <v>4</v>
      </c>
      <c r="J92" s="3">
        <v>2</v>
      </c>
    </row>
    <row r="93" spans="1:10" x14ac:dyDescent="0.35">
      <c r="A93" s="3" t="s">
        <v>522</v>
      </c>
      <c r="B93" s="3" t="s">
        <v>118</v>
      </c>
      <c r="C93" s="4" t="s">
        <v>113</v>
      </c>
      <c r="D93" s="11" t="s">
        <v>2</v>
      </c>
      <c r="E93" s="3">
        <v>1</v>
      </c>
      <c r="F93" s="3" t="s">
        <v>161</v>
      </c>
      <c r="G93" s="4"/>
      <c r="H93" s="4" t="s">
        <v>53</v>
      </c>
      <c r="I93" s="4" t="s">
        <v>4</v>
      </c>
      <c r="J93" s="3">
        <v>2</v>
      </c>
    </row>
    <row r="94" spans="1:10" x14ac:dyDescent="0.35">
      <c r="A94" s="3" t="s">
        <v>522</v>
      </c>
      <c r="B94" s="3" t="s">
        <v>112</v>
      </c>
      <c r="C94" s="4" t="s">
        <v>109</v>
      </c>
      <c r="D94" s="11" t="s">
        <v>2</v>
      </c>
      <c r="E94" s="3">
        <v>1</v>
      </c>
      <c r="F94" s="4" t="s">
        <v>161</v>
      </c>
      <c r="G94" s="4"/>
      <c r="H94" s="4" t="s">
        <v>53</v>
      </c>
      <c r="I94" s="4" t="s">
        <v>4</v>
      </c>
      <c r="J94" s="3">
        <v>2</v>
      </c>
    </row>
    <row r="95" spans="1:10" x14ac:dyDescent="0.35">
      <c r="A95" s="3" t="s">
        <v>522</v>
      </c>
      <c r="B95" s="3" t="s">
        <v>25</v>
      </c>
      <c r="C95" s="4" t="s">
        <v>65</v>
      </c>
      <c r="D95" s="11" t="s">
        <v>20</v>
      </c>
      <c r="E95" s="3">
        <v>4</v>
      </c>
      <c r="F95" s="3" t="s">
        <v>162</v>
      </c>
      <c r="G95" s="4" t="s">
        <v>589</v>
      </c>
      <c r="H95" s="4" t="s">
        <v>65</v>
      </c>
      <c r="I95" s="4" t="s">
        <v>6</v>
      </c>
      <c r="J95" s="3">
        <v>3</v>
      </c>
    </row>
    <row r="96" spans="1:10" x14ac:dyDescent="0.35">
      <c r="A96" s="3" t="s">
        <v>522</v>
      </c>
      <c r="B96" s="3" t="s">
        <v>25</v>
      </c>
      <c r="C96" s="4" t="s">
        <v>31</v>
      </c>
      <c r="D96" s="11" t="s">
        <v>42</v>
      </c>
      <c r="E96" s="3">
        <v>10</v>
      </c>
      <c r="F96" s="3" t="s">
        <v>7</v>
      </c>
      <c r="G96" s="4" t="s">
        <v>52</v>
      </c>
      <c r="H96" s="4"/>
      <c r="I96" s="4"/>
      <c r="J96" s="3"/>
    </row>
    <row r="97" spans="1:10" x14ac:dyDescent="0.35">
      <c r="A97" s="3" t="s">
        <v>522</v>
      </c>
      <c r="B97" s="3" t="s">
        <v>9</v>
      </c>
      <c r="C97" s="4" t="s">
        <v>14</v>
      </c>
      <c r="D97" s="11" t="s">
        <v>21</v>
      </c>
      <c r="E97" s="3">
        <v>5</v>
      </c>
      <c r="F97" s="3" t="s">
        <v>7</v>
      </c>
      <c r="G97" s="4">
        <v>1</v>
      </c>
      <c r="H97" s="4"/>
      <c r="I97" s="4"/>
      <c r="J97" s="3"/>
    </row>
    <row r="98" spans="1:10" x14ac:dyDescent="0.35">
      <c r="A98" s="3" t="s">
        <v>145</v>
      </c>
      <c r="B98" s="3" t="s">
        <v>139</v>
      </c>
      <c r="C98" s="3" t="s">
        <v>140</v>
      </c>
      <c r="D98" s="11" t="s">
        <v>4</v>
      </c>
      <c r="E98" s="3">
        <v>2</v>
      </c>
      <c r="F98" s="3" t="s">
        <v>7</v>
      </c>
      <c r="G98" s="3" t="s">
        <v>142</v>
      </c>
      <c r="H98" s="3"/>
      <c r="I98" s="4"/>
      <c r="J98" s="3"/>
    </row>
    <row r="99" spans="1:10" x14ac:dyDescent="0.35">
      <c r="A99" s="3" t="s">
        <v>145</v>
      </c>
      <c r="B99" s="3" t="s">
        <v>139</v>
      </c>
      <c r="C99" s="3" t="s">
        <v>141</v>
      </c>
      <c r="D99" s="11" t="s">
        <v>6</v>
      </c>
      <c r="E99" s="3">
        <v>3</v>
      </c>
      <c r="F99" s="3" t="s">
        <v>7</v>
      </c>
      <c r="G99" s="3" t="s">
        <v>143</v>
      </c>
      <c r="H99" s="3"/>
      <c r="I99" s="4"/>
      <c r="J99" s="3"/>
    </row>
    <row r="100" spans="1:10" x14ac:dyDescent="0.35">
      <c r="A100" s="3" t="s">
        <v>145</v>
      </c>
      <c r="B100" s="3" t="s">
        <v>139</v>
      </c>
      <c r="C100" s="4" t="s">
        <v>1</v>
      </c>
      <c r="D100" s="11" t="s">
        <v>2</v>
      </c>
      <c r="E100" s="3">
        <v>1</v>
      </c>
      <c r="F100" s="3" t="s">
        <v>161</v>
      </c>
      <c r="G100" s="3"/>
      <c r="H100" s="4" t="s">
        <v>53</v>
      </c>
      <c r="I100" s="4" t="s">
        <v>4</v>
      </c>
      <c r="J100" s="3">
        <v>2</v>
      </c>
    </row>
  </sheetData>
  <sortState xmlns:xlrd2="http://schemas.microsoft.com/office/spreadsheetml/2017/richdata2" ref="A2:J100">
    <sortCondition ref="A2:A100"/>
  </sortState>
  <dataValidations disablePrompts="1" count="1">
    <dataValidation type="list" allowBlank="1" showInputMessage="1" showErrorMessage="1" sqref="G49 G97" xr:uid="{8A0C8FD5-E559-49C1-81C5-E6CB8B153565}">
      <formula1>etp_name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3ED1F-E397-4F6D-A00A-829BA3C461C8}">
  <sheetPr codeName="Sheet2"/>
  <dimension ref="A1:AC636"/>
  <sheetViews>
    <sheetView topLeftCell="X617" workbookViewId="0">
      <selection activeCell="AB2" sqref="AB2:AB636"/>
    </sheetView>
  </sheetViews>
  <sheetFormatPr defaultRowHeight="14.5" x14ac:dyDescent="0.35"/>
  <cols>
    <col min="1" max="1" width="12" bestFit="1" customWidth="1"/>
    <col min="2" max="2" width="16" bestFit="1" customWidth="1"/>
    <col min="3" max="3" width="26.90625" bestFit="1" customWidth="1"/>
    <col min="5" max="5" width="5" bestFit="1" customWidth="1"/>
    <col min="6" max="6" width="14.81640625" bestFit="1" customWidth="1"/>
    <col min="7" max="7" width="32.6328125" bestFit="1" customWidth="1"/>
    <col min="8" max="8" width="5" bestFit="1" customWidth="1"/>
    <col min="9" max="9" width="16" bestFit="1" customWidth="1"/>
    <col min="10" max="10" width="14.90625" bestFit="1" customWidth="1"/>
    <col min="11" max="11" width="15.36328125" bestFit="1" customWidth="1"/>
    <col min="12" max="12" width="15.36328125" customWidth="1"/>
    <col min="13" max="13" width="5.453125" customWidth="1"/>
    <col min="15" max="15" width="19.453125" bestFit="1" customWidth="1"/>
    <col min="16" max="16" width="13.90625" bestFit="1" customWidth="1"/>
    <col min="17" max="17" width="9.36328125" customWidth="1"/>
    <col min="18" max="18" width="13.90625" bestFit="1" customWidth="1"/>
    <col min="20" max="20" width="27.81640625" bestFit="1" customWidth="1"/>
    <col min="21" max="21" width="16" bestFit="1" customWidth="1"/>
    <col min="22" max="22" width="23.81640625" bestFit="1" customWidth="1"/>
    <col min="23" max="23" width="24.81640625" bestFit="1" customWidth="1"/>
    <col min="25" max="25" width="20" bestFit="1" customWidth="1"/>
    <col min="26" max="26" width="35.6328125" bestFit="1" customWidth="1"/>
    <col min="28" max="28" width="35.36328125" bestFit="1" customWidth="1"/>
    <col min="29" max="29" width="21.90625" bestFit="1" customWidth="1"/>
  </cols>
  <sheetData>
    <row r="1" spans="1:29" x14ac:dyDescent="0.35">
      <c r="A1" s="2" t="s">
        <v>154</v>
      </c>
      <c r="B1" s="2" t="s">
        <v>155</v>
      </c>
      <c r="C1" s="2" t="s">
        <v>160</v>
      </c>
      <c r="E1" s="2" t="s">
        <v>151</v>
      </c>
      <c r="F1" s="2" t="s">
        <v>22</v>
      </c>
      <c r="G1" s="2" t="s">
        <v>144</v>
      </c>
      <c r="I1" s="2" t="s">
        <v>23</v>
      </c>
      <c r="J1" s="2" t="s">
        <v>145</v>
      </c>
      <c r="K1" s="2" t="s">
        <v>24</v>
      </c>
      <c r="L1" s="2" t="s">
        <v>522</v>
      </c>
      <c r="N1" s="2" t="s">
        <v>151</v>
      </c>
      <c r="O1" s="2" t="s">
        <v>64</v>
      </c>
      <c r="P1" s="2" t="s">
        <v>65</v>
      </c>
      <c r="R1" s="2" t="s">
        <v>172</v>
      </c>
      <c r="T1" s="2" t="s">
        <v>114</v>
      </c>
      <c r="U1" s="2" t="s">
        <v>116</v>
      </c>
      <c r="V1" s="2" t="s">
        <v>117</v>
      </c>
      <c r="W1" s="2" t="s">
        <v>115</v>
      </c>
      <c r="Y1" s="12" t="s">
        <v>526</v>
      </c>
      <c r="Z1" s="12" t="s">
        <v>527</v>
      </c>
      <c r="AB1" s="12" t="s">
        <v>171</v>
      </c>
      <c r="AC1" s="12" t="s">
        <v>575</v>
      </c>
    </row>
    <row r="2" spans="1:29" x14ac:dyDescent="0.35">
      <c r="A2" s="3" t="s">
        <v>22</v>
      </c>
      <c r="B2" s="3">
        <v>4</v>
      </c>
      <c r="C2" s="5" t="str">
        <f>VLOOKUP(B2,$E$1:$G$5,3,0)</f>
        <v>\Templates\ESL(New).xlsx</v>
      </c>
      <c r="D2" s="3" t="str">
        <f>VLOOKUP(B2,$E$1:$F$5,2,0)</f>
        <v>New + Attributes</v>
      </c>
      <c r="E2" s="3">
        <v>1</v>
      </c>
      <c r="F2" s="3" t="s">
        <v>23</v>
      </c>
      <c r="G2" s="3" t="s">
        <v>150</v>
      </c>
      <c r="I2" s="3" t="s">
        <v>0</v>
      </c>
      <c r="J2" s="3" t="s">
        <v>139</v>
      </c>
      <c r="K2" s="3" t="s">
        <v>25</v>
      </c>
      <c r="L2" s="3" t="s">
        <v>0</v>
      </c>
      <c r="N2" s="3">
        <v>1</v>
      </c>
      <c r="O2" s="3" t="s">
        <v>56</v>
      </c>
      <c r="P2" s="3" t="s">
        <v>66</v>
      </c>
      <c r="R2" s="3" t="s">
        <v>173</v>
      </c>
      <c r="T2" s="3" t="s">
        <v>119</v>
      </c>
      <c r="U2" s="3">
        <v>1</v>
      </c>
      <c r="V2" s="3" t="s">
        <v>123</v>
      </c>
      <c r="W2" s="3" t="s">
        <v>166</v>
      </c>
      <c r="Y2" s="16" t="s">
        <v>590</v>
      </c>
      <c r="Z2" s="16" t="s">
        <v>591</v>
      </c>
      <c r="AB2" s="16" t="s">
        <v>173</v>
      </c>
      <c r="AC2" s="4">
        <v>1</v>
      </c>
    </row>
    <row r="3" spans="1:29" x14ac:dyDescent="0.35">
      <c r="A3" s="4" t="s">
        <v>159</v>
      </c>
      <c r="B3" s="3">
        <v>4</v>
      </c>
      <c r="C3" s="4" t="str">
        <f>VLOOKUP(B3,N:P,2,0)</f>
        <v>installed in DC</v>
      </c>
      <c r="E3" s="3">
        <v>2</v>
      </c>
      <c r="F3" s="3" t="s">
        <v>145</v>
      </c>
      <c r="G3" s="3" t="s">
        <v>152</v>
      </c>
      <c r="I3" s="3" t="s">
        <v>9</v>
      </c>
      <c r="J3" s="4"/>
      <c r="K3" s="3" t="s">
        <v>112</v>
      </c>
      <c r="L3" s="3" t="s">
        <v>9</v>
      </c>
      <c r="N3" s="3">
        <f>N2+1</f>
        <v>2</v>
      </c>
      <c r="O3" s="3" t="s">
        <v>57</v>
      </c>
      <c r="P3" s="3" t="s">
        <v>67</v>
      </c>
      <c r="R3" s="3" t="s">
        <v>174</v>
      </c>
      <c r="T3" s="3" t="s">
        <v>120</v>
      </c>
      <c r="U3" s="3">
        <v>1</v>
      </c>
      <c r="V3" s="3" t="s">
        <v>124</v>
      </c>
      <c r="W3" s="3" t="s">
        <v>167</v>
      </c>
      <c r="Y3" s="16" t="s">
        <v>592</v>
      </c>
      <c r="Z3" s="16" t="s">
        <v>593</v>
      </c>
      <c r="AB3" s="16" t="s">
        <v>762</v>
      </c>
      <c r="AC3" s="4">
        <v>1</v>
      </c>
    </row>
    <row r="4" spans="1:29" x14ac:dyDescent="0.35">
      <c r="A4" s="4" t="s">
        <v>65</v>
      </c>
      <c r="B4" s="3">
        <v>25</v>
      </c>
      <c r="C4" s="4" t="str">
        <f>VLOOKUP(B4,N:P,3,0)</f>
        <v>server</v>
      </c>
      <c r="E4" s="3">
        <v>3</v>
      </c>
      <c r="F4" s="3" t="s">
        <v>24</v>
      </c>
      <c r="G4" s="3" t="s">
        <v>153</v>
      </c>
      <c r="I4" s="3"/>
      <c r="J4" s="4"/>
      <c r="K4" s="3" t="s">
        <v>118</v>
      </c>
      <c r="L4" s="3" t="s">
        <v>25</v>
      </c>
      <c r="N4" s="3">
        <f t="shared" ref="N4:N31" si="0">N3+1</f>
        <v>3</v>
      </c>
      <c r="O4" s="3" t="s">
        <v>58</v>
      </c>
      <c r="P4" s="3" t="s">
        <v>68</v>
      </c>
      <c r="R4" s="3" t="s">
        <v>175</v>
      </c>
      <c r="T4" s="3" t="s">
        <v>121</v>
      </c>
      <c r="U4" s="3">
        <v>1</v>
      </c>
      <c r="V4" s="3" t="s">
        <v>125</v>
      </c>
      <c r="W4" s="3" t="s">
        <v>168</v>
      </c>
      <c r="Y4" s="16" t="s">
        <v>594</v>
      </c>
      <c r="Z4" s="16" t="s">
        <v>595</v>
      </c>
      <c r="AB4" s="16" t="s">
        <v>763</v>
      </c>
      <c r="AC4" s="4">
        <v>1</v>
      </c>
    </row>
    <row r="5" spans="1:29" x14ac:dyDescent="0.35">
      <c r="E5" s="3">
        <v>4</v>
      </c>
      <c r="F5" s="3" t="s">
        <v>522</v>
      </c>
      <c r="G5" s="3" t="s">
        <v>150</v>
      </c>
      <c r="I5" s="4"/>
      <c r="J5" s="4"/>
      <c r="K5" s="3" t="s">
        <v>127</v>
      </c>
      <c r="L5" s="3" t="s">
        <v>112</v>
      </c>
      <c r="N5" s="3">
        <f t="shared" si="0"/>
        <v>4</v>
      </c>
      <c r="O5" s="3" t="s">
        <v>8</v>
      </c>
      <c r="P5" s="3" t="s">
        <v>69</v>
      </c>
      <c r="R5" s="3" t="s">
        <v>176</v>
      </c>
      <c r="T5" s="3" t="s">
        <v>122</v>
      </c>
      <c r="U5" s="3">
        <v>1</v>
      </c>
      <c r="V5" s="3" t="s">
        <v>126</v>
      </c>
      <c r="W5" s="3" t="s">
        <v>169</v>
      </c>
      <c r="Y5" s="16" t="s">
        <v>549</v>
      </c>
      <c r="Z5" s="16" t="s">
        <v>550</v>
      </c>
      <c r="AB5" s="16" t="s">
        <v>764</v>
      </c>
      <c r="AC5" s="4">
        <v>1</v>
      </c>
    </row>
    <row r="6" spans="1:29" x14ac:dyDescent="0.35">
      <c r="A6" s="2" t="s">
        <v>156</v>
      </c>
      <c r="B6" s="5">
        <f>COUNTIF(B7:B13,"&lt;&gt;0")</f>
        <v>7</v>
      </c>
      <c r="I6" s="4"/>
      <c r="J6" s="4"/>
      <c r="K6" s="3" t="s">
        <v>132</v>
      </c>
      <c r="L6" s="3" t="s">
        <v>118</v>
      </c>
      <c r="N6" s="3">
        <f t="shared" si="0"/>
        <v>5</v>
      </c>
      <c r="O6" s="3" t="s">
        <v>59</v>
      </c>
      <c r="P6" s="3" t="s">
        <v>70</v>
      </c>
      <c r="R6" s="3" t="s">
        <v>177</v>
      </c>
      <c r="T6" s="3" t="s">
        <v>524</v>
      </c>
      <c r="U6" s="3">
        <v>1</v>
      </c>
      <c r="V6" s="3" t="s">
        <v>524</v>
      </c>
      <c r="W6" s="3" t="s">
        <v>524</v>
      </c>
      <c r="Y6" s="16" t="s">
        <v>596</v>
      </c>
      <c r="Z6" s="16" t="s">
        <v>597</v>
      </c>
      <c r="AB6" s="16" t="s">
        <v>181</v>
      </c>
      <c r="AC6" s="4">
        <v>1</v>
      </c>
    </row>
    <row r="7" spans="1:29" x14ac:dyDescent="0.35">
      <c r="A7" s="3">
        <v>1</v>
      </c>
      <c r="B7" s="3" t="str">
        <f>INDEX($I$1:$L$8,ROW()-5,MATCH($D$2,$I$1:$L$1,0))</f>
        <v>New Systems</v>
      </c>
      <c r="I7" s="4"/>
      <c r="J7" s="4"/>
      <c r="K7" s="3"/>
      <c r="L7" s="3" t="s">
        <v>127</v>
      </c>
      <c r="N7" s="3">
        <f t="shared" si="0"/>
        <v>6</v>
      </c>
      <c r="O7" s="3" t="s">
        <v>60</v>
      </c>
      <c r="P7" s="3" t="s">
        <v>71</v>
      </c>
      <c r="R7" s="3" t="s">
        <v>178</v>
      </c>
      <c r="T7" s="13">
        <f>COLUMN()</f>
        <v>20</v>
      </c>
      <c r="U7" s="13">
        <f>COLUMN()</f>
        <v>21</v>
      </c>
      <c r="V7" s="13">
        <f>COLUMN()</f>
        <v>22</v>
      </c>
      <c r="W7" s="13">
        <f>COLUMN()</f>
        <v>23</v>
      </c>
      <c r="Y7" s="16" t="s">
        <v>598</v>
      </c>
      <c r="Z7" s="16" t="s">
        <v>599</v>
      </c>
      <c r="AB7" s="16" t="s">
        <v>183</v>
      </c>
      <c r="AC7" s="4">
        <v>1</v>
      </c>
    </row>
    <row r="8" spans="1:29" x14ac:dyDescent="0.35">
      <c r="A8" s="3">
        <v>2</v>
      </c>
      <c r="B8" s="3" t="str">
        <f t="shared" ref="B8:B13" si="1">INDEX($I$1:$L$8,ROW()-5,MATCH($D$2,$I$1:$L$1,0))</f>
        <v>System Customers</v>
      </c>
      <c r="I8" s="4"/>
      <c r="J8" s="4"/>
      <c r="K8" s="3"/>
      <c r="L8" s="3" t="s">
        <v>132</v>
      </c>
      <c r="N8" s="3">
        <f t="shared" si="0"/>
        <v>7</v>
      </c>
      <c r="O8" s="3" t="s">
        <v>61</v>
      </c>
      <c r="P8" s="3" t="s">
        <v>72</v>
      </c>
      <c r="R8" s="3" t="s">
        <v>179</v>
      </c>
      <c r="Y8" s="16" t="s">
        <v>600</v>
      </c>
      <c r="Z8" s="16" t="s">
        <v>601</v>
      </c>
      <c r="AB8" s="16" t="s">
        <v>185</v>
      </c>
      <c r="AC8" s="4">
        <v>1</v>
      </c>
    </row>
    <row r="9" spans="1:29" x14ac:dyDescent="0.35">
      <c r="A9" s="3">
        <v>3</v>
      </c>
      <c r="B9" s="3" t="str">
        <f t="shared" si="1"/>
        <v>System Attributes</v>
      </c>
      <c r="G9" s="14"/>
      <c r="N9" s="3">
        <f t="shared" si="0"/>
        <v>8</v>
      </c>
      <c r="O9" s="3" t="s">
        <v>62</v>
      </c>
      <c r="P9" s="3" t="s">
        <v>73</v>
      </c>
      <c r="R9" s="3" t="s">
        <v>180</v>
      </c>
      <c r="Y9" s="16" t="s">
        <v>602</v>
      </c>
      <c r="Z9" s="16" t="s">
        <v>603</v>
      </c>
      <c r="AB9" s="16" t="s">
        <v>187</v>
      </c>
      <c r="AC9" s="4">
        <v>1</v>
      </c>
    </row>
    <row r="10" spans="1:29" x14ac:dyDescent="0.35">
      <c r="A10" s="3">
        <v>4</v>
      </c>
      <c r="B10" s="3" t="str">
        <f t="shared" si="1"/>
        <v>System Usages</v>
      </c>
      <c r="N10" s="3">
        <f t="shared" si="0"/>
        <v>9</v>
      </c>
      <c r="O10" s="3" t="s">
        <v>63</v>
      </c>
      <c r="P10" s="3" t="s">
        <v>74</v>
      </c>
      <c r="R10" s="3" t="s">
        <v>182</v>
      </c>
      <c r="Y10" s="16" t="s">
        <v>604</v>
      </c>
      <c r="Z10" s="16" t="s">
        <v>605</v>
      </c>
      <c r="AB10" s="16" t="s">
        <v>189</v>
      </c>
      <c r="AC10" s="4">
        <v>1</v>
      </c>
    </row>
    <row r="11" spans="1:29" x14ac:dyDescent="0.35">
      <c r="A11" s="3">
        <v>5</v>
      </c>
      <c r="B11" s="3" t="str">
        <f t="shared" si="1"/>
        <v>System Roles</v>
      </c>
      <c r="N11" s="3">
        <f t="shared" si="0"/>
        <v>10</v>
      </c>
      <c r="P11" s="3" t="s">
        <v>75</v>
      </c>
      <c r="R11" s="3" t="s">
        <v>184</v>
      </c>
      <c r="Y11" s="16" t="s">
        <v>606</v>
      </c>
      <c r="Z11" s="16" t="s">
        <v>607</v>
      </c>
      <c r="AB11" s="16" t="s">
        <v>191</v>
      </c>
      <c r="AC11" s="4">
        <v>1</v>
      </c>
    </row>
    <row r="12" spans="1:29" x14ac:dyDescent="0.35">
      <c r="A12" s="3">
        <v>6</v>
      </c>
      <c r="B12" s="3" t="str">
        <f t="shared" si="1"/>
        <v>System Ips</v>
      </c>
      <c r="N12" s="3">
        <f t="shared" si="0"/>
        <v>11</v>
      </c>
      <c r="P12" s="3" t="s">
        <v>76</v>
      </c>
      <c r="R12" s="3" t="s">
        <v>186</v>
      </c>
      <c r="Y12" s="16" t="s">
        <v>608</v>
      </c>
      <c r="Z12" s="16" t="s">
        <v>609</v>
      </c>
      <c r="AB12" s="16" t="s">
        <v>193</v>
      </c>
      <c r="AC12" s="4">
        <v>1</v>
      </c>
    </row>
    <row r="13" spans="1:29" x14ac:dyDescent="0.35">
      <c r="A13" s="3">
        <v>7</v>
      </c>
      <c r="B13" s="3" t="str">
        <f t="shared" si="1"/>
        <v>System EtPs</v>
      </c>
      <c r="N13" s="3">
        <f t="shared" si="0"/>
        <v>12</v>
      </c>
      <c r="P13" s="3" t="s">
        <v>77</v>
      </c>
      <c r="R13" s="15" t="s">
        <v>188</v>
      </c>
      <c r="Y13" s="16" t="s">
        <v>610</v>
      </c>
      <c r="Z13" s="16" t="s">
        <v>611</v>
      </c>
      <c r="AB13" s="16" t="s">
        <v>195</v>
      </c>
      <c r="AC13" s="4">
        <v>1</v>
      </c>
    </row>
    <row r="14" spans="1:29" x14ac:dyDescent="0.35">
      <c r="N14" s="3">
        <f t="shared" si="0"/>
        <v>13</v>
      </c>
      <c r="P14" s="3" t="s">
        <v>78</v>
      </c>
      <c r="R14" s="15" t="s">
        <v>190</v>
      </c>
      <c r="Y14" s="16" t="s">
        <v>610</v>
      </c>
      <c r="Z14" s="16" t="s">
        <v>612</v>
      </c>
      <c r="AB14" s="16" t="s">
        <v>590</v>
      </c>
      <c r="AC14" s="4">
        <v>1</v>
      </c>
    </row>
    <row r="15" spans="1:29" x14ac:dyDescent="0.35">
      <c r="N15" s="3">
        <f t="shared" si="0"/>
        <v>14</v>
      </c>
      <c r="P15" s="3" t="s">
        <v>79</v>
      </c>
      <c r="R15" s="3" t="s">
        <v>192</v>
      </c>
      <c r="Y15" s="16" t="s">
        <v>610</v>
      </c>
      <c r="Z15" s="16" t="s">
        <v>613</v>
      </c>
      <c r="AB15" s="16" t="s">
        <v>765</v>
      </c>
      <c r="AC15" s="4">
        <v>1</v>
      </c>
    </row>
    <row r="16" spans="1:29" x14ac:dyDescent="0.35">
      <c r="N16" s="3">
        <f t="shared" si="0"/>
        <v>15</v>
      </c>
      <c r="P16" s="3" t="s">
        <v>80</v>
      </c>
      <c r="R16" s="3" t="s">
        <v>194</v>
      </c>
      <c r="Y16" s="16" t="s">
        <v>614</v>
      </c>
      <c r="Z16" s="16" t="s">
        <v>615</v>
      </c>
      <c r="AB16" s="16" t="s">
        <v>197</v>
      </c>
      <c r="AC16" s="4">
        <v>1</v>
      </c>
    </row>
    <row r="17" spans="14:29" x14ac:dyDescent="0.35">
      <c r="N17" s="3">
        <f t="shared" si="0"/>
        <v>16</v>
      </c>
      <c r="P17" s="3" t="s">
        <v>81</v>
      </c>
      <c r="R17" s="3" t="s">
        <v>196</v>
      </c>
      <c r="Y17" s="16" t="s">
        <v>614</v>
      </c>
      <c r="Z17" s="16" t="s">
        <v>616</v>
      </c>
      <c r="AB17" s="16" t="s">
        <v>766</v>
      </c>
      <c r="AC17" s="4">
        <v>1</v>
      </c>
    </row>
    <row r="18" spans="14:29" x14ac:dyDescent="0.35">
      <c r="N18" s="3">
        <f t="shared" si="0"/>
        <v>17</v>
      </c>
      <c r="P18" s="3" t="s">
        <v>82</v>
      </c>
      <c r="R18" s="3" t="s">
        <v>137</v>
      </c>
      <c r="Y18" s="16" t="s">
        <v>614</v>
      </c>
      <c r="Z18" s="16" t="s">
        <v>617</v>
      </c>
      <c r="AB18" s="16" t="s">
        <v>767</v>
      </c>
      <c r="AC18" s="4">
        <v>1</v>
      </c>
    </row>
    <row r="19" spans="14:29" x14ac:dyDescent="0.35">
      <c r="N19" s="3">
        <f t="shared" si="0"/>
        <v>18</v>
      </c>
      <c r="P19" s="3" t="s">
        <v>83</v>
      </c>
      <c r="R19" s="3" t="s">
        <v>198</v>
      </c>
      <c r="Y19" s="16" t="s">
        <v>610</v>
      </c>
      <c r="Z19" s="16" t="s">
        <v>618</v>
      </c>
      <c r="AB19" s="16" t="s">
        <v>768</v>
      </c>
      <c r="AC19" s="4">
        <v>1</v>
      </c>
    </row>
    <row r="20" spans="14:29" x14ac:dyDescent="0.35">
      <c r="N20" s="3">
        <f t="shared" si="0"/>
        <v>19</v>
      </c>
      <c r="P20" s="3" t="s">
        <v>84</v>
      </c>
      <c r="R20" s="3" t="s">
        <v>200</v>
      </c>
      <c r="Y20" s="16" t="s">
        <v>610</v>
      </c>
      <c r="Z20" s="16" t="s">
        <v>619</v>
      </c>
      <c r="AB20" s="16" t="s">
        <v>769</v>
      </c>
      <c r="AC20" s="4">
        <v>1</v>
      </c>
    </row>
    <row r="21" spans="14:29" x14ac:dyDescent="0.35">
      <c r="N21" s="3">
        <f t="shared" si="0"/>
        <v>20</v>
      </c>
      <c r="P21" s="3" t="s">
        <v>85</v>
      </c>
      <c r="R21" s="3" t="s">
        <v>201</v>
      </c>
      <c r="Y21" s="16" t="s">
        <v>610</v>
      </c>
      <c r="Z21" s="16" t="s">
        <v>620</v>
      </c>
      <c r="AB21" s="16" t="s">
        <v>770</v>
      </c>
      <c r="AC21" s="4">
        <v>1</v>
      </c>
    </row>
    <row r="22" spans="14:29" x14ac:dyDescent="0.35">
      <c r="N22" s="3">
        <f t="shared" si="0"/>
        <v>21</v>
      </c>
      <c r="P22" s="3" t="s">
        <v>86</v>
      </c>
      <c r="R22" s="3" t="s">
        <v>203</v>
      </c>
      <c r="Y22" s="16" t="s">
        <v>610</v>
      </c>
      <c r="Z22" s="16" t="s">
        <v>621</v>
      </c>
      <c r="AB22" s="16" t="s">
        <v>199</v>
      </c>
      <c r="AC22" s="4">
        <v>1</v>
      </c>
    </row>
    <row r="23" spans="14:29" x14ac:dyDescent="0.35">
      <c r="N23" s="3">
        <f t="shared" si="0"/>
        <v>22</v>
      </c>
      <c r="P23" s="3" t="s">
        <v>87</v>
      </c>
      <c r="R23" s="3" t="s">
        <v>204</v>
      </c>
      <c r="Y23" s="16" t="s">
        <v>610</v>
      </c>
      <c r="Z23" s="16" t="s">
        <v>622</v>
      </c>
      <c r="AB23" s="16" t="s">
        <v>202</v>
      </c>
      <c r="AC23" s="4">
        <v>1</v>
      </c>
    </row>
    <row r="24" spans="14:29" x14ac:dyDescent="0.35">
      <c r="N24" s="3">
        <f t="shared" si="0"/>
        <v>23</v>
      </c>
      <c r="P24" s="3" t="s">
        <v>88</v>
      </c>
      <c r="R24" s="3" t="s">
        <v>206</v>
      </c>
      <c r="Y24" s="16" t="s">
        <v>610</v>
      </c>
      <c r="Z24" s="16" t="s">
        <v>623</v>
      </c>
      <c r="AB24" s="16" t="s">
        <v>771</v>
      </c>
      <c r="AC24" s="4">
        <v>1</v>
      </c>
    </row>
    <row r="25" spans="14:29" x14ac:dyDescent="0.35">
      <c r="N25" s="3">
        <f t="shared" si="0"/>
        <v>24</v>
      </c>
      <c r="P25" s="3" t="s">
        <v>89</v>
      </c>
      <c r="R25" s="3" t="s">
        <v>208</v>
      </c>
      <c r="Y25" s="16" t="s">
        <v>610</v>
      </c>
      <c r="Z25" s="16" t="s">
        <v>624</v>
      </c>
      <c r="AB25" s="16" t="s">
        <v>772</v>
      </c>
      <c r="AC25" s="4">
        <v>1</v>
      </c>
    </row>
    <row r="26" spans="14:29" x14ac:dyDescent="0.35">
      <c r="N26" s="3">
        <f t="shared" si="0"/>
        <v>25</v>
      </c>
      <c r="P26" s="3" t="s">
        <v>90</v>
      </c>
      <c r="R26" s="3" t="s">
        <v>210</v>
      </c>
      <c r="Y26" s="16" t="s">
        <v>610</v>
      </c>
      <c r="Z26" s="16" t="s">
        <v>625</v>
      </c>
      <c r="AB26" s="16" t="s">
        <v>773</v>
      </c>
      <c r="AC26" s="4">
        <v>1</v>
      </c>
    </row>
    <row r="27" spans="14:29" x14ac:dyDescent="0.35">
      <c r="N27" s="3">
        <f t="shared" si="0"/>
        <v>26</v>
      </c>
      <c r="P27" s="3" t="s">
        <v>91</v>
      </c>
      <c r="R27" s="3" t="s">
        <v>212</v>
      </c>
      <c r="Y27" s="16" t="s">
        <v>626</v>
      </c>
      <c r="Z27" s="16" t="s">
        <v>626</v>
      </c>
      <c r="AB27" s="16" t="s">
        <v>774</v>
      </c>
      <c r="AC27" s="4">
        <v>1</v>
      </c>
    </row>
    <row r="28" spans="14:29" x14ac:dyDescent="0.35">
      <c r="N28" s="3">
        <f t="shared" si="0"/>
        <v>27</v>
      </c>
      <c r="P28" s="3" t="s">
        <v>92</v>
      </c>
      <c r="R28" s="3" t="s">
        <v>214</v>
      </c>
      <c r="Y28" s="16" t="s">
        <v>627</v>
      </c>
      <c r="Z28" s="16" t="s">
        <v>628</v>
      </c>
      <c r="AB28" s="16" t="s">
        <v>775</v>
      </c>
      <c r="AC28" s="4">
        <v>1</v>
      </c>
    </row>
    <row r="29" spans="14:29" x14ac:dyDescent="0.35">
      <c r="N29" s="3">
        <f t="shared" si="0"/>
        <v>28</v>
      </c>
      <c r="P29" s="3" t="s">
        <v>93</v>
      </c>
      <c r="Y29" s="16" t="s">
        <v>629</v>
      </c>
      <c r="Z29" s="16" t="s">
        <v>630</v>
      </c>
      <c r="AB29" s="16" t="s">
        <v>776</v>
      </c>
      <c r="AC29" s="4">
        <v>1</v>
      </c>
    </row>
    <row r="30" spans="14:29" x14ac:dyDescent="0.35">
      <c r="N30" s="3">
        <f t="shared" si="0"/>
        <v>29</v>
      </c>
      <c r="P30" s="3" t="s">
        <v>94</v>
      </c>
      <c r="Y30" s="16" t="s">
        <v>631</v>
      </c>
      <c r="Z30" s="16" t="s">
        <v>632</v>
      </c>
      <c r="AB30" s="16" t="s">
        <v>777</v>
      </c>
      <c r="AC30" s="4">
        <v>1</v>
      </c>
    </row>
    <row r="31" spans="14:29" x14ac:dyDescent="0.35">
      <c r="N31" s="3">
        <f t="shared" si="0"/>
        <v>30</v>
      </c>
      <c r="P31" s="3" t="s">
        <v>95</v>
      </c>
      <c r="Y31" s="16" t="s">
        <v>633</v>
      </c>
      <c r="Z31" s="16" t="s">
        <v>633</v>
      </c>
      <c r="AB31" s="16" t="s">
        <v>205</v>
      </c>
      <c r="AC31" s="4">
        <v>1</v>
      </c>
    </row>
    <row r="32" spans="14:29" x14ac:dyDescent="0.35">
      <c r="Y32" s="16" t="s">
        <v>634</v>
      </c>
      <c r="Z32" s="16" t="s">
        <v>635</v>
      </c>
      <c r="AB32" s="16" t="s">
        <v>778</v>
      </c>
      <c r="AC32" s="4">
        <v>1</v>
      </c>
    </row>
    <row r="33" spans="25:29" x14ac:dyDescent="0.35">
      <c r="Y33" s="16" t="s">
        <v>636</v>
      </c>
      <c r="Z33" s="16" t="s">
        <v>636</v>
      </c>
      <c r="AB33" s="16" t="s">
        <v>207</v>
      </c>
      <c r="AC33" s="4">
        <v>1</v>
      </c>
    </row>
    <row r="34" spans="25:29" x14ac:dyDescent="0.35">
      <c r="Y34" s="16" t="s">
        <v>637</v>
      </c>
      <c r="Z34" s="16" t="s">
        <v>638</v>
      </c>
      <c r="AB34" s="16" t="s">
        <v>779</v>
      </c>
      <c r="AC34" s="4">
        <v>1</v>
      </c>
    </row>
    <row r="35" spans="25:29" x14ac:dyDescent="0.35">
      <c r="Y35" s="16" t="s">
        <v>639</v>
      </c>
      <c r="Z35" s="16" t="s">
        <v>640</v>
      </c>
      <c r="AB35" s="16" t="s">
        <v>780</v>
      </c>
      <c r="AC35" s="4">
        <v>1</v>
      </c>
    </row>
    <row r="36" spans="25:29" x14ac:dyDescent="0.35">
      <c r="Y36" s="16" t="s">
        <v>559</v>
      </c>
      <c r="Z36" s="16" t="s">
        <v>641</v>
      </c>
      <c r="AB36" s="16" t="s">
        <v>209</v>
      </c>
      <c r="AC36" s="4">
        <v>1</v>
      </c>
    </row>
    <row r="37" spans="25:29" x14ac:dyDescent="0.35">
      <c r="Y37" s="16" t="s">
        <v>559</v>
      </c>
      <c r="Z37" s="16" t="s">
        <v>642</v>
      </c>
      <c r="AB37" s="16" t="s">
        <v>211</v>
      </c>
      <c r="AC37" s="4">
        <v>1</v>
      </c>
    </row>
    <row r="38" spans="25:29" x14ac:dyDescent="0.35">
      <c r="Y38" s="16" t="s">
        <v>559</v>
      </c>
      <c r="Z38" s="16" t="s">
        <v>643</v>
      </c>
      <c r="AB38" s="16" t="s">
        <v>213</v>
      </c>
      <c r="AC38" s="4">
        <v>1</v>
      </c>
    </row>
    <row r="39" spans="25:29" x14ac:dyDescent="0.35">
      <c r="Y39" s="16" t="s">
        <v>528</v>
      </c>
      <c r="Z39" s="16" t="s">
        <v>529</v>
      </c>
      <c r="AB39" s="16" t="s">
        <v>215</v>
      </c>
      <c r="AC39" s="4">
        <v>1</v>
      </c>
    </row>
    <row r="40" spans="25:29" x14ac:dyDescent="0.35">
      <c r="Y40" s="16" t="s">
        <v>644</v>
      </c>
      <c r="Z40" s="16" t="s">
        <v>644</v>
      </c>
      <c r="AB40" s="16" t="s">
        <v>781</v>
      </c>
      <c r="AC40" s="4">
        <v>1</v>
      </c>
    </row>
    <row r="41" spans="25:29" x14ac:dyDescent="0.35">
      <c r="Y41" s="16" t="s">
        <v>645</v>
      </c>
      <c r="Z41" s="16" t="s">
        <v>646</v>
      </c>
      <c r="AB41" s="16" t="s">
        <v>782</v>
      </c>
      <c r="AC41" s="4">
        <v>1</v>
      </c>
    </row>
    <row r="42" spans="25:29" x14ac:dyDescent="0.35">
      <c r="Y42" s="16" t="s">
        <v>645</v>
      </c>
      <c r="Z42" s="16" t="s">
        <v>647</v>
      </c>
      <c r="AB42" s="16" t="s">
        <v>216</v>
      </c>
      <c r="AC42" s="4">
        <v>1</v>
      </c>
    </row>
    <row r="43" spans="25:29" x14ac:dyDescent="0.35">
      <c r="Y43" s="16" t="s">
        <v>560</v>
      </c>
      <c r="Z43" s="16" t="s">
        <v>561</v>
      </c>
      <c r="AB43" s="16" t="s">
        <v>217</v>
      </c>
      <c r="AC43" s="4">
        <v>1</v>
      </c>
    </row>
    <row r="44" spans="25:29" x14ac:dyDescent="0.35">
      <c r="Y44" s="16" t="s">
        <v>530</v>
      </c>
      <c r="Z44" s="16" t="s">
        <v>531</v>
      </c>
      <c r="AB44" s="16" t="s">
        <v>218</v>
      </c>
      <c r="AC44" s="4">
        <v>1</v>
      </c>
    </row>
    <row r="45" spans="25:29" x14ac:dyDescent="0.35">
      <c r="Y45" s="16" t="s">
        <v>551</v>
      </c>
      <c r="Z45" s="16" t="s">
        <v>552</v>
      </c>
      <c r="AB45" s="16" t="s">
        <v>219</v>
      </c>
      <c r="AC45" s="4">
        <v>1</v>
      </c>
    </row>
    <row r="46" spans="25:29" x14ac:dyDescent="0.35">
      <c r="Y46" s="16" t="s">
        <v>648</v>
      </c>
      <c r="Z46" s="16" t="s">
        <v>649</v>
      </c>
      <c r="AB46" s="16" t="s">
        <v>220</v>
      </c>
      <c r="AC46" s="4">
        <v>1</v>
      </c>
    </row>
    <row r="47" spans="25:29" x14ac:dyDescent="0.35">
      <c r="Y47" s="16" t="s">
        <v>650</v>
      </c>
      <c r="Z47" s="16" t="s">
        <v>650</v>
      </c>
      <c r="AB47" s="16" t="s">
        <v>221</v>
      </c>
      <c r="AC47" s="4">
        <v>1</v>
      </c>
    </row>
    <row r="48" spans="25:29" x14ac:dyDescent="0.35">
      <c r="Y48" s="16" t="s">
        <v>651</v>
      </c>
      <c r="Z48" s="16" t="s">
        <v>652</v>
      </c>
      <c r="AB48" s="16" t="s">
        <v>222</v>
      </c>
      <c r="AC48" s="4">
        <v>1</v>
      </c>
    </row>
    <row r="49" spans="25:29" x14ac:dyDescent="0.35">
      <c r="Y49" s="16" t="s">
        <v>562</v>
      </c>
      <c r="Z49" s="16" t="s">
        <v>563</v>
      </c>
      <c r="AB49" s="16" t="s">
        <v>223</v>
      </c>
      <c r="AC49" s="4">
        <v>1</v>
      </c>
    </row>
    <row r="50" spans="25:29" x14ac:dyDescent="0.35">
      <c r="Y50" s="16" t="s">
        <v>653</v>
      </c>
      <c r="Z50" s="16" t="s">
        <v>654</v>
      </c>
      <c r="AB50" s="16" t="s">
        <v>224</v>
      </c>
      <c r="AC50" s="4">
        <v>1</v>
      </c>
    </row>
    <row r="51" spans="25:29" x14ac:dyDescent="0.35">
      <c r="Y51" s="16" t="s">
        <v>571</v>
      </c>
      <c r="Z51" s="16" t="s">
        <v>655</v>
      </c>
      <c r="AB51" s="16" t="s">
        <v>225</v>
      </c>
      <c r="AC51" s="4">
        <v>1</v>
      </c>
    </row>
    <row r="52" spans="25:29" x14ac:dyDescent="0.35">
      <c r="Y52" s="16" t="s">
        <v>571</v>
      </c>
      <c r="Z52" s="16" t="s">
        <v>656</v>
      </c>
      <c r="AB52" s="16" t="s">
        <v>226</v>
      </c>
      <c r="AC52" s="4">
        <v>1</v>
      </c>
    </row>
    <row r="53" spans="25:29" x14ac:dyDescent="0.35">
      <c r="Y53" s="16" t="s">
        <v>657</v>
      </c>
      <c r="Z53" s="16" t="s">
        <v>572</v>
      </c>
      <c r="AB53" s="16" t="s">
        <v>227</v>
      </c>
      <c r="AC53" s="4">
        <v>1</v>
      </c>
    </row>
    <row r="54" spans="25:29" x14ac:dyDescent="0.35">
      <c r="Y54" s="16" t="s">
        <v>532</v>
      </c>
      <c r="Z54" s="16" t="s">
        <v>533</v>
      </c>
      <c r="AB54" s="16" t="s">
        <v>228</v>
      </c>
      <c r="AC54" s="4">
        <v>1</v>
      </c>
    </row>
    <row r="55" spans="25:29" x14ac:dyDescent="0.35">
      <c r="Y55" s="16" t="s">
        <v>658</v>
      </c>
      <c r="Z55" s="16" t="s">
        <v>659</v>
      </c>
      <c r="AB55" s="16" t="s">
        <v>783</v>
      </c>
      <c r="AC55" s="4">
        <v>1</v>
      </c>
    </row>
    <row r="56" spans="25:29" x14ac:dyDescent="0.35">
      <c r="Y56" s="16" t="s">
        <v>660</v>
      </c>
      <c r="Z56" s="16" t="s">
        <v>661</v>
      </c>
      <c r="AB56" s="16" t="s">
        <v>784</v>
      </c>
      <c r="AC56" s="4">
        <v>1</v>
      </c>
    </row>
    <row r="57" spans="25:29" x14ac:dyDescent="0.35">
      <c r="Y57" s="16" t="s">
        <v>662</v>
      </c>
      <c r="Z57" s="16" t="s">
        <v>663</v>
      </c>
      <c r="AB57" s="16" t="s">
        <v>785</v>
      </c>
      <c r="AC57" s="4">
        <v>1</v>
      </c>
    </row>
    <row r="58" spans="25:29" x14ac:dyDescent="0.35">
      <c r="Y58" s="16" t="s">
        <v>664</v>
      </c>
      <c r="Z58" s="16" t="s">
        <v>573</v>
      </c>
      <c r="AB58" s="16" t="s">
        <v>786</v>
      </c>
      <c r="AC58" s="4">
        <v>1</v>
      </c>
    </row>
    <row r="59" spans="25:29" x14ac:dyDescent="0.35">
      <c r="Y59" s="16" t="s">
        <v>534</v>
      </c>
      <c r="Z59" s="16" t="s">
        <v>535</v>
      </c>
      <c r="AB59" s="16" t="s">
        <v>229</v>
      </c>
      <c r="AC59" s="4">
        <v>1</v>
      </c>
    </row>
    <row r="60" spans="25:29" x14ac:dyDescent="0.35">
      <c r="Y60" s="16" t="s">
        <v>637</v>
      </c>
      <c r="Z60" s="16" t="s">
        <v>665</v>
      </c>
      <c r="AB60" s="16" t="s">
        <v>177</v>
      </c>
      <c r="AC60" s="4">
        <v>1</v>
      </c>
    </row>
    <row r="61" spans="25:29" x14ac:dyDescent="0.35">
      <c r="Y61" s="16" t="s">
        <v>536</v>
      </c>
      <c r="Z61" s="16" t="s">
        <v>537</v>
      </c>
      <c r="AB61" s="16" t="s">
        <v>787</v>
      </c>
      <c r="AC61" s="4">
        <v>1</v>
      </c>
    </row>
    <row r="62" spans="25:29" x14ac:dyDescent="0.35">
      <c r="Y62" s="16" t="s">
        <v>666</v>
      </c>
      <c r="Z62" s="16" t="s">
        <v>667</v>
      </c>
      <c r="AB62" s="16" t="s">
        <v>230</v>
      </c>
      <c r="AC62" s="4">
        <v>1</v>
      </c>
    </row>
    <row r="63" spans="25:29" x14ac:dyDescent="0.35">
      <c r="Y63" s="16" t="s">
        <v>668</v>
      </c>
      <c r="Z63" s="16" t="s">
        <v>669</v>
      </c>
      <c r="AB63" s="16" t="s">
        <v>231</v>
      </c>
      <c r="AC63" s="4">
        <v>1</v>
      </c>
    </row>
    <row r="64" spans="25:29" x14ac:dyDescent="0.35">
      <c r="Y64" s="16" t="s">
        <v>547</v>
      </c>
      <c r="Z64" s="16" t="s">
        <v>553</v>
      </c>
      <c r="AB64" s="16" t="s">
        <v>232</v>
      </c>
      <c r="AC64" s="4">
        <v>1</v>
      </c>
    </row>
    <row r="65" spans="25:29" x14ac:dyDescent="0.35">
      <c r="Y65" s="16" t="s">
        <v>538</v>
      </c>
      <c r="Z65" s="16" t="s">
        <v>539</v>
      </c>
      <c r="AB65" s="16" t="s">
        <v>233</v>
      </c>
      <c r="AC65" s="4">
        <v>1</v>
      </c>
    </row>
    <row r="66" spans="25:29" x14ac:dyDescent="0.35">
      <c r="Y66" s="16" t="s">
        <v>670</v>
      </c>
      <c r="Z66" s="16" t="s">
        <v>670</v>
      </c>
      <c r="AB66" s="16" t="s">
        <v>788</v>
      </c>
      <c r="AC66" s="4">
        <v>1</v>
      </c>
    </row>
    <row r="67" spans="25:29" x14ac:dyDescent="0.35">
      <c r="Y67" s="16" t="s">
        <v>671</v>
      </c>
      <c r="Z67" s="16" t="s">
        <v>672</v>
      </c>
      <c r="AB67" s="16" t="s">
        <v>234</v>
      </c>
      <c r="AC67" s="4">
        <v>1</v>
      </c>
    </row>
    <row r="68" spans="25:29" x14ac:dyDescent="0.35">
      <c r="Y68" s="16" t="s">
        <v>673</v>
      </c>
      <c r="Z68" s="16" t="s">
        <v>674</v>
      </c>
      <c r="AB68" s="16" t="s">
        <v>235</v>
      </c>
      <c r="AC68" s="4">
        <v>1</v>
      </c>
    </row>
    <row r="69" spans="25:29" x14ac:dyDescent="0.35">
      <c r="Y69" s="16" t="s">
        <v>675</v>
      </c>
      <c r="Z69" s="16" t="s">
        <v>554</v>
      </c>
      <c r="AB69" s="16" t="s">
        <v>236</v>
      </c>
      <c r="AC69" s="4">
        <v>1</v>
      </c>
    </row>
    <row r="70" spans="25:29" x14ac:dyDescent="0.35">
      <c r="Y70" s="16" t="s">
        <v>676</v>
      </c>
      <c r="Z70" s="16" t="s">
        <v>677</v>
      </c>
      <c r="AB70" s="16" t="s">
        <v>789</v>
      </c>
      <c r="AC70" s="4">
        <v>1</v>
      </c>
    </row>
    <row r="71" spans="25:29" x14ac:dyDescent="0.35">
      <c r="Y71" s="16" t="s">
        <v>678</v>
      </c>
      <c r="Z71" s="16" t="s">
        <v>679</v>
      </c>
      <c r="AB71" s="16" t="s">
        <v>237</v>
      </c>
      <c r="AC71" s="4">
        <v>1</v>
      </c>
    </row>
    <row r="72" spans="25:29" x14ac:dyDescent="0.35">
      <c r="Y72" s="16" t="s">
        <v>680</v>
      </c>
      <c r="Z72" s="16" t="s">
        <v>681</v>
      </c>
      <c r="AB72" s="16" t="s">
        <v>238</v>
      </c>
      <c r="AC72" s="4">
        <v>1</v>
      </c>
    </row>
    <row r="73" spans="25:29" x14ac:dyDescent="0.35">
      <c r="Y73" s="16" t="s">
        <v>682</v>
      </c>
      <c r="Z73" s="16" t="s">
        <v>683</v>
      </c>
      <c r="AB73" s="16" t="s">
        <v>178</v>
      </c>
      <c r="AC73" s="4">
        <v>1</v>
      </c>
    </row>
    <row r="74" spans="25:29" x14ac:dyDescent="0.35">
      <c r="Y74" s="16" t="s">
        <v>684</v>
      </c>
      <c r="Z74" s="16" t="s">
        <v>685</v>
      </c>
      <c r="AB74" s="16" t="s">
        <v>239</v>
      </c>
      <c r="AC74" s="4">
        <v>1</v>
      </c>
    </row>
    <row r="75" spans="25:29" x14ac:dyDescent="0.35">
      <c r="Y75" s="16" t="s">
        <v>540</v>
      </c>
      <c r="Z75" s="16" t="s">
        <v>541</v>
      </c>
      <c r="AB75" s="16" t="s">
        <v>240</v>
      </c>
      <c r="AC75" s="4">
        <v>1</v>
      </c>
    </row>
    <row r="76" spans="25:29" x14ac:dyDescent="0.35">
      <c r="Y76" s="16" t="s">
        <v>645</v>
      </c>
      <c r="Z76" s="16" t="s">
        <v>686</v>
      </c>
      <c r="AB76" s="16" t="s">
        <v>241</v>
      </c>
      <c r="AC76" s="4">
        <v>1</v>
      </c>
    </row>
    <row r="77" spans="25:29" x14ac:dyDescent="0.35">
      <c r="Y77" s="16" t="s">
        <v>687</v>
      </c>
      <c r="Z77" s="16" t="s">
        <v>688</v>
      </c>
      <c r="AB77" s="16" t="s">
        <v>242</v>
      </c>
      <c r="AC77" s="4">
        <v>1</v>
      </c>
    </row>
    <row r="78" spans="25:29" x14ac:dyDescent="0.35">
      <c r="Y78" s="16" t="s">
        <v>687</v>
      </c>
      <c r="Z78" s="16" t="s">
        <v>689</v>
      </c>
      <c r="AB78" s="16" t="s">
        <v>243</v>
      </c>
      <c r="AC78" s="4">
        <v>1</v>
      </c>
    </row>
    <row r="79" spans="25:29" x14ac:dyDescent="0.35">
      <c r="Y79" s="16" t="s">
        <v>687</v>
      </c>
      <c r="Z79" s="16" t="s">
        <v>690</v>
      </c>
      <c r="AB79" s="16" t="s">
        <v>244</v>
      </c>
      <c r="AC79" s="4">
        <v>1</v>
      </c>
    </row>
    <row r="80" spans="25:29" x14ac:dyDescent="0.35">
      <c r="Y80" s="16" t="s">
        <v>687</v>
      </c>
      <c r="Z80" s="16" t="s">
        <v>691</v>
      </c>
      <c r="AB80" s="16" t="s">
        <v>245</v>
      </c>
      <c r="AC80" s="4">
        <v>1</v>
      </c>
    </row>
    <row r="81" spans="25:29" x14ac:dyDescent="0.35">
      <c r="Y81" s="16" t="s">
        <v>687</v>
      </c>
      <c r="Z81" s="16" t="s">
        <v>692</v>
      </c>
      <c r="AB81" s="16" t="s">
        <v>246</v>
      </c>
      <c r="AC81" s="4">
        <v>1</v>
      </c>
    </row>
    <row r="82" spans="25:29" x14ac:dyDescent="0.35">
      <c r="Y82" s="16" t="s">
        <v>693</v>
      </c>
      <c r="Z82" s="16" t="s">
        <v>694</v>
      </c>
      <c r="AB82" s="16" t="s">
        <v>247</v>
      </c>
      <c r="AC82" s="4">
        <v>1</v>
      </c>
    </row>
    <row r="83" spans="25:29" x14ac:dyDescent="0.35">
      <c r="Y83" s="16" t="s">
        <v>695</v>
      </c>
      <c r="Z83" s="16" t="s">
        <v>696</v>
      </c>
      <c r="AB83" s="16" t="s">
        <v>248</v>
      </c>
      <c r="AC83" s="4">
        <v>1</v>
      </c>
    </row>
    <row r="84" spans="25:29" x14ac:dyDescent="0.35">
      <c r="Y84" s="16" t="s">
        <v>697</v>
      </c>
      <c r="Z84" s="16" t="s">
        <v>698</v>
      </c>
      <c r="AB84" s="16" t="s">
        <v>249</v>
      </c>
      <c r="AC84" s="4">
        <v>1</v>
      </c>
    </row>
    <row r="85" spans="25:29" x14ac:dyDescent="0.35">
      <c r="Y85" s="16" t="s">
        <v>555</v>
      </c>
      <c r="Z85" s="16" t="s">
        <v>556</v>
      </c>
      <c r="AB85" s="16" t="s">
        <v>790</v>
      </c>
      <c r="AC85" s="4">
        <v>1</v>
      </c>
    </row>
    <row r="86" spans="25:29" x14ac:dyDescent="0.35">
      <c r="Y86" s="16" t="s">
        <v>542</v>
      </c>
      <c r="Z86" s="16" t="s">
        <v>543</v>
      </c>
      <c r="AB86" s="16" t="s">
        <v>250</v>
      </c>
      <c r="AC86" s="4">
        <v>1</v>
      </c>
    </row>
    <row r="87" spans="25:29" x14ac:dyDescent="0.35">
      <c r="Y87" s="16" t="s">
        <v>699</v>
      </c>
      <c r="Z87" s="16" t="s">
        <v>700</v>
      </c>
      <c r="AB87" s="16" t="s">
        <v>251</v>
      </c>
      <c r="AC87" s="4">
        <v>1</v>
      </c>
    </row>
    <row r="88" spans="25:29" x14ac:dyDescent="0.35">
      <c r="Y88" s="16" t="s">
        <v>701</v>
      </c>
      <c r="Z88" s="16" t="s">
        <v>702</v>
      </c>
      <c r="AB88" s="16" t="s">
        <v>252</v>
      </c>
      <c r="AC88" s="4">
        <v>1</v>
      </c>
    </row>
    <row r="89" spans="25:29" x14ac:dyDescent="0.35">
      <c r="Y89" s="16" t="s">
        <v>703</v>
      </c>
      <c r="Z89" s="16" t="s">
        <v>703</v>
      </c>
      <c r="AB89" s="16" t="s">
        <v>253</v>
      </c>
      <c r="AC89" s="4">
        <v>1</v>
      </c>
    </row>
    <row r="90" spans="25:29" x14ac:dyDescent="0.35">
      <c r="Y90" s="16" t="s">
        <v>704</v>
      </c>
      <c r="Z90" s="16" t="s">
        <v>705</v>
      </c>
      <c r="AB90" s="16" t="s">
        <v>254</v>
      </c>
      <c r="AC90" s="4">
        <v>1</v>
      </c>
    </row>
    <row r="91" spans="25:29" x14ac:dyDescent="0.35">
      <c r="Y91" s="16" t="s">
        <v>706</v>
      </c>
      <c r="Z91" s="16" t="s">
        <v>706</v>
      </c>
      <c r="AB91" s="16" t="s">
        <v>255</v>
      </c>
      <c r="AC91" s="4">
        <v>1</v>
      </c>
    </row>
    <row r="92" spans="25:29" x14ac:dyDescent="0.35">
      <c r="Y92" s="16" t="s">
        <v>707</v>
      </c>
      <c r="Z92" s="16" t="s">
        <v>707</v>
      </c>
      <c r="AB92" s="16" t="s">
        <v>256</v>
      </c>
      <c r="AC92" s="4">
        <v>1</v>
      </c>
    </row>
    <row r="93" spans="25:29" x14ac:dyDescent="0.35">
      <c r="Y93" s="16" t="s">
        <v>708</v>
      </c>
      <c r="Z93" s="16" t="s">
        <v>709</v>
      </c>
      <c r="AB93" s="16" t="s">
        <v>179</v>
      </c>
      <c r="AC93" s="4">
        <v>1</v>
      </c>
    </row>
    <row r="94" spans="25:29" x14ac:dyDescent="0.35">
      <c r="Y94" s="16" t="s">
        <v>710</v>
      </c>
      <c r="Z94" s="16" t="s">
        <v>711</v>
      </c>
      <c r="AB94" s="16" t="s">
        <v>257</v>
      </c>
      <c r="AC94" s="4">
        <v>1</v>
      </c>
    </row>
    <row r="95" spans="25:29" x14ac:dyDescent="0.35">
      <c r="Y95" s="16" t="s">
        <v>712</v>
      </c>
      <c r="Z95" s="16" t="s">
        <v>713</v>
      </c>
      <c r="AB95" s="16" t="s">
        <v>258</v>
      </c>
      <c r="AC95" s="4">
        <v>1</v>
      </c>
    </row>
    <row r="96" spans="25:29" x14ac:dyDescent="0.35">
      <c r="Y96" s="16" t="s">
        <v>714</v>
      </c>
      <c r="Z96" s="16" t="s">
        <v>715</v>
      </c>
      <c r="AB96" s="16" t="s">
        <v>259</v>
      </c>
      <c r="AC96" s="4">
        <v>1</v>
      </c>
    </row>
    <row r="97" spans="25:29" x14ac:dyDescent="0.35">
      <c r="Y97" s="16" t="s">
        <v>544</v>
      </c>
      <c r="Z97" s="16" t="s">
        <v>545</v>
      </c>
      <c r="AB97" s="16" t="s">
        <v>260</v>
      </c>
      <c r="AC97" s="4">
        <v>1</v>
      </c>
    </row>
    <row r="98" spans="25:29" x14ac:dyDescent="0.35">
      <c r="Y98" s="16" t="s">
        <v>716</v>
      </c>
      <c r="Z98" s="16" t="s">
        <v>717</v>
      </c>
      <c r="AB98" s="16" t="s">
        <v>261</v>
      </c>
      <c r="AC98" s="4">
        <v>1</v>
      </c>
    </row>
    <row r="99" spans="25:29" x14ac:dyDescent="0.35">
      <c r="Y99" s="16" t="s">
        <v>557</v>
      </c>
      <c r="Z99" s="16" t="s">
        <v>558</v>
      </c>
      <c r="AB99" s="16" t="s">
        <v>262</v>
      </c>
      <c r="AC99" s="4">
        <v>1</v>
      </c>
    </row>
    <row r="100" spans="25:29" x14ac:dyDescent="0.35">
      <c r="Y100" s="16" t="s">
        <v>598</v>
      </c>
      <c r="Z100" s="16" t="s">
        <v>546</v>
      </c>
      <c r="AB100" s="16" t="s">
        <v>263</v>
      </c>
      <c r="AC100" s="4">
        <v>1</v>
      </c>
    </row>
    <row r="101" spans="25:29" x14ac:dyDescent="0.35">
      <c r="Y101" s="16" t="s">
        <v>718</v>
      </c>
      <c r="Z101" s="16" t="s">
        <v>719</v>
      </c>
      <c r="AB101" s="16" t="s">
        <v>264</v>
      </c>
      <c r="AC101" s="4">
        <v>1</v>
      </c>
    </row>
    <row r="102" spans="25:29" x14ac:dyDescent="0.35">
      <c r="Y102" s="16" t="s">
        <v>720</v>
      </c>
      <c r="Z102" s="16" t="s">
        <v>721</v>
      </c>
      <c r="AB102" s="16" t="s">
        <v>265</v>
      </c>
      <c r="AC102" s="4">
        <v>1</v>
      </c>
    </row>
    <row r="103" spans="25:29" x14ac:dyDescent="0.35">
      <c r="Y103" s="16" t="s">
        <v>722</v>
      </c>
      <c r="Z103" s="16" t="s">
        <v>723</v>
      </c>
      <c r="AB103" s="16" t="s">
        <v>266</v>
      </c>
      <c r="AC103" s="4">
        <v>1</v>
      </c>
    </row>
    <row r="104" spans="25:29" x14ac:dyDescent="0.35">
      <c r="Y104" s="16" t="s">
        <v>724</v>
      </c>
      <c r="Z104" s="16" t="s">
        <v>725</v>
      </c>
      <c r="AB104" s="16" t="s">
        <v>267</v>
      </c>
      <c r="AC104" s="4">
        <v>1</v>
      </c>
    </row>
    <row r="105" spans="25:29" x14ac:dyDescent="0.35">
      <c r="Y105" s="16" t="s">
        <v>726</v>
      </c>
      <c r="Z105" s="16" t="s">
        <v>726</v>
      </c>
      <c r="AB105" s="16" t="s">
        <v>268</v>
      </c>
      <c r="AC105" s="4">
        <v>1</v>
      </c>
    </row>
    <row r="106" spans="25:29" x14ac:dyDescent="0.35">
      <c r="Y106" s="16" t="s">
        <v>727</v>
      </c>
      <c r="Z106" s="16" t="s">
        <v>728</v>
      </c>
      <c r="AB106" s="16" t="s">
        <v>269</v>
      </c>
      <c r="AC106" s="4">
        <v>1</v>
      </c>
    </row>
    <row r="107" spans="25:29" x14ac:dyDescent="0.35">
      <c r="Y107" s="16" t="s">
        <v>729</v>
      </c>
      <c r="Z107" s="16" t="s">
        <v>566</v>
      </c>
      <c r="AB107" s="16" t="s">
        <v>270</v>
      </c>
      <c r="AC107" s="4">
        <v>1</v>
      </c>
    </row>
    <row r="108" spans="25:29" x14ac:dyDescent="0.35">
      <c r="Y108" s="16" t="s">
        <v>730</v>
      </c>
      <c r="Z108" s="16" t="s">
        <v>731</v>
      </c>
      <c r="AB108" s="16" t="s">
        <v>271</v>
      </c>
      <c r="AC108" s="4">
        <v>1</v>
      </c>
    </row>
    <row r="109" spans="25:29" x14ac:dyDescent="0.35">
      <c r="Y109" s="16" t="s">
        <v>732</v>
      </c>
      <c r="Z109" s="16" t="s">
        <v>733</v>
      </c>
      <c r="AB109" s="16" t="s">
        <v>272</v>
      </c>
      <c r="AC109" s="4">
        <v>1</v>
      </c>
    </row>
    <row r="110" spans="25:29" x14ac:dyDescent="0.35">
      <c r="Y110" s="16" t="s">
        <v>734</v>
      </c>
      <c r="Z110" s="16" t="s">
        <v>735</v>
      </c>
      <c r="AB110" s="16" t="s">
        <v>273</v>
      </c>
      <c r="AC110" s="4">
        <v>1</v>
      </c>
    </row>
    <row r="111" spans="25:29" x14ac:dyDescent="0.35">
      <c r="Y111" s="16" t="s">
        <v>736</v>
      </c>
      <c r="Z111" s="16" t="s">
        <v>570</v>
      </c>
      <c r="AB111" s="16" t="s">
        <v>274</v>
      </c>
      <c r="AC111" s="4">
        <v>1</v>
      </c>
    </row>
    <row r="112" spans="25:29" x14ac:dyDescent="0.35">
      <c r="Y112" s="16" t="s">
        <v>737</v>
      </c>
      <c r="Z112" s="16" t="s">
        <v>738</v>
      </c>
      <c r="AB112" s="16" t="s">
        <v>275</v>
      </c>
      <c r="AC112" s="4">
        <v>1</v>
      </c>
    </row>
    <row r="113" spans="25:29" x14ac:dyDescent="0.35">
      <c r="Y113" s="16" t="s">
        <v>739</v>
      </c>
      <c r="Z113" s="16" t="s">
        <v>567</v>
      </c>
      <c r="AB113" s="16" t="s">
        <v>276</v>
      </c>
      <c r="AC113" s="4">
        <v>1</v>
      </c>
    </row>
    <row r="114" spans="25:29" x14ac:dyDescent="0.35">
      <c r="Y114" s="16" t="s">
        <v>740</v>
      </c>
      <c r="Z114" s="16" t="s">
        <v>741</v>
      </c>
      <c r="AB114" s="16" t="s">
        <v>791</v>
      </c>
      <c r="AC114" s="4">
        <v>1</v>
      </c>
    </row>
    <row r="115" spans="25:29" x14ac:dyDescent="0.35">
      <c r="Y115" s="16" t="s">
        <v>742</v>
      </c>
      <c r="Z115" s="16" t="s">
        <v>743</v>
      </c>
      <c r="AB115" s="16" t="s">
        <v>277</v>
      </c>
      <c r="AC115" s="4">
        <v>1</v>
      </c>
    </row>
    <row r="116" spans="25:29" x14ac:dyDescent="0.35">
      <c r="Y116" s="16" t="s">
        <v>547</v>
      </c>
      <c r="Z116" s="16" t="s">
        <v>548</v>
      </c>
      <c r="AB116" s="16" t="s">
        <v>792</v>
      </c>
      <c r="AC116" s="4">
        <v>1</v>
      </c>
    </row>
    <row r="117" spans="25:29" x14ac:dyDescent="0.35">
      <c r="Y117" s="16" t="s">
        <v>744</v>
      </c>
      <c r="Z117" s="16" t="s">
        <v>744</v>
      </c>
      <c r="AB117" s="16" t="s">
        <v>793</v>
      </c>
      <c r="AC117" s="4">
        <v>1</v>
      </c>
    </row>
    <row r="118" spans="25:29" x14ac:dyDescent="0.35">
      <c r="Y118" s="16" t="s">
        <v>568</v>
      </c>
      <c r="Z118" s="16" t="s">
        <v>745</v>
      </c>
      <c r="AB118" s="16" t="s">
        <v>278</v>
      </c>
      <c r="AC118" s="4">
        <v>1</v>
      </c>
    </row>
    <row r="119" spans="25:29" x14ac:dyDescent="0.35">
      <c r="Y119" s="16" t="s">
        <v>568</v>
      </c>
      <c r="Z119" s="16" t="s">
        <v>569</v>
      </c>
      <c r="AB119" s="16" t="s">
        <v>794</v>
      </c>
      <c r="AC119" s="4">
        <v>1</v>
      </c>
    </row>
    <row r="120" spans="25:29" x14ac:dyDescent="0.35">
      <c r="Y120" s="16" t="s">
        <v>592</v>
      </c>
      <c r="Z120" s="16" t="s">
        <v>746</v>
      </c>
      <c r="AB120" s="16" t="s">
        <v>795</v>
      </c>
      <c r="AC120" s="4">
        <v>1</v>
      </c>
    </row>
    <row r="121" spans="25:29" x14ac:dyDescent="0.35">
      <c r="Y121" s="16" t="s">
        <v>594</v>
      </c>
      <c r="Z121" s="16" t="s">
        <v>747</v>
      </c>
      <c r="AB121" s="16" t="s">
        <v>796</v>
      </c>
      <c r="AC121" s="4">
        <v>1</v>
      </c>
    </row>
    <row r="122" spans="25:29" x14ac:dyDescent="0.35">
      <c r="Y122" s="16" t="s">
        <v>748</v>
      </c>
      <c r="Z122" s="16" t="s">
        <v>749</v>
      </c>
      <c r="AB122" s="16" t="s">
        <v>797</v>
      </c>
      <c r="AC122" s="4">
        <v>1</v>
      </c>
    </row>
    <row r="123" spans="25:29" x14ac:dyDescent="0.35">
      <c r="Y123" s="16" t="s">
        <v>750</v>
      </c>
      <c r="Z123" s="16" t="s">
        <v>751</v>
      </c>
      <c r="AB123" s="16" t="s">
        <v>798</v>
      </c>
      <c r="AC123" s="4">
        <v>1</v>
      </c>
    </row>
    <row r="124" spans="25:29" x14ac:dyDescent="0.35">
      <c r="Y124" s="16" t="s">
        <v>752</v>
      </c>
      <c r="Z124" s="16" t="s">
        <v>753</v>
      </c>
      <c r="AB124" s="16" t="s">
        <v>799</v>
      </c>
      <c r="AC124" s="4">
        <v>1</v>
      </c>
    </row>
    <row r="125" spans="25:29" x14ac:dyDescent="0.35">
      <c r="Y125" s="16" t="s">
        <v>754</v>
      </c>
      <c r="Z125" s="16" t="s">
        <v>754</v>
      </c>
      <c r="AB125" s="16" t="s">
        <v>800</v>
      </c>
      <c r="AC125" s="4">
        <v>1</v>
      </c>
    </row>
    <row r="126" spans="25:29" x14ac:dyDescent="0.35">
      <c r="Y126" s="16" t="s">
        <v>564</v>
      </c>
      <c r="Z126" s="16" t="s">
        <v>755</v>
      </c>
      <c r="AB126" s="16" t="s">
        <v>801</v>
      </c>
      <c r="AC126" s="4">
        <v>1</v>
      </c>
    </row>
    <row r="127" spans="25:29" x14ac:dyDescent="0.35">
      <c r="Y127" s="16" t="s">
        <v>564</v>
      </c>
      <c r="Z127" s="16" t="s">
        <v>565</v>
      </c>
      <c r="AB127" s="16" t="s">
        <v>802</v>
      </c>
      <c r="AC127" s="4">
        <v>1</v>
      </c>
    </row>
    <row r="128" spans="25:29" x14ac:dyDescent="0.35">
      <c r="Y128" s="16" t="s">
        <v>756</v>
      </c>
      <c r="Z128" s="16" t="s">
        <v>757</v>
      </c>
      <c r="AB128" s="16" t="s">
        <v>803</v>
      </c>
      <c r="AC128" s="4">
        <v>1</v>
      </c>
    </row>
    <row r="129" spans="25:29" x14ac:dyDescent="0.35">
      <c r="Y129" s="16" t="s">
        <v>758</v>
      </c>
      <c r="Z129" s="16" t="s">
        <v>759</v>
      </c>
      <c r="AB129" s="16" t="s">
        <v>804</v>
      </c>
      <c r="AC129" s="4">
        <v>1</v>
      </c>
    </row>
    <row r="130" spans="25:29" x14ac:dyDescent="0.35">
      <c r="Y130" s="16" t="s">
        <v>760</v>
      </c>
      <c r="Z130" s="16" t="s">
        <v>761</v>
      </c>
      <c r="AB130" s="16" t="s">
        <v>805</v>
      </c>
      <c r="AC130" s="4">
        <v>1</v>
      </c>
    </row>
    <row r="131" spans="25:29" x14ac:dyDescent="0.35">
      <c r="AB131" s="16" t="s">
        <v>806</v>
      </c>
      <c r="AC131" s="4">
        <v>1</v>
      </c>
    </row>
    <row r="132" spans="25:29" x14ac:dyDescent="0.35">
      <c r="AB132" s="16" t="s">
        <v>807</v>
      </c>
      <c r="AC132" s="4">
        <v>1</v>
      </c>
    </row>
    <row r="133" spans="25:29" x14ac:dyDescent="0.35">
      <c r="AB133" s="16" t="s">
        <v>808</v>
      </c>
      <c r="AC133" s="4">
        <v>1</v>
      </c>
    </row>
    <row r="134" spans="25:29" x14ac:dyDescent="0.35">
      <c r="AB134" s="16" t="s">
        <v>809</v>
      </c>
      <c r="AC134" s="4">
        <v>1</v>
      </c>
    </row>
    <row r="135" spans="25:29" x14ac:dyDescent="0.35">
      <c r="AB135" s="16" t="s">
        <v>810</v>
      </c>
      <c r="AC135" s="4">
        <v>1</v>
      </c>
    </row>
    <row r="136" spans="25:29" x14ac:dyDescent="0.35">
      <c r="AB136" s="16" t="s">
        <v>811</v>
      </c>
      <c r="AC136" s="4">
        <v>1</v>
      </c>
    </row>
    <row r="137" spans="25:29" x14ac:dyDescent="0.35">
      <c r="AB137" s="16" t="s">
        <v>812</v>
      </c>
      <c r="AC137" s="4">
        <v>1</v>
      </c>
    </row>
    <row r="138" spans="25:29" x14ac:dyDescent="0.35">
      <c r="AB138" s="16" t="s">
        <v>813</v>
      </c>
      <c r="AC138" s="4">
        <v>1</v>
      </c>
    </row>
    <row r="139" spans="25:29" x14ac:dyDescent="0.35">
      <c r="AB139" s="16" t="s">
        <v>814</v>
      </c>
      <c r="AC139" s="4">
        <v>1</v>
      </c>
    </row>
    <row r="140" spans="25:29" x14ac:dyDescent="0.35">
      <c r="AB140" s="16" t="s">
        <v>815</v>
      </c>
      <c r="AC140" s="4">
        <v>1</v>
      </c>
    </row>
    <row r="141" spans="25:29" x14ac:dyDescent="0.35">
      <c r="AB141" s="16" t="s">
        <v>816</v>
      </c>
      <c r="AC141" s="4">
        <v>1</v>
      </c>
    </row>
    <row r="142" spans="25:29" x14ac:dyDescent="0.35">
      <c r="AB142" s="16" t="s">
        <v>817</v>
      </c>
      <c r="AC142" s="4">
        <v>1</v>
      </c>
    </row>
    <row r="143" spans="25:29" x14ac:dyDescent="0.35">
      <c r="AB143" s="16" t="s">
        <v>818</v>
      </c>
      <c r="AC143" s="4">
        <v>1</v>
      </c>
    </row>
    <row r="144" spans="25:29" x14ac:dyDescent="0.35">
      <c r="AB144" s="16" t="s">
        <v>819</v>
      </c>
      <c r="AC144" s="4">
        <v>1</v>
      </c>
    </row>
    <row r="145" spans="28:29" x14ac:dyDescent="0.35">
      <c r="AB145" s="16" t="s">
        <v>820</v>
      </c>
      <c r="AC145" s="4">
        <v>1</v>
      </c>
    </row>
    <row r="146" spans="28:29" x14ac:dyDescent="0.35">
      <c r="AB146" s="16" t="s">
        <v>821</v>
      </c>
      <c r="AC146" s="4">
        <v>1</v>
      </c>
    </row>
    <row r="147" spans="28:29" x14ac:dyDescent="0.35">
      <c r="AB147" s="16" t="s">
        <v>822</v>
      </c>
      <c r="AC147" s="4">
        <v>1</v>
      </c>
    </row>
    <row r="148" spans="28:29" x14ac:dyDescent="0.35">
      <c r="AB148" s="16" t="s">
        <v>823</v>
      </c>
      <c r="AC148" s="4">
        <v>1</v>
      </c>
    </row>
    <row r="149" spans="28:29" x14ac:dyDescent="0.35">
      <c r="AB149" s="16" t="s">
        <v>824</v>
      </c>
      <c r="AC149" s="4">
        <v>1</v>
      </c>
    </row>
    <row r="150" spans="28:29" x14ac:dyDescent="0.35">
      <c r="AB150" s="16" t="s">
        <v>825</v>
      </c>
      <c r="AC150" s="4">
        <v>1</v>
      </c>
    </row>
    <row r="151" spans="28:29" x14ac:dyDescent="0.35">
      <c r="AB151" s="16" t="s">
        <v>826</v>
      </c>
      <c r="AC151" s="4">
        <v>1</v>
      </c>
    </row>
    <row r="152" spans="28:29" x14ac:dyDescent="0.35">
      <c r="AB152" s="16" t="s">
        <v>827</v>
      </c>
      <c r="AC152" s="4">
        <v>1</v>
      </c>
    </row>
    <row r="153" spans="28:29" x14ac:dyDescent="0.35">
      <c r="AB153" s="16" t="s">
        <v>828</v>
      </c>
      <c r="AC153" s="4">
        <v>1</v>
      </c>
    </row>
    <row r="154" spans="28:29" x14ac:dyDescent="0.35">
      <c r="AB154" s="16" t="s">
        <v>829</v>
      </c>
      <c r="AC154" s="4">
        <v>1</v>
      </c>
    </row>
    <row r="155" spans="28:29" x14ac:dyDescent="0.35">
      <c r="AB155" s="16" t="s">
        <v>830</v>
      </c>
      <c r="AC155" s="4">
        <v>1</v>
      </c>
    </row>
    <row r="156" spans="28:29" x14ac:dyDescent="0.35">
      <c r="AB156" s="16" t="s">
        <v>831</v>
      </c>
      <c r="AC156" s="4">
        <v>1</v>
      </c>
    </row>
    <row r="157" spans="28:29" x14ac:dyDescent="0.35">
      <c r="AB157" s="16" t="s">
        <v>832</v>
      </c>
      <c r="AC157" s="4">
        <v>1</v>
      </c>
    </row>
    <row r="158" spans="28:29" x14ac:dyDescent="0.35">
      <c r="AB158" s="16" t="s">
        <v>833</v>
      </c>
      <c r="AC158" s="4">
        <v>1</v>
      </c>
    </row>
    <row r="159" spans="28:29" x14ac:dyDescent="0.35">
      <c r="AB159" s="16" t="s">
        <v>834</v>
      </c>
      <c r="AC159" s="4">
        <v>1</v>
      </c>
    </row>
    <row r="160" spans="28:29" x14ac:dyDescent="0.35">
      <c r="AB160" s="16" t="s">
        <v>835</v>
      </c>
      <c r="AC160" s="4">
        <v>1</v>
      </c>
    </row>
    <row r="161" spans="28:29" x14ac:dyDescent="0.35">
      <c r="AB161" s="16" t="s">
        <v>836</v>
      </c>
      <c r="AC161" s="4">
        <v>1</v>
      </c>
    </row>
    <row r="162" spans="28:29" x14ac:dyDescent="0.35">
      <c r="AB162" s="16" t="s">
        <v>837</v>
      </c>
      <c r="AC162" s="4">
        <v>1</v>
      </c>
    </row>
    <row r="163" spans="28:29" x14ac:dyDescent="0.35">
      <c r="AB163" s="16" t="s">
        <v>838</v>
      </c>
      <c r="AC163" s="4">
        <v>1</v>
      </c>
    </row>
    <row r="164" spans="28:29" x14ac:dyDescent="0.35">
      <c r="AB164" s="16" t="s">
        <v>839</v>
      </c>
      <c r="AC164" s="4">
        <v>1</v>
      </c>
    </row>
    <row r="165" spans="28:29" x14ac:dyDescent="0.35">
      <c r="AB165" s="16" t="s">
        <v>840</v>
      </c>
      <c r="AC165" s="4">
        <v>1</v>
      </c>
    </row>
    <row r="166" spans="28:29" x14ac:dyDescent="0.35">
      <c r="AB166" s="16" t="s">
        <v>841</v>
      </c>
      <c r="AC166" s="4">
        <v>1</v>
      </c>
    </row>
    <row r="167" spans="28:29" x14ac:dyDescent="0.35">
      <c r="AB167" s="16" t="s">
        <v>842</v>
      </c>
      <c r="AC167" s="4">
        <v>1</v>
      </c>
    </row>
    <row r="168" spans="28:29" x14ac:dyDescent="0.35">
      <c r="AB168" s="16" t="s">
        <v>843</v>
      </c>
      <c r="AC168" s="4">
        <v>1</v>
      </c>
    </row>
    <row r="169" spans="28:29" x14ac:dyDescent="0.35">
      <c r="AB169" s="16" t="s">
        <v>844</v>
      </c>
      <c r="AC169" s="4">
        <v>1</v>
      </c>
    </row>
    <row r="170" spans="28:29" x14ac:dyDescent="0.35">
      <c r="AB170" s="16" t="s">
        <v>845</v>
      </c>
      <c r="AC170" s="4">
        <v>1</v>
      </c>
    </row>
    <row r="171" spans="28:29" x14ac:dyDescent="0.35">
      <c r="AB171" s="16" t="s">
        <v>846</v>
      </c>
      <c r="AC171" s="4">
        <v>1</v>
      </c>
    </row>
    <row r="172" spans="28:29" x14ac:dyDescent="0.35">
      <c r="AB172" s="16" t="s">
        <v>847</v>
      </c>
      <c r="AC172" s="4">
        <v>1</v>
      </c>
    </row>
    <row r="173" spans="28:29" x14ac:dyDescent="0.35">
      <c r="AB173" s="16" t="s">
        <v>848</v>
      </c>
      <c r="AC173" s="4">
        <v>1</v>
      </c>
    </row>
    <row r="174" spans="28:29" x14ac:dyDescent="0.35">
      <c r="AB174" s="16" t="s">
        <v>849</v>
      </c>
      <c r="AC174" s="4">
        <v>1</v>
      </c>
    </row>
    <row r="175" spans="28:29" x14ac:dyDescent="0.35">
      <c r="AB175" s="16" t="s">
        <v>850</v>
      </c>
      <c r="AC175" s="4">
        <v>1</v>
      </c>
    </row>
    <row r="176" spans="28:29" x14ac:dyDescent="0.35">
      <c r="AB176" s="16" t="s">
        <v>851</v>
      </c>
      <c r="AC176" s="4">
        <v>1</v>
      </c>
    </row>
    <row r="177" spans="28:29" x14ac:dyDescent="0.35">
      <c r="AB177" s="16" t="s">
        <v>852</v>
      </c>
      <c r="AC177" s="4">
        <v>1</v>
      </c>
    </row>
    <row r="178" spans="28:29" x14ac:dyDescent="0.35">
      <c r="AB178" s="16" t="s">
        <v>853</v>
      </c>
      <c r="AC178" s="4">
        <v>1</v>
      </c>
    </row>
    <row r="179" spans="28:29" x14ac:dyDescent="0.35">
      <c r="AB179" s="16" t="s">
        <v>854</v>
      </c>
      <c r="AC179" s="4">
        <v>1</v>
      </c>
    </row>
    <row r="180" spans="28:29" x14ac:dyDescent="0.35">
      <c r="AB180" s="16" t="s">
        <v>855</v>
      </c>
      <c r="AC180" s="4">
        <v>1</v>
      </c>
    </row>
    <row r="181" spans="28:29" x14ac:dyDescent="0.35">
      <c r="AB181" s="16" t="s">
        <v>856</v>
      </c>
      <c r="AC181" s="4">
        <v>1</v>
      </c>
    </row>
    <row r="182" spans="28:29" x14ac:dyDescent="0.35">
      <c r="AB182" s="16" t="s">
        <v>857</v>
      </c>
      <c r="AC182" s="4">
        <v>1</v>
      </c>
    </row>
    <row r="183" spans="28:29" x14ac:dyDescent="0.35">
      <c r="AB183" s="16" t="s">
        <v>858</v>
      </c>
      <c r="AC183" s="4">
        <v>1</v>
      </c>
    </row>
    <row r="184" spans="28:29" x14ac:dyDescent="0.35">
      <c r="AB184" s="16" t="s">
        <v>859</v>
      </c>
      <c r="AC184" s="4">
        <v>1</v>
      </c>
    </row>
    <row r="185" spans="28:29" x14ac:dyDescent="0.35">
      <c r="AB185" s="16" t="s">
        <v>860</v>
      </c>
      <c r="AC185" s="4">
        <v>1</v>
      </c>
    </row>
    <row r="186" spans="28:29" x14ac:dyDescent="0.35">
      <c r="AB186" s="16" t="s">
        <v>861</v>
      </c>
      <c r="AC186" s="4">
        <v>1</v>
      </c>
    </row>
    <row r="187" spans="28:29" x14ac:dyDescent="0.35">
      <c r="AB187" s="16" t="s">
        <v>862</v>
      </c>
      <c r="AC187" s="4">
        <v>1</v>
      </c>
    </row>
    <row r="188" spans="28:29" x14ac:dyDescent="0.35">
      <c r="AB188" s="16" t="s">
        <v>863</v>
      </c>
      <c r="AC188" s="4">
        <v>1</v>
      </c>
    </row>
    <row r="189" spans="28:29" x14ac:dyDescent="0.35">
      <c r="AB189" s="16" t="s">
        <v>864</v>
      </c>
      <c r="AC189" s="4">
        <v>1</v>
      </c>
    </row>
    <row r="190" spans="28:29" x14ac:dyDescent="0.35">
      <c r="AB190" s="16" t="s">
        <v>865</v>
      </c>
      <c r="AC190" s="4">
        <v>1</v>
      </c>
    </row>
    <row r="191" spans="28:29" x14ac:dyDescent="0.35">
      <c r="AB191" s="16" t="s">
        <v>866</v>
      </c>
      <c r="AC191" s="4">
        <v>1</v>
      </c>
    </row>
    <row r="192" spans="28:29" x14ac:dyDescent="0.35">
      <c r="AB192" s="16" t="s">
        <v>867</v>
      </c>
      <c r="AC192" s="4">
        <v>1</v>
      </c>
    </row>
    <row r="193" spans="28:29" x14ac:dyDescent="0.35">
      <c r="AB193" s="16" t="s">
        <v>868</v>
      </c>
      <c r="AC193" s="4">
        <v>1</v>
      </c>
    </row>
    <row r="194" spans="28:29" x14ac:dyDescent="0.35">
      <c r="AB194" s="16" t="s">
        <v>869</v>
      </c>
      <c r="AC194" s="4">
        <v>1</v>
      </c>
    </row>
    <row r="195" spans="28:29" x14ac:dyDescent="0.35">
      <c r="AB195" s="16" t="s">
        <v>870</v>
      </c>
      <c r="AC195" s="4">
        <v>1</v>
      </c>
    </row>
    <row r="196" spans="28:29" x14ac:dyDescent="0.35">
      <c r="AB196" s="16" t="s">
        <v>871</v>
      </c>
      <c r="AC196" s="4">
        <v>1</v>
      </c>
    </row>
    <row r="197" spans="28:29" x14ac:dyDescent="0.35">
      <c r="AB197" s="16" t="s">
        <v>872</v>
      </c>
      <c r="AC197" s="4">
        <v>1</v>
      </c>
    </row>
    <row r="198" spans="28:29" x14ac:dyDescent="0.35">
      <c r="AB198" s="16" t="s">
        <v>873</v>
      </c>
      <c r="AC198" s="4">
        <v>1</v>
      </c>
    </row>
    <row r="199" spans="28:29" x14ac:dyDescent="0.35">
      <c r="AB199" s="16" t="s">
        <v>874</v>
      </c>
      <c r="AC199" s="4">
        <v>1</v>
      </c>
    </row>
    <row r="200" spans="28:29" x14ac:dyDescent="0.35">
      <c r="AB200" s="16" t="s">
        <v>875</v>
      </c>
      <c r="AC200" s="4">
        <v>1</v>
      </c>
    </row>
    <row r="201" spans="28:29" x14ac:dyDescent="0.35">
      <c r="AB201" s="16" t="s">
        <v>876</v>
      </c>
      <c r="AC201" s="4">
        <v>1</v>
      </c>
    </row>
    <row r="202" spans="28:29" x14ac:dyDescent="0.35">
      <c r="AB202" s="16" t="s">
        <v>877</v>
      </c>
      <c r="AC202" s="4">
        <v>1</v>
      </c>
    </row>
    <row r="203" spans="28:29" x14ac:dyDescent="0.35">
      <c r="AB203" s="16" t="s">
        <v>878</v>
      </c>
      <c r="AC203" s="4">
        <v>1</v>
      </c>
    </row>
    <row r="204" spans="28:29" x14ac:dyDescent="0.35">
      <c r="AB204" s="16" t="s">
        <v>879</v>
      </c>
      <c r="AC204" s="4">
        <v>1</v>
      </c>
    </row>
    <row r="205" spans="28:29" x14ac:dyDescent="0.35">
      <c r="AB205" s="16" t="s">
        <v>880</v>
      </c>
      <c r="AC205" s="4">
        <v>1</v>
      </c>
    </row>
    <row r="206" spans="28:29" x14ac:dyDescent="0.35">
      <c r="AB206" s="16" t="s">
        <v>881</v>
      </c>
      <c r="AC206" s="4">
        <v>1</v>
      </c>
    </row>
    <row r="207" spans="28:29" x14ac:dyDescent="0.35">
      <c r="AB207" s="16" t="s">
        <v>882</v>
      </c>
      <c r="AC207" s="4">
        <v>1</v>
      </c>
    </row>
    <row r="208" spans="28:29" x14ac:dyDescent="0.35">
      <c r="AB208" s="16" t="s">
        <v>883</v>
      </c>
      <c r="AC208" s="4">
        <v>1</v>
      </c>
    </row>
    <row r="209" spans="28:29" x14ac:dyDescent="0.35">
      <c r="AB209" s="16" t="s">
        <v>884</v>
      </c>
      <c r="AC209" s="4">
        <v>1</v>
      </c>
    </row>
    <row r="210" spans="28:29" x14ac:dyDescent="0.35">
      <c r="AB210" s="16" t="s">
        <v>885</v>
      </c>
      <c r="AC210" s="4">
        <v>1</v>
      </c>
    </row>
    <row r="211" spans="28:29" x14ac:dyDescent="0.35">
      <c r="AB211" s="16" t="s">
        <v>886</v>
      </c>
      <c r="AC211" s="4">
        <v>1</v>
      </c>
    </row>
    <row r="212" spans="28:29" x14ac:dyDescent="0.35">
      <c r="AB212" s="16" t="s">
        <v>887</v>
      </c>
      <c r="AC212" s="4">
        <v>1</v>
      </c>
    </row>
    <row r="213" spans="28:29" x14ac:dyDescent="0.35">
      <c r="AB213" s="16" t="s">
        <v>888</v>
      </c>
      <c r="AC213" s="4">
        <v>1</v>
      </c>
    </row>
    <row r="214" spans="28:29" x14ac:dyDescent="0.35">
      <c r="AB214" s="16" t="s">
        <v>889</v>
      </c>
      <c r="AC214" s="4">
        <v>1</v>
      </c>
    </row>
    <row r="215" spans="28:29" x14ac:dyDescent="0.35">
      <c r="AB215" s="16" t="s">
        <v>890</v>
      </c>
      <c r="AC215" s="4">
        <v>1</v>
      </c>
    </row>
    <row r="216" spans="28:29" x14ac:dyDescent="0.35">
      <c r="AB216" s="16" t="s">
        <v>891</v>
      </c>
      <c r="AC216" s="4">
        <v>1</v>
      </c>
    </row>
    <row r="217" spans="28:29" x14ac:dyDescent="0.35">
      <c r="AB217" s="16" t="s">
        <v>892</v>
      </c>
      <c r="AC217" s="4">
        <v>1</v>
      </c>
    </row>
    <row r="218" spans="28:29" x14ac:dyDescent="0.35">
      <c r="AB218" s="16" t="s">
        <v>893</v>
      </c>
      <c r="AC218" s="4">
        <v>1</v>
      </c>
    </row>
    <row r="219" spans="28:29" x14ac:dyDescent="0.35">
      <c r="AB219" s="16" t="s">
        <v>894</v>
      </c>
      <c r="AC219" s="4">
        <v>1</v>
      </c>
    </row>
    <row r="220" spans="28:29" x14ac:dyDescent="0.35">
      <c r="AB220" s="16" t="s">
        <v>895</v>
      </c>
      <c r="AC220" s="4">
        <v>1</v>
      </c>
    </row>
    <row r="221" spans="28:29" x14ac:dyDescent="0.35">
      <c r="AB221" s="16" t="s">
        <v>896</v>
      </c>
      <c r="AC221" s="4">
        <v>1</v>
      </c>
    </row>
    <row r="222" spans="28:29" x14ac:dyDescent="0.35">
      <c r="AB222" s="16" t="s">
        <v>897</v>
      </c>
      <c r="AC222" s="4">
        <v>1</v>
      </c>
    </row>
    <row r="223" spans="28:29" x14ac:dyDescent="0.35">
      <c r="AB223" s="16" t="s">
        <v>898</v>
      </c>
      <c r="AC223" s="4">
        <v>1</v>
      </c>
    </row>
    <row r="224" spans="28:29" x14ac:dyDescent="0.35">
      <c r="AB224" s="16" t="s">
        <v>899</v>
      </c>
      <c r="AC224" s="4">
        <v>1</v>
      </c>
    </row>
    <row r="225" spans="28:29" x14ac:dyDescent="0.35">
      <c r="AB225" s="16" t="s">
        <v>900</v>
      </c>
      <c r="AC225" s="4">
        <v>1</v>
      </c>
    </row>
    <row r="226" spans="28:29" x14ac:dyDescent="0.35">
      <c r="AB226" s="16" t="s">
        <v>901</v>
      </c>
      <c r="AC226" s="4">
        <v>1</v>
      </c>
    </row>
    <row r="227" spans="28:29" x14ac:dyDescent="0.35">
      <c r="AB227" s="16" t="s">
        <v>902</v>
      </c>
      <c r="AC227" s="4">
        <v>1</v>
      </c>
    </row>
    <row r="228" spans="28:29" x14ac:dyDescent="0.35">
      <c r="AB228" s="16" t="s">
        <v>903</v>
      </c>
      <c r="AC228" s="4">
        <v>1</v>
      </c>
    </row>
    <row r="229" spans="28:29" x14ac:dyDescent="0.35">
      <c r="AB229" s="16" t="s">
        <v>904</v>
      </c>
      <c r="AC229" s="4">
        <v>1</v>
      </c>
    </row>
    <row r="230" spans="28:29" x14ac:dyDescent="0.35">
      <c r="AB230" s="16" t="s">
        <v>905</v>
      </c>
      <c r="AC230" s="4">
        <v>1</v>
      </c>
    </row>
    <row r="231" spans="28:29" x14ac:dyDescent="0.35">
      <c r="AB231" s="16" t="s">
        <v>906</v>
      </c>
      <c r="AC231" s="4">
        <v>1</v>
      </c>
    </row>
    <row r="232" spans="28:29" x14ac:dyDescent="0.35">
      <c r="AB232" s="16" t="s">
        <v>907</v>
      </c>
      <c r="AC232" s="4">
        <v>1</v>
      </c>
    </row>
    <row r="233" spans="28:29" x14ac:dyDescent="0.35">
      <c r="AB233" s="16" t="s">
        <v>908</v>
      </c>
      <c r="AC233" s="4">
        <v>1</v>
      </c>
    </row>
    <row r="234" spans="28:29" x14ac:dyDescent="0.35">
      <c r="AB234" s="16" t="s">
        <v>909</v>
      </c>
      <c r="AC234" s="4">
        <v>1</v>
      </c>
    </row>
    <row r="235" spans="28:29" x14ac:dyDescent="0.35">
      <c r="AB235" s="16" t="s">
        <v>910</v>
      </c>
      <c r="AC235" s="4">
        <v>1</v>
      </c>
    </row>
    <row r="236" spans="28:29" x14ac:dyDescent="0.35">
      <c r="AB236" s="16" t="s">
        <v>911</v>
      </c>
      <c r="AC236" s="4">
        <v>1</v>
      </c>
    </row>
    <row r="237" spans="28:29" x14ac:dyDescent="0.35">
      <c r="AB237" s="16" t="s">
        <v>912</v>
      </c>
      <c r="AC237" s="4">
        <v>1</v>
      </c>
    </row>
    <row r="238" spans="28:29" x14ac:dyDescent="0.35">
      <c r="AB238" s="16" t="s">
        <v>913</v>
      </c>
      <c r="AC238" s="4">
        <v>1</v>
      </c>
    </row>
    <row r="239" spans="28:29" x14ac:dyDescent="0.35">
      <c r="AB239" s="16" t="s">
        <v>914</v>
      </c>
      <c r="AC239" s="4">
        <v>1</v>
      </c>
    </row>
    <row r="240" spans="28:29" x14ac:dyDescent="0.35">
      <c r="AB240" s="16" t="s">
        <v>915</v>
      </c>
      <c r="AC240" s="4">
        <v>1</v>
      </c>
    </row>
    <row r="241" spans="28:29" x14ac:dyDescent="0.35">
      <c r="AB241" s="16" t="s">
        <v>916</v>
      </c>
      <c r="AC241" s="4">
        <v>1</v>
      </c>
    </row>
    <row r="242" spans="28:29" x14ac:dyDescent="0.35">
      <c r="AB242" s="16" t="s">
        <v>917</v>
      </c>
      <c r="AC242" s="4">
        <v>1</v>
      </c>
    </row>
    <row r="243" spans="28:29" x14ac:dyDescent="0.35">
      <c r="AB243" s="16" t="s">
        <v>918</v>
      </c>
      <c r="AC243" s="4">
        <v>1</v>
      </c>
    </row>
    <row r="244" spans="28:29" x14ac:dyDescent="0.35">
      <c r="AB244" s="16" t="s">
        <v>919</v>
      </c>
      <c r="AC244" s="4">
        <v>1</v>
      </c>
    </row>
    <row r="245" spans="28:29" x14ac:dyDescent="0.35">
      <c r="AB245" s="16" t="s">
        <v>920</v>
      </c>
      <c r="AC245" s="4">
        <v>1</v>
      </c>
    </row>
    <row r="246" spans="28:29" x14ac:dyDescent="0.35">
      <c r="AB246" s="16" t="s">
        <v>921</v>
      </c>
      <c r="AC246" s="4">
        <v>1</v>
      </c>
    </row>
    <row r="247" spans="28:29" x14ac:dyDescent="0.35">
      <c r="AB247" s="16" t="s">
        <v>922</v>
      </c>
      <c r="AC247" s="4">
        <v>1</v>
      </c>
    </row>
    <row r="248" spans="28:29" x14ac:dyDescent="0.35">
      <c r="AB248" s="16" t="s">
        <v>923</v>
      </c>
      <c r="AC248" s="4">
        <v>1</v>
      </c>
    </row>
    <row r="249" spans="28:29" x14ac:dyDescent="0.35">
      <c r="AB249" s="16" t="s">
        <v>924</v>
      </c>
      <c r="AC249" s="4">
        <v>1</v>
      </c>
    </row>
    <row r="250" spans="28:29" x14ac:dyDescent="0.35">
      <c r="AB250" s="16" t="s">
        <v>925</v>
      </c>
      <c r="AC250" s="4">
        <v>1</v>
      </c>
    </row>
    <row r="251" spans="28:29" x14ac:dyDescent="0.35">
      <c r="AB251" s="16" t="s">
        <v>926</v>
      </c>
      <c r="AC251" s="4">
        <v>1</v>
      </c>
    </row>
    <row r="252" spans="28:29" x14ac:dyDescent="0.35">
      <c r="AB252" s="16" t="s">
        <v>927</v>
      </c>
      <c r="AC252" s="4">
        <v>1</v>
      </c>
    </row>
    <row r="253" spans="28:29" x14ac:dyDescent="0.35">
      <c r="AB253" s="16" t="s">
        <v>928</v>
      </c>
      <c r="AC253" s="4">
        <v>1</v>
      </c>
    </row>
    <row r="254" spans="28:29" x14ac:dyDescent="0.35">
      <c r="AB254" s="16" t="s">
        <v>929</v>
      </c>
      <c r="AC254" s="4">
        <v>1</v>
      </c>
    </row>
    <row r="255" spans="28:29" x14ac:dyDescent="0.35">
      <c r="AB255" s="16" t="s">
        <v>930</v>
      </c>
      <c r="AC255" s="4">
        <v>1</v>
      </c>
    </row>
    <row r="256" spans="28:29" x14ac:dyDescent="0.35">
      <c r="AB256" s="16" t="s">
        <v>931</v>
      </c>
      <c r="AC256" s="4">
        <v>1</v>
      </c>
    </row>
    <row r="257" spans="28:29" x14ac:dyDescent="0.35">
      <c r="AB257" s="16" t="s">
        <v>932</v>
      </c>
      <c r="AC257" s="4">
        <v>1</v>
      </c>
    </row>
    <row r="258" spans="28:29" x14ac:dyDescent="0.35">
      <c r="AB258" s="16" t="s">
        <v>933</v>
      </c>
      <c r="AC258" s="4">
        <v>1</v>
      </c>
    </row>
    <row r="259" spans="28:29" x14ac:dyDescent="0.35">
      <c r="AB259" s="16" t="s">
        <v>934</v>
      </c>
      <c r="AC259" s="4">
        <v>1</v>
      </c>
    </row>
    <row r="260" spans="28:29" x14ac:dyDescent="0.35">
      <c r="AB260" s="16" t="s">
        <v>935</v>
      </c>
      <c r="AC260" s="4">
        <v>1</v>
      </c>
    </row>
    <row r="261" spans="28:29" x14ac:dyDescent="0.35">
      <c r="AB261" s="16" t="s">
        <v>936</v>
      </c>
      <c r="AC261" s="4">
        <v>1</v>
      </c>
    </row>
    <row r="262" spans="28:29" x14ac:dyDescent="0.35">
      <c r="AB262" s="16" t="s">
        <v>937</v>
      </c>
      <c r="AC262" s="4">
        <v>1</v>
      </c>
    </row>
    <row r="263" spans="28:29" x14ac:dyDescent="0.35">
      <c r="AB263" s="16" t="s">
        <v>938</v>
      </c>
      <c r="AC263" s="4">
        <v>1</v>
      </c>
    </row>
    <row r="264" spans="28:29" x14ac:dyDescent="0.35">
      <c r="AB264" s="16" t="s">
        <v>939</v>
      </c>
      <c r="AC264" s="4">
        <v>1</v>
      </c>
    </row>
    <row r="265" spans="28:29" x14ac:dyDescent="0.35">
      <c r="AB265" s="16" t="s">
        <v>940</v>
      </c>
      <c r="AC265" s="4">
        <v>1</v>
      </c>
    </row>
    <row r="266" spans="28:29" x14ac:dyDescent="0.35">
      <c r="AB266" s="16" t="s">
        <v>941</v>
      </c>
      <c r="AC266" s="4">
        <v>1</v>
      </c>
    </row>
    <row r="267" spans="28:29" x14ac:dyDescent="0.35">
      <c r="AB267" s="16" t="s">
        <v>942</v>
      </c>
      <c r="AC267" s="4">
        <v>1</v>
      </c>
    </row>
    <row r="268" spans="28:29" x14ac:dyDescent="0.35">
      <c r="AB268" s="16" t="s">
        <v>943</v>
      </c>
      <c r="AC268" s="4">
        <v>1</v>
      </c>
    </row>
    <row r="269" spans="28:29" x14ac:dyDescent="0.35">
      <c r="AB269" s="16" t="s">
        <v>944</v>
      </c>
      <c r="AC269" s="4">
        <v>1</v>
      </c>
    </row>
    <row r="270" spans="28:29" x14ac:dyDescent="0.35">
      <c r="AB270" s="16" t="s">
        <v>945</v>
      </c>
      <c r="AC270" s="4">
        <v>1</v>
      </c>
    </row>
    <row r="271" spans="28:29" x14ac:dyDescent="0.35">
      <c r="AB271" s="16" t="s">
        <v>946</v>
      </c>
      <c r="AC271" s="4">
        <v>1</v>
      </c>
    </row>
    <row r="272" spans="28:29" x14ac:dyDescent="0.35">
      <c r="AB272" s="16" t="s">
        <v>947</v>
      </c>
      <c r="AC272" s="4">
        <v>1</v>
      </c>
    </row>
    <row r="273" spans="28:29" x14ac:dyDescent="0.35">
      <c r="AB273" s="16" t="s">
        <v>948</v>
      </c>
      <c r="AC273" s="4">
        <v>1</v>
      </c>
    </row>
    <row r="274" spans="28:29" x14ac:dyDescent="0.35">
      <c r="AB274" s="16" t="s">
        <v>949</v>
      </c>
      <c r="AC274" s="4">
        <v>1</v>
      </c>
    </row>
    <row r="275" spans="28:29" x14ac:dyDescent="0.35">
      <c r="AB275" s="16" t="s">
        <v>950</v>
      </c>
      <c r="AC275" s="4">
        <v>1</v>
      </c>
    </row>
    <row r="276" spans="28:29" x14ac:dyDescent="0.35">
      <c r="AB276" s="16" t="s">
        <v>951</v>
      </c>
      <c r="AC276" s="4">
        <v>1</v>
      </c>
    </row>
    <row r="277" spans="28:29" x14ac:dyDescent="0.35">
      <c r="AB277" s="16" t="s">
        <v>952</v>
      </c>
      <c r="AC277" s="4">
        <v>1</v>
      </c>
    </row>
    <row r="278" spans="28:29" x14ac:dyDescent="0.35">
      <c r="AB278" s="16" t="s">
        <v>953</v>
      </c>
      <c r="AC278" s="4">
        <v>1</v>
      </c>
    </row>
    <row r="279" spans="28:29" x14ac:dyDescent="0.35">
      <c r="AB279" s="16" t="s">
        <v>954</v>
      </c>
      <c r="AC279" s="4">
        <v>1</v>
      </c>
    </row>
    <row r="280" spans="28:29" x14ac:dyDescent="0.35">
      <c r="AB280" s="16" t="s">
        <v>955</v>
      </c>
      <c r="AC280" s="4">
        <v>1</v>
      </c>
    </row>
    <row r="281" spans="28:29" x14ac:dyDescent="0.35">
      <c r="AB281" s="16" t="s">
        <v>956</v>
      </c>
      <c r="AC281" s="4">
        <v>1</v>
      </c>
    </row>
    <row r="282" spans="28:29" x14ac:dyDescent="0.35">
      <c r="AB282" s="16" t="s">
        <v>957</v>
      </c>
      <c r="AC282" s="4">
        <v>1</v>
      </c>
    </row>
    <row r="283" spans="28:29" x14ac:dyDescent="0.35">
      <c r="AB283" s="16" t="s">
        <v>958</v>
      </c>
      <c r="AC283" s="4">
        <v>1</v>
      </c>
    </row>
    <row r="284" spans="28:29" x14ac:dyDescent="0.35">
      <c r="AB284" s="16" t="s">
        <v>959</v>
      </c>
      <c r="AC284" s="4">
        <v>1</v>
      </c>
    </row>
    <row r="285" spans="28:29" x14ac:dyDescent="0.35">
      <c r="AB285" s="16" t="s">
        <v>960</v>
      </c>
      <c r="AC285" s="4">
        <v>1</v>
      </c>
    </row>
    <row r="286" spans="28:29" x14ac:dyDescent="0.35">
      <c r="AB286" s="16" t="s">
        <v>961</v>
      </c>
      <c r="AC286" s="4">
        <v>1</v>
      </c>
    </row>
    <row r="287" spans="28:29" x14ac:dyDescent="0.35">
      <c r="AB287" s="16" t="s">
        <v>962</v>
      </c>
      <c r="AC287" s="4">
        <v>1</v>
      </c>
    </row>
    <row r="288" spans="28:29" x14ac:dyDescent="0.35">
      <c r="AB288" s="16" t="s">
        <v>963</v>
      </c>
      <c r="AC288" s="4">
        <v>1</v>
      </c>
    </row>
    <row r="289" spans="28:29" x14ac:dyDescent="0.35">
      <c r="AB289" s="16" t="s">
        <v>964</v>
      </c>
      <c r="AC289" s="4">
        <v>1</v>
      </c>
    </row>
    <row r="290" spans="28:29" x14ac:dyDescent="0.35">
      <c r="AB290" s="16" t="s">
        <v>965</v>
      </c>
      <c r="AC290" s="4">
        <v>1</v>
      </c>
    </row>
    <row r="291" spans="28:29" x14ac:dyDescent="0.35">
      <c r="AB291" s="16" t="s">
        <v>966</v>
      </c>
      <c r="AC291" s="4">
        <v>1</v>
      </c>
    </row>
    <row r="292" spans="28:29" x14ac:dyDescent="0.35">
      <c r="AB292" s="16" t="s">
        <v>967</v>
      </c>
      <c r="AC292" s="4">
        <v>1</v>
      </c>
    </row>
    <row r="293" spans="28:29" x14ac:dyDescent="0.35">
      <c r="AB293" s="16" t="s">
        <v>968</v>
      </c>
      <c r="AC293" s="4">
        <v>1</v>
      </c>
    </row>
    <row r="294" spans="28:29" x14ac:dyDescent="0.35">
      <c r="AB294" s="16" t="s">
        <v>969</v>
      </c>
      <c r="AC294" s="4">
        <v>1</v>
      </c>
    </row>
    <row r="295" spans="28:29" x14ac:dyDescent="0.35">
      <c r="AB295" s="16" t="s">
        <v>970</v>
      </c>
      <c r="AC295" s="4">
        <v>1</v>
      </c>
    </row>
    <row r="296" spans="28:29" x14ac:dyDescent="0.35">
      <c r="AB296" s="16" t="s">
        <v>971</v>
      </c>
      <c r="AC296" s="4">
        <v>1</v>
      </c>
    </row>
    <row r="297" spans="28:29" x14ac:dyDescent="0.35">
      <c r="AB297" s="16" t="s">
        <v>972</v>
      </c>
      <c r="AC297" s="4">
        <v>1</v>
      </c>
    </row>
    <row r="298" spans="28:29" x14ac:dyDescent="0.35">
      <c r="AB298" s="16" t="s">
        <v>973</v>
      </c>
      <c r="AC298" s="4">
        <v>1</v>
      </c>
    </row>
    <row r="299" spans="28:29" x14ac:dyDescent="0.35">
      <c r="AB299" s="16" t="s">
        <v>974</v>
      </c>
      <c r="AC299" s="4">
        <v>1</v>
      </c>
    </row>
    <row r="300" spans="28:29" x14ac:dyDescent="0.35">
      <c r="AB300" s="16" t="s">
        <v>975</v>
      </c>
      <c r="AC300" s="4">
        <v>1</v>
      </c>
    </row>
    <row r="301" spans="28:29" x14ac:dyDescent="0.35">
      <c r="AB301" s="16" t="s">
        <v>976</v>
      </c>
      <c r="AC301" s="4">
        <v>1</v>
      </c>
    </row>
    <row r="302" spans="28:29" x14ac:dyDescent="0.35">
      <c r="AB302" s="16" t="s">
        <v>977</v>
      </c>
      <c r="AC302" s="4">
        <v>1</v>
      </c>
    </row>
    <row r="303" spans="28:29" x14ac:dyDescent="0.35">
      <c r="AB303" s="16" t="s">
        <v>978</v>
      </c>
      <c r="AC303" s="4">
        <v>1</v>
      </c>
    </row>
    <row r="304" spans="28:29" x14ac:dyDescent="0.35">
      <c r="AB304" s="16" t="s">
        <v>979</v>
      </c>
      <c r="AC304" s="4">
        <v>1</v>
      </c>
    </row>
    <row r="305" spans="28:29" x14ac:dyDescent="0.35">
      <c r="AB305" s="16" t="s">
        <v>980</v>
      </c>
      <c r="AC305" s="4">
        <v>1</v>
      </c>
    </row>
    <row r="306" spans="28:29" x14ac:dyDescent="0.35">
      <c r="AB306" s="16" t="s">
        <v>981</v>
      </c>
      <c r="AC306" s="4">
        <v>1</v>
      </c>
    </row>
    <row r="307" spans="28:29" x14ac:dyDescent="0.35">
      <c r="AB307" s="16" t="s">
        <v>982</v>
      </c>
      <c r="AC307" s="4">
        <v>1</v>
      </c>
    </row>
    <row r="308" spans="28:29" x14ac:dyDescent="0.35">
      <c r="AB308" s="16" t="s">
        <v>983</v>
      </c>
      <c r="AC308" s="4">
        <v>1</v>
      </c>
    </row>
    <row r="309" spans="28:29" x14ac:dyDescent="0.35">
      <c r="AB309" s="16" t="s">
        <v>984</v>
      </c>
      <c r="AC309" s="4">
        <v>1</v>
      </c>
    </row>
    <row r="310" spans="28:29" x14ac:dyDescent="0.35">
      <c r="AB310" s="16" t="s">
        <v>985</v>
      </c>
      <c r="AC310" s="4">
        <v>1</v>
      </c>
    </row>
    <row r="311" spans="28:29" x14ac:dyDescent="0.35">
      <c r="AB311" s="16" t="s">
        <v>986</v>
      </c>
      <c r="AC311" s="4">
        <v>1</v>
      </c>
    </row>
    <row r="312" spans="28:29" x14ac:dyDescent="0.35">
      <c r="AB312" s="16" t="s">
        <v>987</v>
      </c>
      <c r="AC312" s="4">
        <v>1</v>
      </c>
    </row>
    <row r="313" spans="28:29" x14ac:dyDescent="0.35">
      <c r="AB313" s="16" t="s">
        <v>988</v>
      </c>
      <c r="AC313" s="4">
        <v>1</v>
      </c>
    </row>
    <row r="314" spans="28:29" x14ac:dyDescent="0.35">
      <c r="AB314" s="16" t="s">
        <v>989</v>
      </c>
      <c r="AC314" s="4">
        <v>1</v>
      </c>
    </row>
    <row r="315" spans="28:29" x14ac:dyDescent="0.35">
      <c r="AB315" s="16" t="s">
        <v>990</v>
      </c>
      <c r="AC315" s="4">
        <v>1</v>
      </c>
    </row>
    <row r="316" spans="28:29" x14ac:dyDescent="0.35">
      <c r="AB316" s="16" t="s">
        <v>991</v>
      </c>
      <c r="AC316" s="4">
        <v>1</v>
      </c>
    </row>
    <row r="317" spans="28:29" x14ac:dyDescent="0.35">
      <c r="AB317" s="16" t="s">
        <v>992</v>
      </c>
      <c r="AC317" s="4">
        <v>1</v>
      </c>
    </row>
    <row r="318" spans="28:29" x14ac:dyDescent="0.35">
      <c r="AB318" s="16" t="s">
        <v>993</v>
      </c>
      <c r="AC318" s="4">
        <v>1</v>
      </c>
    </row>
    <row r="319" spans="28:29" x14ac:dyDescent="0.35">
      <c r="AB319" s="16" t="s">
        <v>994</v>
      </c>
      <c r="AC319" s="4">
        <v>1</v>
      </c>
    </row>
    <row r="320" spans="28:29" x14ac:dyDescent="0.35">
      <c r="AB320" s="16" t="s">
        <v>995</v>
      </c>
      <c r="AC320" s="4">
        <v>1</v>
      </c>
    </row>
    <row r="321" spans="28:29" x14ac:dyDescent="0.35">
      <c r="AB321" s="16" t="s">
        <v>996</v>
      </c>
      <c r="AC321" s="4">
        <v>1</v>
      </c>
    </row>
    <row r="322" spans="28:29" x14ac:dyDescent="0.35">
      <c r="AB322" s="16" t="s">
        <v>997</v>
      </c>
      <c r="AC322" s="4">
        <v>1</v>
      </c>
    </row>
    <row r="323" spans="28:29" x14ac:dyDescent="0.35">
      <c r="AB323" s="16" t="s">
        <v>998</v>
      </c>
      <c r="AC323" s="4">
        <v>1</v>
      </c>
    </row>
    <row r="324" spans="28:29" x14ac:dyDescent="0.35">
      <c r="AB324" s="16" t="s">
        <v>999</v>
      </c>
      <c r="AC324" s="4">
        <v>1</v>
      </c>
    </row>
    <row r="325" spans="28:29" x14ac:dyDescent="0.35">
      <c r="AB325" s="16" t="s">
        <v>1000</v>
      </c>
      <c r="AC325" s="4">
        <v>1</v>
      </c>
    </row>
    <row r="326" spans="28:29" x14ac:dyDescent="0.35">
      <c r="AB326" s="16" t="s">
        <v>1001</v>
      </c>
      <c r="AC326" s="4">
        <v>1</v>
      </c>
    </row>
    <row r="327" spans="28:29" x14ac:dyDescent="0.35">
      <c r="AB327" s="16" t="s">
        <v>1002</v>
      </c>
      <c r="AC327" s="4">
        <v>1</v>
      </c>
    </row>
    <row r="328" spans="28:29" x14ac:dyDescent="0.35">
      <c r="AB328" s="16" t="s">
        <v>1003</v>
      </c>
      <c r="AC328" s="4">
        <v>1</v>
      </c>
    </row>
    <row r="329" spans="28:29" x14ac:dyDescent="0.35">
      <c r="AB329" s="16" t="s">
        <v>1004</v>
      </c>
      <c r="AC329" s="4">
        <v>1</v>
      </c>
    </row>
    <row r="330" spans="28:29" x14ac:dyDescent="0.35">
      <c r="AB330" s="16" t="s">
        <v>1005</v>
      </c>
      <c r="AC330" s="4">
        <v>1</v>
      </c>
    </row>
    <row r="331" spans="28:29" x14ac:dyDescent="0.35">
      <c r="AB331" s="16" t="s">
        <v>1006</v>
      </c>
      <c r="AC331" s="4">
        <v>1</v>
      </c>
    </row>
    <row r="332" spans="28:29" x14ac:dyDescent="0.35">
      <c r="AB332" s="16" t="s">
        <v>1007</v>
      </c>
      <c r="AC332" s="4">
        <v>1</v>
      </c>
    </row>
    <row r="333" spans="28:29" x14ac:dyDescent="0.35">
      <c r="AB333" s="16" t="s">
        <v>1008</v>
      </c>
      <c r="AC333" s="4">
        <v>1</v>
      </c>
    </row>
    <row r="334" spans="28:29" x14ac:dyDescent="0.35">
      <c r="AB334" s="16" t="s">
        <v>1009</v>
      </c>
      <c r="AC334" s="4">
        <v>1</v>
      </c>
    </row>
    <row r="335" spans="28:29" x14ac:dyDescent="0.35">
      <c r="AB335" s="16" t="s">
        <v>1010</v>
      </c>
      <c r="AC335" s="4">
        <v>1</v>
      </c>
    </row>
    <row r="336" spans="28:29" x14ac:dyDescent="0.35">
      <c r="AB336" s="16" t="s">
        <v>1011</v>
      </c>
      <c r="AC336" s="4">
        <v>1</v>
      </c>
    </row>
    <row r="337" spans="28:29" x14ac:dyDescent="0.35">
      <c r="AB337" s="16" t="s">
        <v>1012</v>
      </c>
      <c r="AC337" s="4">
        <v>1</v>
      </c>
    </row>
    <row r="338" spans="28:29" x14ac:dyDescent="0.35">
      <c r="AB338" s="16" t="s">
        <v>1013</v>
      </c>
      <c r="AC338" s="4">
        <v>1</v>
      </c>
    </row>
    <row r="339" spans="28:29" x14ac:dyDescent="0.35">
      <c r="AB339" s="16" t="s">
        <v>1014</v>
      </c>
      <c r="AC339" s="4">
        <v>1</v>
      </c>
    </row>
    <row r="340" spans="28:29" x14ac:dyDescent="0.35">
      <c r="AB340" s="16" t="s">
        <v>1015</v>
      </c>
      <c r="AC340" s="4">
        <v>1</v>
      </c>
    </row>
    <row r="341" spans="28:29" x14ac:dyDescent="0.35">
      <c r="AB341" s="16" t="s">
        <v>1016</v>
      </c>
      <c r="AC341" s="4">
        <v>1</v>
      </c>
    </row>
    <row r="342" spans="28:29" x14ac:dyDescent="0.35">
      <c r="AB342" s="16" t="s">
        <v>1017</v>
      </c>
      <c r="AC342" s="4">
        <v>1</v>
      </c>
    </row>
    <row r="343" spans="28:29" x14ac:dyDescent="0.35">
      <c r="AB343" s="16" t="s">
        <v>1018</v>
      </c>
      <c r="AC343" s="4">
        <v>1</v>
      </c>
    </row>
    <row r="344" spans="28:29" x14ac:dyDescent="0.35">
      <c r="AB344" s="16" t="s">
        <v>1019</v>
      </c>
      <c r="AC344" s="4">
        <v>1</v>
      </c>
    </row>
    <row r="345" spans="28:29" x14ac:dyDescent="0.35">
      <c r="AB345" s="16" t="s">
        <v>1020</v>
      </c>
      <c r="AC345" s="4">
        <v>1</v>
      </c>
    </row>
    <row r="346" spans="28:29" x14ac:dyDescent="0.35">
      <c r="AB346" s="16" t="s">
        <v>1021</v>
      </c>
      <c r="AC346" s="4">
        <v>1</v>
      </c>
    </row>
    <row r="347" spans="28:29" x14ac:dyDescent="0.35">
      <c r="AB347" s="16" t="s">
        <v>1022</v>
      </c>
      <c r="AC347" s="4">
        <v>1</v>
      </c>
    </row>
    <row r="348" spans="28:29" x14ac:dyDescent="0.35">
      <c r="AB348" s="16" t="s">
        <v>1023</v>
      </c>
      <c r="AC348" s="4">
        <v>1</v>
      </c>
    </row>
    <row r="349" spans="28:29" x14ac:dyDescent="0.35">
      <c r="AB349" s="16" t="s">
        <v>1024</v>
      </c>
      <c r="AC349" s="4">
        <v>1</v>
      </c>
    </row>
    <row r="350" spans="28:29" x14ac:dyDescent="0.35">
      <c r="AB350" s="16" t="s">
        <v>1025</v>
      </c>
      <c r="AC350" s="4">
        <v>1</v>
      </c>
    </row>
    <row r="351" spans="28:29" x14ac:dyDescent="0.35">
      <c r="AB351" s="16" t="s">
        <v>1026</v>
      </c>
      <c r="AC351" s="4">
        <v>1</v>
      </c>
    </row>
    <row r="352" spans="28:29" x14ac:dyDescent="0.35">
      <c r="AB352" s="16" t="s">
        <v>1027</v>
      </c>
      <c r="AC352" s="4">
        <v>1</v>
      </c>
    </row>
    <row r="353" spans="28:29" x14ac:dyDescent="0.35">
      <c r="AB353" s="16" t="s">
        <v>1028</v>
      </c>
      <c r="AC353" s="4">
        <v>1</v>
      </c>
    </row>
    <row r="354" spans="28:29" x14ac:dyDescent="0.35">
      <c r="AB354" s="16" t="s">
        <v>1029</v>
      </c>
      <c r="AC354" s="4">
        <v>1</v>
      </c>
    </row>
    <row r="355" spans="28:29" x14ac:dyDescent="0.35">
      <c r="AB355" s="16" t="s">
        <v>1030</v>
      </c>
      <c r="AC355" s="4">
        <v>1</v>
      </c>
    </row>
    <row r="356" spans="28:29" x14ac:dyDescent="0.35">
      <c r="AB356" s="16" t="s">
        <v>1031</v>
      </c>
      <c r="AC356" s="4">
        <v>1</v>
      </c>
    </row>
    <row r="357" spans="28:29" x14ac:dyDescent="0.35">
      <c r="AB357" s="16" t="s">
        <v>1032</v>
      </c>
      <c r="AC357" s="4">
        <v>1</v>
      </c>
    </row>
    <row r="358" spans="28:29" x14ac:dyDescent="0.35">
      <c r="AB358" s="16" t="s">
        <v>1033</v>
      </c>
      <c r="AC358" s="4">
        <v>1</v>
      </c>
    </row>
    <row r="359" spans="28:29" x14ac:dyDescent="0.35">
      <c r="AB359" s="16" t="s">
        <v>1034</v>
      </c>
      <c r="AC359" s="4">
        <v>1</v>
      </c>
    </row>
    <row r="360" spans="28:29" x14ac:dyDescent="0.35">
      <c r="AB360" s="16" t="s">
        <v>1035</v>
      </c>
      <c r="AC360" s="4">
        <v>1</v>
      </c>
    </row>
    <row r="361" spans="28:29" x14ac:dyDescent="0.35">
      <c r="AB361" s="16" t="s">
        <v>1036</v>
      </c>
      <c r="AC361" s="4">
        <v>1</v>
      </c>
    </row>
    <row r="362" spans="28:29" x14ac:dyDescent="0.35">
      <c r="AB362" s="16" t="s">
        <v>1037</v>
      </c>
      <c r="AC362" s="4">
        <v>1</v>
      </c>
    </row>
    <row r="363" spans="28:29" x14ac:dyDescent="0.35">
      <c r="AB363" s="16" t="s">
        <v>1038</v>
      </c>
      <c r="AC363" s="4">
        <v>1</v>
      </c>
    </row>
    <row r="364" spans="28:29" x14ac:dyDescent="0.35">
      <c r="AB364" s="16" t="s">
        <v>1039</v>
      </c>
      <c r="AC364" s="4">
        <v>1</v>
      </c>
    </row>
    <row r="365" spans="28:29" x14ac:dyDescent="0.35">
      <c r="AB365" s="16" t="s">
        <v>1040</v>
      </c>
      <c r="AC365" s="4">
        <v>1</v>
      </c>
    </row>
    <row r="366" spans="28:29" x14ac:dyDescent="0.35">
      <c r="AB366" s="16" t="s">
        <v>1041</v>
      </c>
      <c r="AC366" s="4">
        <v>1</v>
      </c>
    </row>
    <row r="367" spans="28:29" x14ac:dyDescent="0.35">
      <c r="AB367" s="16" t="s">
        <v>1042</v>
      </c>
      <c r="AC367" s="4">
        <v>1</v>
      </c>
    </row>
    <row r="368" spans="28:29" x14ac:dyDescent="0.35">
      <c r="AB368" s="16" t="s">
        <v>1043</v>
      </c>
      <c r="AC368" s="4">
        <v>1</v>
      </c>
    </row>
    <row r="369" spans="28:29" x14ac:dyDescent="0.35">
      <c r="AB369" s="16" t="s">
        <v>1044</v>
      </c>
      <c r="AC369" s="4">
        <v>1</v>
      </c>
    </row>
    <row r="370" spans="28:29" x14ac:dyDescent="0.35">
      <c r="AB370" s="16" t="s">
        <v>1045</v>
      </c>
      <c r="AC370" s="4">
        <v>1</v>
      </c>
    </row>
    <row r="371" spans="28:29" x14ac:dyDescent="0.35">
      <c r="AB371" s="16" t="s">
        <v>1046</v>
      </c>
      <c r="AC371" s="4">
        <v>1</v>
      </c>
    </row>
    <row r="372" spans="28:29" x14ac:dyDescent="0.35">
      <c r="AB372" s="16" t="s">
        <v>1047</v>
      </c>
      <c r="AC372" s="4">
        <v>1</v>
      </c>
    </row>
    <row r="373" spans="28:29" x14ac:dyDescent="0.35">
      <c r="AB373" s="16" t="s">
        <v>1048</v>
      </c>
      <c r="AC373" s="4">
        <v>1</v>
      </c>
    </row>
    <row r="374" spans="28:29" x14ac:dyDescent="0.35">
      <c r="AB374" s="16" t="s">
        <v>1049</v>
      </c>
      <c r="AC374" s="4">
        <v>1</v>
      </c>
    </row>
    <row r="375" spans="28:29" x14ac:dyDescent="0.35">
      <c r="AB375" s="16" t="s">
        <v>1050</v>
      </c>
      <c r="AC375" s="4">
        <v>1</v>
      </c>
    </row>
    <row r="376" spans="28:29" x14ac:dyDescent="0.35">
      <c r="AB376" s="16" t="s">
        <v>1051</v>
      </c>
      <c r="AC376" s="4">
        <v>1</v>
      </c>
    </row>
    <row r="377" spans="28:29" x14ac:dyDescent="0.35">
      <c r="AB377" s="16" t="s">
        <v>1052</v>
      </c>
      <c r="AC377" s="4">
        <v>1</v>
      </c>
    </row>
    <row r="378" spans="28:29" x14ac:dyDescent="0.35">
      <c r="AB378" s="16" t="s">
        <v>1053</v>
      </c>
      <c r="AC378" s="4">
        <v>1</v>
      </c>
    </row>
    <row r="379" spans="28:29" x14ac:dyDescent="0.35">
      <c r="AB379" s="16" t="s">
        <v>1054</v>
      </c>
      <c r="AC379" s="4">
        <v>1</v>
      </c>
    </row>
    <row r="380" spans="28:29" x14ac:dyDescent="0.35">
      <c r="AB380" s="16" t="s">
        <v>1055</v>
      </c>
      <c r="AC380" s="4">
        <v>1</v>
      </c>
    </row>
    <row r="381" spans="28:29" x14ac:dyDescent="0.35">
      <c r="AB381" s="16" t="s">
        <v>1056</v>
      </c>
      <c r="AC381" s="4">
        <v>1</v>
      </c>
    </row>
    <row r="382" spans="28:29" x14ac:dyDescent="0.35">
      <c r="AB382" s="16" t="s">
        <v>1057</v>
      </c>
      <c r="AC382" s="4">
        <v>1</v>
      </c>
    </row>
    <row r="383" spans="28:29" x14ac:dyDescent="0.35">
      <c r="AB383" s="16" t="s">
        <v>279</v>
      </c>
      <c r="AC383" s="4">
        <v>1</v>
      </c>
    </row>
    <row r="384" spans="28:29" x14ac:dyDescent="0.35">
      <c r="AB384" s="16" t="s">
        <v>280</v>
      </c>
      <c r="AC384" s="4">
        <v>1</v>
      </c>
    </row>
    <row r="385" spans="28:29" x14ac:dyDescent="0.35">
      <c r="AB385" s="16" t="s">
        <v>281</v>
      </c>
      <c r="AC385" s="4">
        <v>1</v>
      </c>
    </row>
    <row r="386" spans="28:29" x14ac:dyDescent="0.35">
      <c r="AB386" s="16" t="s">
        <v>282</v>
      </c>
      <c r="AC386" s="4">
        <v>1</v>
      </c>
    </row>
    <row r="387" spans="28:29" x14ac:dyDescent="0.35">
      <c r="AB387" s="16" t="s">
        <v>283</v>
      </c>
      <c r="AC387" s="4">
        <v>1</v>
      </c>
    </row>
    <row r="388" spans="28:29" x14ac:dyDescent="0.35">
      <c r="AB388" s="16" t="s">
        <v>284</v>
      </c>
      <c r="AC388" s="4">
        <v>1</v>
      </c>
    </row>
    <row r="389" spans="28:29" x14ac:dyDescent="0.35">
      <c r="AB389" s="16" t="s">
        <v>285</v>
      </c>
      <c r="AC389" s="4">
        <v>1</v>
      </c>
    </row>
    <row r="390" spans="28:29" x14ac:dyDescent="0.35">
      <c r="AB390" s="16" t="s">
        <v>286</v>
      </c>
      <c r="AC390" s="4">
        <v>1</v>
      </c>
    </row>
    <row r="391" spans="28:29" x14ac:dyDescent="0.35">
      <c r="AB391" s="16" t="s">
        <v>287</v>
      </c>
      <c r="AC391" s="4">
        <v>1</v>
      </c>
    </row>
    <row r="392" spans="28:29" x14ac:dyDescent="0.35">
      <c r="AB392" s="16" t="s">
        <v>288</v>
      </c>
      <c r="AC392" s="4">
        <v>1</v>
      </c>
    </row>
    <row r="393" spans="28:29" x14ac:dyDescent="0.35">
      <c r="AB393" s="16" t="s">
        <v>289</v>
      </c>
      <c r="AC393" s="4">
        <v>1</v>
      </c>
    </row>
    <row r="394" spans="28:29" x14ac:dyDescent="0.35">
      <c r="AB394" s="16" t="s">
        <v>290</v>
      </c>
      <c r="AC394" s="4">
        <v>1</v>
      </c>
    </row>
    <row r="395" spans="28:29" x14ac:dyDescent="0.35">
      <c r="AB395" s="16" t="s">
        <v>291</v>
      </c>
      <c r="AC395" s="4">
        <v>1</v>
      </c>
    </row>
    <row r="396" spans="28:29" x14ac:dyDescent="0.35">
      <c r="AB396" s="16" t="s">
        <v>292</v>
      </c>
      <c r="AC396" s="4">
        <v>1</v>
      </c>
    </row>
    <row r="397" spans="28:29" x14ac:dyDescent="0.35">
      <c r="AB397" s="16" t="s">
        <v>1058</v>
      </c>
      <c r="AC397" s="4">
        <v>1</v>
      </c>
    </row>
    <row r="398" spans="28:29" x14ac:dyDescent="0.35">
      <c r="AB398" s="16" t="s">
        <v>1059</v>
      </c>
      <c r="AC398" s="4">
        <v>1</v>
      </c>
    </row>
    <row r="399" spans="28:29" x14ac:dyDescent="0.35">
      <c r="AB399" s="16" t="s">
        <v>293</v>
      </c>
      <c r="AC399" s="4">
        <v>1</v>
      </c>
    </row>
    <row r="400" spans="28:29" x14ac:dyDescent="0.35">
      <c r="AB400" s="16" t="s">
        <v>294</v>
      </c>
      <c r="AC400" s="4">
        <v>1</v>
      </c>
    </row>
    <row r="401" spans="28:29" x14ac:dyDescent="0.35">
      <c r="AB401" s="16" t="s">
        <v>295</v>
      </c>
      <c r="AC401" s="4">
        <v>1</v>
      </c>
    </row>
    <row r="402" spans="28:29" x14ac:dyDescent="0.35">
      <c r="AB402" s="16" t="s">
        <v>296</v>
      </c>
      <c r="AC402" s="4">
        <v>1</v>
      </c>
    </row>
    <row r="403" spans="28:29" x14ac:dyDescent="0.35">
      <c r="AB403" s="16" t="s">
        <v>297</v>
      </c>
      <c r="AC403" s="4">
        <v>1</v>
      </c>
    </row>
    <row r="404" spans="28:29" x14ac:dyDescent="0.35">
      <c r="AB404" s="16" t="s">
        <v>298</v>
      </c>
      <c r="AC404" s="4">
        <v>1</v>
      </c>
    </row>
    <row r="405" spans="28:29" x14ac:dyDescent="0.35">
      <c r="AB405" s="16" t="s">
        <v>299</v>
      </c>
      <c r="AC405" s="4">
        <v>1</v>
      </c>
    </row>
    <row r="406" spans="28:29" x14ac:dyDescent="0.35">
      <c r="AB406" s="16" t="s">
        <v>300</v>
      </c>
      <c r="AC406" s="4">
        <v>1</v>
      </c>
    </row>
    <row r="407" spans="28:29" x14ac:dyDescent="0.35">
      <c r="AB407" s="16" t="s">
        <v>301</v>
      </c>
      <c r="AC407" s="4">
        <v>1</v>
      </c>
    </row>
    <row r="408" spans="28:29" x14ac:dyDescent="0.35">
      <c r="AB408" s="16" t="s">
        <v>302</v>
      </c>
      <c r="AC408" s="4">
        <v>1</v>
      </c>
    </row>
    <row r="409" spans="28:29" x14ac:dyDescent="0.35">
      <c r="AB409" s="16" t="s">
        <v>303</v>
      </c>
      <c r="AC409" s="4">
        <v>1</v>
      </c>
    </row>
    <row r="410" spans="28:29" x14ac:dyDescent="0.35">
      <c r="AB410" s="16" t="s">
        <v>304</v>
      </c>
      <c r="AC410" s="4">
        <v>1</v>
      </c>
    </row>
    <row r="411" spans="28:29" x14ac:dyDescent="0.35">
      <c r="AB411" s="16" t="s">
        <v>305</v>
      </c>
      <c r="AC411" s="4">
        <v>1</v>
      </c>
    </row>
    <row r="412" spans="28:29" x14ac:dyDescent="0.35">
      <c r="AB412" s="16" t="s">
        <v>306</v>
      </c>
      <c r="AC412" s="4">
        <v>1</v>
      </c>
    </row>
    <row r="413" spans="28:29" x14ac:dyDescent="0.35">
      <c r="AB413" s="16" t="s">
        <v>307</v>
      </c>
      <c r="AC413" s="4">
        <v>1</v>
      </c>
    </row>
    <row r="414" spans="28:29" x14ac:dyDescent="0.35">
      <c r="AB414" s="16" t="s">
        <v>308</v>
      </c>
      <c r="AC414" s="4">
        <v>1</v>
      </c>
    </row>
    <row r="415" spans="28:29" x14ac:dyDescent="0.35">
      <c r="AB415" s="16" t="s">
        <v>309</v>
      </c>
      <c r="AC415" s="4">
        <v>1</v>
      </c>
    </row>
    <row r="416" spans="28:29" x14ac:dyDescent="0.35">
      <c r="AB416" s="16" t="s">
        <v>310</v>
      </c>
      <c r="AC416" s="4">
        <v>1</v>
      </c>
    </row>
    <row r="417" spans="28:29" x14ac:dyDescent="0.35">
      <c r="AB417" s="16" t="s">
        <v>311</v>
      </c>
      <c r="AC417" s="4">
        <v>1</v>
      </c>
    </row>
    <row r="418" spans="28:29" x14ac:dyDescent="0.35">
      <c r="AB418" s="16" t="s">
        <v>312</v>
      </c>
      <c r="AC418" s="4">
        <v>1</v>
      </c>
    </row>
    <row r="419" spans="28:29" x14ac:dyDescent="0.35">
      <c r="AB419" s="16" t="s">
        <v>313</v>
      </c>
      <c r="AC419" s="4">
        <v>1</v>
      </c>
    </row>
    <row r="420" spans="28:29" x14ac:dyDescent="0.35">
      <c r="AB420" s="16" t="s">
        <v>314</v>
      </c>
      <c r="AC420" s="4">
        <v>1</v>
      </c>
    </row>
    <row r="421" spans="28:29" x14ac:dyDescent="0.35">
      <c r="AB421" s="16" t="s">
        <v>315</v>
      </c>
      <c r="AC421" s="4">
        <v>1</v>
      </c>
    </row>
    <row r="422" spans="28:29" x14ac:dyDescent="0.35">
      <c r="AB422" s="16" t="s">
        <v>316</v>
      </c>
      <c r="AC422" s="4">
        <v>1</v>
      </c>
    </row>
    <row r="423" spans="28:29" x14ac:dyDescent="0.35">
      <c r="AB423" s="16" t="s">
        <v>317</v>
      </c>
      <c r="AC423" s="4">
        <v>1</v>
      </c>
    </row>
    <row r="424" spans="28:29" x14ac:dyDescent="0.35">
      <c r="AB424" s="16" t="s">
        <v>318</v>
      </c>
      <c r="AC424" s="4">
        <v>1</v>
      </c>
    </row>
    <row r="425" spans="28:29" x14ac:dyDescent="0.35">
      <c r="AB425" s="16" t="s">
        <v>319</v>
      </c>
      <c r="AC425" s="4">
        <v>1</v>
      </c>
    </row>
    <row r="426" spans="28:29" x14ac:dyDescent="0.35">
      <c r="AB426" s="16" t="s">
        <v>320</v>
      </c>
      <c r="AC426" s="4">
        <v>1</v>
      </c>
    </row>
    <row r="427" spans="28:29" x14ac:dyDescent="0.35">
      <c r="AB427" s="16" t="s">
        <v>321</v>
      </c>
      <c r="AC427" s="4">
        <v>1</v>
      </c>
    </row>
    <row r="428" spans="28:29" x14ac:dyDescent="0.35">
      <c r="AB428" s="16" t="s">
        <v>322</v>
      </c>
      <c r="AC428" s="4">
        <v>1</v>
      </c>
    </row>
    <row r="429" spans="28:29" x14ac:dyDescent="0.35">
      <c r="AB429" s="16" t="s">
        <v>323</v>
      </c>
      <c r="AC429" s="4">
        <v>1</v>
      </c>
    </row>
    <row r="430" spans="28:29" x14ac:dyDescent="0.35">
      <c r="AB430" s="16" t="s">
        <v>324</v>
      </c>
      <c r="AC430" s="4">
        <v>1</v>
      </c>
    </row>
    <row r="431" spans="28:29" x14ac:dyDescent="0.35">
      <c r="AB431" s="16" t="s">
        <v>325</v>
      </c>
      <c r="AC431" s="4">
        <v>1</v>
      </c>
    </row>
    <row r="432" spans="28:29" x14ac:dyDescent="0.35">
      <c r="AB432" s="16" t="s">
        <v>326</v>
      </c>
      <c r="AC432" s="4">
        <v>1</v>
      </c>
    </row>
    <row r="433" spans="28:29" x14ac:dyDescent="0.35">
      <c r="AB433" s="16" t="s">
        <v>327</v>
      </c>
      <c r="AC433" s="4">
        <v>1</v>
      </c>
    </row>
    <row r="434" spans="28:29" x14ac:dyDescent="0.35">
      <c r="AB434" s="16" t="s">
        <v>328</v>
      </c>
      <c r="AC434" s="4">
        <v>1</v>
      </c>
    </row>
    <row r="435" spans="28:29" x14ac:dyDescent="0.35">
      <c r="AB435" s="16" t="s">
        <v>329</v>
      </c>
      <c r="AC435" s="4">
        <v>1</v>
      </c>
    </row>
    <row r="436" spans="28:29" x14ac:dyDescent="0.35">
      <c r="AB436" s="16" t="s">
        <v>330</v>
      </c>
      <c r="AC436" s="4">
        <v>1</v>
      </c>
    </row>
    <row r="437" spans="28:29" x14ac:dyDescent="0.35">
      <c r="AB437" s="16" t="s">
        <v>331</v>
      </c>
      <c r="AC437" s="4">
        <v>1</v>
      </c>
    </row>
    <row r="438" spans="28:29" x14ac:dyDescent="0.35">
      <c r="AB438" s="16" t="s">
        <v>332</v>
      </c>
      <c r="AC438" s="4">
        <v>1</v>
      </c>
    </row>
    <row r="439" spans="28:29" x14ac:dyDescent="0.35">
      <c r="AB439" s="16" t="s">
        <v>333</v>
      </c>
      <c r="AC439" s="4">
        <v>1</v>
      </c>
    </row>
    <row r="440" spans="28:29" x14ac:dyDescent="0.35">
      <c r="AB440" s="16" t="s">
        <v>334</v>
      </c>
      <c r="AC440" s="4">
        <v>1</v>
      </c>
    </row>
    <row r="441" spans="28:29" x14ac:dyDescent="0.35">
      <c r="AB441" s="16" t="s">
        <v>335</v>
      </c>
      <c r="AC441" s="4">
        <v>1</v>
      </c>
    </row>
    <row r="442" spans="28:29" x14ac:dyDescent="0.35">
      <c r="AB442" s="16" t="s">
        <v>336</v>
      </c>
      <c r="AC442" s="4">
        <v>1</v>
      </c>
    </row>
    <row r="443" spans="28:29" x14ac:dyDescent="0.35">
      <c r="AB443" s="16" t="s">
        <v>337</v>
      </c>
      <c r="AC443" s="4">
        <v>1</v>
      </c>
    </row>
    <row r="444" spans="28:29" x14ac:dyDescent="0.35">
      <c r="AB444" s="16" t="s">
        <v>338</v>
      </c>
      <c r="AC444" s="4">
        <v>1</v>
      </c>
    </row>
    <row r="445" spans="28:29" x14ac:dyDescent="0.35">
      <c r="AB445" s="16" t="s">
        <v>339</v>
      </c>
      <c r="AC445" s="4">
        <v>1</v>
      </c>
    </row>
    <row r="446" spans="28:29" x14ac:dyDescent="0.35">
      <c r="AB446" s="16" t="s">
        <v>340</v>
      </c>
      <c r="AC446" s="4">
        <v>1</v>
      </c>
    </row>
    <row r="447" spans="28:29" x14ac:dyDescent="0.35">
      <c r="AB447" s="16" t="s">
        <v>341</v>
      </c>
      <c r="AC447" s="4">
        <v>1</v>
      </c>
    </row>
    <row r="448" spans="28:29" x14ac:dyDescent="0.35">
      <c r="AB448" s="16" t="s">
        <v>342</v>
      </c>
      <c r="AC448" s="4">
        <v>1</v>
      </c>
    </row>
    <row r="449" spans="28:29" x14ac:dyDescent="0.35">
      <c r="AB449" s="16" t="s">
        <v>343</v>
      </c>
      <c r="AC449" s="4">
        <v>1</v>
      </c>
    </row>
    <row r="450" spans="28:29" x14ac:dyDescent="0.35">
      <c r="AB450" s="16" t="s">
        <v>344</v>
      </c>
      <c r="AC450" s="4">
        <v>1</v>
      </c>
    </row>
    <row r="451" spans="28:29" x14ac:dyDescent="0.35">
      <c r="AB451" s="16" t="s">
        <v>345</v>
      </c>
      <c r="AC451" s="4">
        <v>1</v>
      </c>
    </row>
    <row r="452" spans="28:29" x14ac:dyDescent="0.35">
      <c r="AB452" s="16" t="s">
        <v>346</v>
      </c>
      <c r="AC452" s="4">
        <v>1</v>
      </c>
    </row>
    <row r="453" spans="28:29" x14ac:dyDescent="0.35">
      <c r="AB453" s="16" t="s">
        <v>347</v>
      </c>
      <c r="AC453" s="4">
        <v>1</v>
      </c>
    </row>
    <row r="454" spans="28:29" x14ac:dyDescent="0.35">
      <c r="AB454" s="16" t="s">
        <v>348</v>
      </c>
      <c r="AC454" s="4">
        <v>1</v>
      </c>
    </row>
    <row r="455" spans="28:29" x14ac:dyDescent="0.35">
      <c r="AB455" s="16" t="s">
        <v>1060</v>
      </c>
      <c r="AC455" s="4">
        <v>1</v>
      </c>
    </row>
    <row r="456" spans="28:29" x14ac:dyDescent="0.35">
      <c r="AB456" s="16" t="s">
        <v>1061</v>
      </c>
      <c r="AC456" s="4">
        <v>1</v>
      </c>
    </row>
    <row r="457" spans="28:29" x14ac:dyDescent="0.35">
      <c r="AB457" s="16" t="s">
        <v>1062</v>
      </c>
      <c r="AC457" s="4">
        <v>1</v>
      </c>
    </row>
    <row r="458" spans="28:29" x14ac:dyDescent="0.35">
      <c r="AB458" s="16" t="s">
        <v>349</v>
      </c>
      <c r="AC458" s="4">
        <v>1</v>
      </c>
    </row>
    <row r="459" spans="28:29" x14ac:dyDescent="0.35">
      <c r="AB459" s="16" t="s">
        <v>1063</v>
      </c>
      <c r="AC459" s="4">
        <v>1</v>
      </c>
    </row>
    <row r="460" spans="28:29" x14ac:dyDescent="0.35">
      <c r="AB460" s="16" t="s">
        <v>350</v>
      </c>
      <c r="AC460" s="4">
        <v>1</v>
      </c>
    </row>
    <row r="461" spans="28:29" x14ac:dyDescent="0.35">
      <c r="AB461" s="16" t="s">
        <v>351</v>
      </c>
      <c r="AC461" s="4">
        <v>1</v>
      </c>
    </row>
    <row r="462" spans="28:29" x14ac:dyDescent="0.35">
      <c r="AB462" s="16" t="s">
        <v>1064</v>
      </c>
      <c r="AC462" s="4">
        <v>1</v>
      </c>
    </row>
    <row r="463" spans="28:29" x14ac:dyDescent="0.35">
      <c r="AB463" s="16" t="s">
        <v>194</v>
      </c>
      <c r="AC463" s="4">
        <v>1</v>
      </c>
    </row>
    <row r="464" spans="28:29" x14ac:dyDescent="0.35">
      <c r="AB464" s="16" t="s">
        <v>352</v>
      </c>
      <c r="AC464" s="4">
        <v>1</v>
      </c>
    </row>
    <row r="465" spans="28:29" x14ac:dyDescent="0.35">
      <c r="AB465" s="16" t="s">
        <v>353</v>
      </c>
      <c r="AC465" s="4">
        <v>1</v>
      </c>
    </row>
    <row r="466" spans="28:29" x14ac:dyDescent="0.35">
      <c r="AB466" s="16" t="s">
        <v>354</v>
      </c>
      <c r="AC466" s="4">
        <v>1</v>
      </c>
    </row>
    <row r="467" spans="28:29" x14ac:dyDescent="0.35">
      <c r="AB467" s="16" t="s">
        <v>355</v>
      </c>
      <c r="AC467" s="4">
        <v>1</v>
      </c>
    </row>
    <row r="468" spans="28:29" x14ac:dyDescent="0.35">
      <c r="AB468" s="16" t="s">
        <v>356</v>
      </c>
      <c r="AC468" s="4">
        <v>1</v>
      </c>
    </row>
    <row r="469" spans="28:29" x14ac:dyDescent="0.35">
      <c r="AB469" s="16" t="s">
        <v>357</v>
      </c>
      <c r="AC469" s="4">
        <v>1</v>
      </c>
    </row>
    <row r="470" spans="28:29" x14ac:dyDescent="0.35">
      <c r="AB470" s="16" t="s">
        <v>358</v>
      </c>
      <c r="AC470" s="4">
        <v>1</v>
      </c>
    </row>
    <row r="471" spans="28:29" x14ac:dyDescent="0.35">
      <c r="AB471" s="16" t="s">
        <v>359</v>
      </c>
      <c r="AC471" s="4">
        <v>1</v>
      </c>
    </row>
    <row r="472" spans="28:29" x14ac:dyDescent="0.35">
      <c r="AB472" s="16" t="s">
        <v>360</v>
      </c>
      <c r="AC472" s="4">
        <v>1</v>
      </c>
    </row>
    <row r="473" spans="28:29" x14ac:dyDescent="0.35">
      <c r="AB473" s="16" t="s">
        <v>361</v>
      </c>
      <c r="AC473" s="4">
        <v>1</v>
      </c>
    </row>
    <row r="474" spans="28:29" x14ac:dyDescent="0.35">
      <c r="AB474" s="16" t="s">
        <v>362</v>
      </c>
      <c r="AC474" s="4">
        <v>1</v>
      </c>
    </row>
    <row r="475" spans="28:29" x14ac:dyDescent="0.35">
      <c r="AB475" s="16" t="s">
        <v>363</v>
      </c>
      <c r="AC475" s="4">
        <v>1</v>
      </c>
    </row>
    <row r="476" spans="28:29" x14ac:dyDescent="0.35">
      <c r="AB476" s="16" t="s">
        <v>364</v>
      </c>
      <c r="AC476" s="4">
        <v>1</v>
      </c>
    </row>
    <row r="477" spans="28:29" x14ac:dyDescent="0.35">
      <c r="AB477" s="16" t="s">
        <v>365</v>
      </c>
      <c r="AC477" s="4">
        <v>1</v>
      </c>
    </row>
    <row r="478" spans="28:29" x14ac:dyDescent="0.35">
      <c r="AB478" s="16" t="s">
        <v>366</v>
      </c>
      <c r="AC478" s="4">
        <v>1</v>
      </c>
    </row>
    <row r="479" spans="28:29" x14ac:dyDescent="0.35">
      <c r="AB479" s="16" t="s">
        <v>367</v>
      </c>
      <c r="AC479" s="4">
        <v>1</v>
      </c>
    </row>
    <row r="480" spans="28:29" x14ac:dyDescent="0.35">
      <c r="AB480" s="16" t="s">
        <v>368</v>
      </c>
      <c r="AC480" s="4">
        <v>1</v>
      </c>
    </row>
    <row r="481" spans="28:29" x14ac:dyDescent="0.35">
      <c r="AB481" s="16" t="s">
        <v>137</v>
      </c>
      <c r="AC481" s="4">
        <v>1</v>
      </c>
    </row>
    <row r="482" spans="28:29" x14ac:dyDescent="0.35">
      <c r="AB482" s="16" t="s">
        <v>1065</v>
      </c>
      <c r="AC482" s="4">
        <v>1</v>
      </c>
    </row>
    <row r="483" spans="28:29" x14ac:dyDescent="0.35">
      <c r="AB483" s="16" t="s">
        <v>1066</v>
      </c>
      <c r="AC483" s="4">
        <v>1</v>
      </c>
    </row>
    <row r="484" spans="28:29" x14ac:dyDescent="0.35">
      <c r="AB484" s="16" t="s">
        <v>369</v>
      </c>
      <c r="AC484" s="4">
        <v>1</v>
      </c>
    </row>
    <row r="485" spans="28:29" x14ac:dyDescent="0.35">
      <c r="AB485" s="16" t="s">
        <v>198</v>
      </c>
      <c r="AC485" s="4">
        <v>1</v>
      </c>
    </row>
    <row r="486" spans="28:29" x14ac:dyDescent="0.35">
      <c r="AB486" s="16" t="s">
        <v>1067</v>
      </c>
      <c r="AC486" s="4">
        <v>1</v>
      </c>
    </row>
    <row r="487" spans="28:29" x14ac:dyDescent="0.35">
      <c r="AB487" s="16" t="s">
        <v>1068</v>
      </c>
      <c r="AC487" s="4">
        <v>1</v>
      </c>
    </row>
    <row r="488" spans="28:29" x14ac:dyDescent="0.35">
      <c r="AB488" s="16" t="s">
        <v>370</v>
      </c>
      <c r="AC488" s="4">
        <v>1</v>
      </c>
    </row>
    <row r="489" spans="28:29" x14ac:dyDescent="0.35">
      <c r="AB489" s="16" t="s">
        <v>371</v>
      </c>
      <c r="AC489" s="4">
        <v>1</v>
      </c>
    </row>
    <row r="490" spans="28:29" x14ac:dyDescent="0.35">
      <c r="AB490" s="16" t="s">
        <v>372</v>
      </c>
      <c r="AC490" s="4">
        <v>1</v>
      </c>
    </row>
    <row r="491" spans="28:29" x14ac:dyDescent="0.35">
      <c r="AB491" s="16" t="s">
        <v>373</v>
      </c>
      <c r="AC491" s="4">
        <v>1</v>
      </c>
    </row>
    <row r="492" spans="28:29" x14ac:dyDescent="0.35">
      <c r="AB492" s="16" t="s">
        <v>374</v>
      </c>
      <c r="AC492" s="4">
        <v>1</v>
      </c>
    </row>
    <row r="493" spans="28:29" x14ac:dyDescent="0.35">
      <c r="AB493" s="16" t="s">
        <v>375</v>
      </c>
      <c r="AC493" s="4">
        <v>1</v>
      </c>
    </row>
    <row r="494" spans="28:29" x14ac:dyDescent="0.35">
      <c r="AB494" s="16" t="s">
        <v>1069</v>
      </c>
      <c r="AC494" s="4">
        <v>1</v>
      </c>
    </row>
    <row r="495" spans="28:29" x14ac:dyDescent="0.35">
      <c r="AB495" s="16" t="s">
        <v>1070</v>
      </c>
      <c r="AC495" s="4">
        <v>1</v>
      </c>
    </row>
    <row r="496" spans="28:29" x14ac:dyDescent="0.35">
      <c r="AB496" s="16" t="s">
        <v>376</v>
      </c>
      <c r="AC496" s="4">
        <v>1</v>
      </c>
    </row>
    <row r="497" spans="28:29" x14ac:dyDescent="0.35">
      <c r="AB497" s="16" t="s">
        <v>377</v>
      </c>
      <c r="AC497" s="4">
        <v>1</v>
      </c>
    </row>
    <row r="498" spans="28:29" x14ac:dyDescent="0.35">
      <c r="AB498" s="16" t="s">
        <v>378</v>
      </c>
      <c r="AC498" s="4">
        <v>1</v>
      </c>
    </row>
    <row r="499" spans="28:29" x14ac:dyDescent="0.35">
      <c r="AB499" s="16" t="s">
        <v>379</v>
      </c>
      <c r="AC499" s="4">
        <v>1</v>
      </c>
    </row>
    <row r="500" spans="28:29" x14ac:dyDescent="0.35">
      <c r="AB500" s="16" t="s">
        <v>380</v>
      </c>
      <c r="AC500" s="4">
        <v>1</v>
      </c>
    </row>
    <row r="501" spans="28:29" x14ac:dyDescent="0.35">
      <c r="AB501" s="16" t="s">
        <v>381</v>
      </c>
      <c r="AC501" s="4">
        <v>1</v>
      </c>
    </row>
    <row r="502" spans="28:29" x14ac:dyDescent="0.35">
      <c r="AB502" s="16" t="s">
        <v>382</v>
      </c>
      <c r="AC502" s="4">
        <v>1</v>
      </c>
    </row>
    <row r="503" spans="28:29" x14ac:dyDescent="0.35">
      <c r="AB503" s="16" t="s">
        <v>200</v>
      </c>
      <c r="AC503" s="4">
        <v>1</v>
      </c>
    </row>
    <row r="504" spans="28:29" x14ac:dyDescent="0.35">
      <c r="AB504" s="16" t="s">
        <v>1071</v>
      </c>
      <c r="AC504" s="4">
        <v>1</v>
      </c>
    </row>
    <row r="505" spans="28:29" x14ac:dyDescent="0.35">
      <c r="AB505" s="16" t="s">
        <v>383</v>
      </c>
      <c r="AC505" s="4">
        <v>1</v>
      </c>
    </row>
    <row r="506" spans="28:29" x14ac:dyDescent="0.35">
      <c r="AB506" s="16" t="s">
        <v>1072</v>
      </c>
      <c r="AC506" s="4">
        <v>1</v>
      </c>
    </row>
    <row r="507" spans="28:29" x14ac:dyDescent="0.35">
      <c r="AB507" s="16" t="s">
        <v>203</v>
      </c>
      <c r="AC507" s="4">
        <v>1</v>
      </c>
    </row>
    <row r="508" spans="28:29" x14ac:dyDescent="0.35">
      <c r="AB508" s="16" t="s">
        <v>384</v>
      </c>
      <c r="AC508" s="4">
        <v>1</v>
      </c>
    </row>
    <row r="509" spans="28:29" x14ac:dyDescent="0.35">
      <c r="AB509" s="16" t="s">
        <v>385</v>
      </c>
      <c r="AC509" s="4">
        <v>1</v>
      </c>
    </row>
    <row r="510" spans="28:29" x14ac:dyDescent="0.35">
      <c r="AB510" s="16" t="s">
        <v>386</v>
      </c>
      <c r="AC510" s="4">
        <v>1</v>
      </c>
    </row>
    <row r="511" spans="28:29" x14ac:dyDescent="0.35">
      <c r="AB511" s="16" t="s">
        <v>387</v>
      </c>
      <c r="AC511" s="4">
        <v>1</v>
      </c>
    </row>
    <row r="512" spans="28:29" x14ac:dyDescent="0.35">
      <c r="AB512" s="16" t="s">
        <v>388</v>
      </c>
      <c r="AC512" s="4">
        <v>1</v>
      </c>
    </row>
    <row r="513" spans="28:29" x14ac:dyDescent="0.35">
      <c r="AB513" s="16" t="s">
        <v>389</v>
      </c>
      <c r="AC513" s="4">
        <v>1</v>
      </c>
    </row>
    <row r="514" spans="28:29" x14ac:dyDescent="0.35">
      <c r="AB514" s="16" t="s">
        <v>390</v>
      </c>
      <c r="AC514" s="4">
        <v>1</v>
      </c>
    </row>
    <row r="515" spans="28:29" x14ac:dyDescent="0.35">
      <c r="AB515" s="16" t="s">
        <v>391</v>
      </c>
      <c r="AC515" s="4">
        <v>1</v>
      </c>
    </row>
    <row r="516" spans="28:29" x14ac:dyDescent="0.35">
      <c r="AB516" s="16" t="s">
        <v>392</v>
      </c>
      <c r="AC516" s="4">
        <v>1</v>
      </c>
    </row>
    <row r="517" spans="28:29" x14ac:dyDescent="0.35">
      <c r="AB517" s="16" t="s">
        <v>1073</v>
      </c>
      <c r="AC517" s="4">
        <v>1</v>
      </c>
    </row>
    <row r="518" spans="28:29" x14ac:dyDescent="0.35">
      <c r="AB518" s="16" t="s">
        <v>393</v>
      </c>
      <c r="AC518" s="4">
        <v>1</v>
      </c>
    </row>
    <row r="519" spans="28:29" x14ac:dyDescent="0.35">
      <c r="AB519" s="16" t="s">
        <v>394</v>
      </c>
      <c r="AC519" s="4">
        <v>1</v>
      </c>
    </row>
    <row r="520" spans="28:29" x14ac:dyDescent="0.35">
      <c r="AB520" s="16" t="s">
        <v>395</v>
      </c>
      <c r="AC520" s="4">
        <v>1</v>
      </c>
    </row>
    <row r="521" spans="28:29" x14ac:dyDescent="0.35">
      <c r="AB521" s="16" t="s">
        <v>396</v>
      </c>
      <c r="AC521" s="4">
        <v>1</v>
      </c>
    </row>
    <row r="522" spans="28:29" x14ac:dyDescent="0.35">
      <c r="AB522" s="16" t="s">
        <v>397</v>
      </c>
      <c r="AC522" s="4">
        <v>1</v>
      </c>
    </row>
    <row r="523" spans="28:29" x14ac:dyDescent="0.35">
      <c r="AB523" s="16" t="s">
        <v>398</v>
      </c>
      <c r="AC523" s="4">
        <v>1</v>
      </c>
    </row>
    <row r="524" spans="28:29" x14ac:dyDescent="0.35">
      <c r="AB524" s="16" t="s">
        <v>399</v>
      </c>
      <c r="AC524" s="4">
        <v>1</v>
      </c>
    </row>
    <row r="525" spans="28:29" x14ac:dyDescent="0.35">
      <c r="AB525" s="16" t="s">
        <v>400</v>
      </c>
      <c r="AC525" s="4">
        <v>1</v>
      </c>
    </row>
    <row r="526" spans="28:29" x14ac:dyDescent="0.35">
      <c r="AB526" s="16" t="s">
        <v>401</v>
      </c>
      <c r="AC526" s="4">
        <v>1</v>
      </c>
    </row>
    <row r="527" spans="28:29" x14ac:dyDescent="0.35">
      <c r="AB527" s="16" t="s">
        <v>402</v>
      </c>
      <c r="AC527" s="4">
        <v>1</v>
      </c>
    </row>
    <row r="528" spans="28:29" x14ac:dyDescent="0.35">
      <c r="AB528" s="16" t="s">
        <v>403</v>
      </c>
      <c r="AC528" s="4">
        <v>1</v>
      </c>
    </row>
    <row r="529" spans="28:29" x14ac:dyDescent="0.35">
      <c r="AB529" s="16" t="s">
        <v>404</v>
      </c>
      <c r="AC529" s="4">
        <v>1</v>
      </c>
    </row>
    <row r="530" spans="28:29" x14ac:dyDescent="0.35">
      <c r="AB530" s="16" t="s">
        <v>405</v>
      </c>
      <c r="AC530" s="4">
        <v>1</v>
      </c>
    </row>
    <row r="531" spans="28:29" x14ac:dyDescent="0.35">
      <c r="AB531" s="16" t="s">
        <v>406</v>
      </c>
      <c r="AC531" s="4">
        <v>1</v>
      </c>
    </row>
    <row r="532" spans="28:29" x14ac:dyDescent="0.35">
      <c r="AB532" s="16" t="s">
        <v>407</v>
      </c>
      <c r="AC532" s="4">
        <v>1</v>
      </c>
    </row>
    <row r="533" spans="28:29" x14ac:dyDescent="0.35">
      <c r="AB533" s="16" t="s">
        <v>408</v>
      </c>
      <c r="AC533" s="4">
        <v>1</v>
      </c>
    </row>
    <row r="534" spans="28:29" x14ac:dyDescent="0.35">
      <c r="AB534" s="16" t="s">
        <v>409</v>
      </c>
      <c r="AC534" s="4">
        <v>1</v>
      </c>
    </row>
    <row r="535" spans="28:29" x14ac:dyDescent="0.35">
      <c r="AB535" s="16" t="s">
        <v>410</v>
      </c>
      <c r="AC535" s="4">
        <v>1</v>
      </c>
    </row>
    <row r="536" spans="28:29" x14ac:dyDescent="0.35">
      <c r="AB536" s="16" t="s">
        <v>411</v>
      </c>
      <c r="AC536" s="4">
        <v>1</v>
      </c>
    </row>
    <row r="537" spans="28:29" x14ac:dyDescent="0.35">
      <c r="AB537" s="16" t="s">
        <v>412</v>
      </c>
      <c r="AC537" s="4">
        <v>1</v>
      </c>
    </row>
    <row r="538" spans="28:29" x14ac:dyDescent="0.35">
      <c r="AB538" s="16" t="s">
        <v>413</v>
      </c>
      <c r="AC538" s="4">
        <v>1</v>
      </c>
    </row>
    <row r="539" spans="28:29" x14ac:dyDescent="0.35">
      <c r="AB539" s="16" t="s">
        <v>414</v>
      </c>
      <c r="AC539" s="4">
        <v>1</v>
      </c>
    </row>
    <row r="540" spans="28:29" x14ac:dyDescent="0.35">
      <c r="AB540" s="16" t="s">
        <v>415</v>
      </c>
      <c r="AC540" s="4">
        <v>1</v>
      </c>
    </row>
    <row r="541" spans="28:29" x14ac:dyDescent="0.35">
      <c r="AB541" s="16" t="s">
        <v>416</v>
      </c>
      <c r="AC541" s="4">
        <v>1</v>
      </c>
    </row>
    <row r="542" spans="28:29" x14ac:dyDescent="0.35">
      <c r="AB542" s="16" t="s">
        <v>417</v>
      </c>
      <c r="AC542" s="4">
        <v>1</v>
      </c>
    </row>
    <row r="543" spans="28:29" x14ac:dyDescent="0.35">
      <c r="AB543" s="16" t="s">
        <v>418</v>
      </c>
      <c r="AC543" s="4">
        <v>1</v>
      </c>
    </row>
    <row r="544" spans="28:29" x14ac:dyDescent="0.35">
      <c r="AB544" s="16" t="s">
        <v>419</v>
      </c>
      <c r="AC544" s="4">
        <v>1</v>
      </c>
    </row>
    <row r="545" spans="28:29" x14ac:dyDescent="0.35">
      <c r="AB545" s="16" t="s">
        <v>1074</v>
      </c>
      <c r="AC545" s="4">
        <v>1</v>
      </c>
    </row>
    <row r="546" spans="28:29" x14ac:dyDescent="0.35">
      <c r="AB546" s="16" t="s">
        <v>1075</v>
      </c>
      <c r="AC546" s="4">
        <v>1</v>
      </c>
    </row>
    <row r="547" spans="28:29" x14ac:dyDescent="0.35">
      <c r="AB547" s="16" t="s">
        <v>420</v>
      </c>
      <c r="AC547" s="4">
        <v>1</v>
      </c>
    </row>
    <row r="548" spans="28:29" x14ac:dyDescent="0.35">
      <c r="AB548" s="16" t="s">
        <v>1076</v>
      </c>
      <c r="AC548" s="4">
        <v>1</v>
      </c>
    </row>
    <row r="549" spans="28:29" x14ac:dyDescent="0.35">
      <c r="AB549" s="16" t="s">
        <v>1077</v>
      </c>
      <c r="AC549" s="4">
        <v>1</v>
      </c>
    </row>
    <row r="550" spans="28:29" x14ac:dyDescent="0.35">
      <c r="AB550" s="16" t="s">
        <v>588</v>
      </c>
      <c r="AC550" s="4" t="s">
        <v>1078</v>
      </c>
    </row>
    <row r="551" spans="28:29" x14ac:dyDescent="0.35">
      <c r="AB551" s="16" t="s">
        <v>588</v>
      </c>
      <c r="AC551" s="4" t="s">
        <v>1079</v>
      </c>
    </row>
    <row r="552" spans="28:29" x14ac:dyDescent="0.35">
      <c r="AB552" s="16" t="s">
        <v>1080</v>
      </c>
      <c r="AC552" s="4">
        <v>1</v>
      </c>
    </row>
    <row r="553" spans="28:29" x14ac:dyDescent="0.35">
      <c r="AB553" s="16" t="s">
        <v>1081</v>
      </c>
      <c r="AC553" s="4">
        <v>1</v>
      </c>
    </row>
    <row r="554" spans="28:29" x14ac:dyDescent="0.35">
      <c r="AB554" s="16" t="s">
        <v>421</v>
      </c>
      <c r="AC554" s="4">
        <v>1</v>
      </c>
    </row>
    <row r="555" spans="28:29" x14ac:dyDescent="0.35">
      <c r="AB555" s="16" t="s">
        <v>1082</v>
      </c>
      <c r="AC555" s="4">
        <v>1</v>
      </c>
    </row>
    <row r="556" spans="28:29" x14ac:dyDescent="0.35">
      <c r="AB556" s="16" t="s">
        <v>422</v>
      </c>
      <c r="AC556" s="4">
        <v>1</v>
      </c>
    </row>
    <row r="557" spans="28:29" x14ac:dyDescent="0.35">
      <c r="AB557" s="16" t="s">
        <v>423</v>
      </c>
      <c r="AC557" s="4">
        <v>1</v>
      </c>
    </row>
    <row r="558" spans="28:29" x14ac:dyDescent="0.35">
      <c r="AB558" s="16" t="s">
        <v>1083</v>
      </c>
      <c r="AC558" s="4">
        <v>1</v>
      </c>
    </row>
    <row r="559" spans="28:29" x14ac:dyDescent="0.35">
      <c r="AB559" s="16" t="s">
        <v>424</v>
      </c>
      <c r="AC559" s="4">
        <v>1</v>
      </c>
    </row>
    <row r="560" spans="28:29" x14ac:dyDescent="0.35">
      <c r="AB560" s="16" t="s">
        <v>425</v>
      </c>
      <c r="AC560" s="4">
        <v>1</v>
      </c>
    </row>
    <row r="561" spans="28:29" x14ac:dyDescent="0.35">
      <c r="AB561" s="16" t="s">
        <v>426</v>
      </c>
      <c r="AC561" s="4">
        <v>1</v>
      </c>
    </row>
    <row r="562" spans="28:29" x14ac:dyDescent="0.35">
      <c r="AB562" s="16" t="s">
        <v>427</v>
      </c>
      <c r="AC562" s="4">
        <v>1</v>
      </c>
    </row>
    <row r="563" spans="28:29" x14ac:dyDescent="0.35">
      <c r="AB563" s="16" t="s">
        <v>428</v>
      </c>
      <c r="AC563" s="13" t="s">
        <v>576</v>
      </c>
    </row>
    <row r="564" spans="28:29" x14ac:dyDescent="0.35">
      <c r="AB564" s="16" t="s">
        <v>429</v>
      </c>
      <c r="AC564" s="4">
        <v>1</v>
      </c>
    </row>
    <row r="565" spans="28:29" x14ac:dyDescent="0.35">
      <c r="AB565" s="16" t="s">
        <v>430</v>
      </c>
      <c r="AC565" s="4">
        <v>1</v>
      </c>
    </row>
    <row r="566" spans="28:29" x14ac:dyDescent="0.35">
      <c r="AB566" s="16" t="s">
        <v>431</v>
      </c>
      <c r="AC566" s="4">
        <v>1</v>
      </c>
    </row>
    <row r="567" spans="28:29" x14ac:dyDescent="0.35">
      <c r="AB567" s="16" t="s">
        <v>1084</v>
      </c>
      <c r="AC567" s="4">
        <v>1</v>
      </c>
    </row>
    <row r="568" spans="28:29" x14ac:dyDescent="0.35">
      <c r="AB568" s="16" t="s">
        <v>432</v>
      </c>
      <c r="AC568" s="4">
        <v>1</v>
      </c>
    </row>
    <row r="569" spans="28:29" x14ac:dyDescent="0.35">
      <c r="AB569" s="16" t="s">
        <v>433</v>
      </c>
      <c r="AC569" s="4">
        <v>1</v>
      </c>
    </row>
    <row r="570" spans="28:29" x14ac:dyDescent="0.35">
      <c r="AB570" s="16" t="s">
        <v>434</v>
      </c>
      <c r="AC570" s="4">
        <v>1</v>
      </c>
    </row>
    <row r="571" spans="28:29" x14ac:dyDescent="0.35">
      <c r="AB571" s="16" t="s">
        <v>435</v>
      </c>
      <c r="AC571" s="13" t="s">
        <v>577</v>
      </c>
    </row>
    <row r="572" spans="28:29" x14ac:dyDescent="0.35">
      <c r="AB572" s="16" t="s">
        <v>436</v>
      </c>
      <c r="AC572" s="13" t="s">
        <v>578</v>
      </c>
    </row>
    <row r="573" spans="28:29" x14ac:dyDescent="0.35">
      <c r="AB573" s="16" t="s">
        <v>437</v>
      </c>
      <c r="AC573" s="4">
        <v>1</v>
      </c>
    </row>
    <row r="574" spans="28:29" x14ac:dyDescent="0.35">
      <c r="AB574" s="16" t="s">
        <v>438</v>
      </c>
      <c r="AC574" s="4">
        <v>1</v>
      </c>
    </row>
    <row r="575" spans="28:29" x14ac:dyDescent="0.35">
      <c r="AB575" s="16" t="s">
        <v>439</v>
      </c>
      <c r="AC575" s="4">
        <v>1</v>
      </c>
    </row>
    <row r="576" spans="28:29" x14ac:dyDescent="0.35">
      <c r="AB576" s="16" t="s">
        <v>440</v>
      </c>
      <c r="AC576" s="4">
        <v>1</v>
      </c>
    </row>
    <row r="577" spans="28:29" x14ac:dyDescent="0.35">
      <c r="AB577" s="16" t="s">
        <v>441</v>
      </c>
      <c r="AC577" s="4">
        <v>1</v>
      </c>
    </row>
    <row r="578" spans="28:29" x14ac:dyDescent="0.35">
      <c r="AB578" s="16" t="s">
        <v>442</v>
      </c>
      <c r="AC578" s="4">
        <v>1</v>
      </c>
    </row>
    <row r="579" spans="28:29" x14ac:dyDescent="0.35">
      <c r="AB579" s="16" t="s">
        <v>443</v>
      </c>
      <c r="AC579" s="4">
        <v>1</v>
      </c>
    </row>
    <row r="580" spans="28:29" x14ac:dyDescent="0.35">
      <c r="AB580" s="16" t="s">
        <v>1085</v>
      </c>
      <c r="AC580" s="4">
        <v>1</v>
      </c>
    </row>
    <row r="581" spans="28:29" x14ac:dyDescent="0.35">
      <c r="AB581" s="16" t="s">
        <v>444</v>
      </c>
      <c r="AC581" s="4">
        <v>1</v>
      </c>
    </row>
    <row r="582" spans="28:29" x14ac:dyDescent="0.35">
      <c r="AB582" s="16" t="s">
        <v>445</v>
      </c>
      <c r="AC582" s="4">
        <v>1</v>
      </c>
    </row>
    <row r="583" spans="28:29" x14ac:dyDescent="0.35">
      <c r="AB583" s="16" t="s">
        <v>446</v>
      </c>
      <c r="AC583" s="13" t="s">
        <v>579</v>
      </c>
    </row>
    <row r="584" spans="28:29" x14ac:dyDescent="0.35">
      <c r="AB584" s="16" t="s">
        <v>447</v>
      </c>
      <c r="AC584" s="13" t="s">
        <v>580</v>
      </c>
    </row>
    <row r="585" spans="28:29" x14ac:dyDescent="0.35">
      <c r="AB585" s="16" t="s">
        <v>448</v>
      </c>
      <c r="AC585" s="4">
        <v>1</v>
      </c>
    </row>
    <row r="586" spans="28:29" x14ac:dyDescent="0.35">
      <c r="AB586" s="16" t="s">
        <v>1086</v>
      </c>
      <c r="AC586" s="4">
        <v>1</v>
      </c>
    </row>
    <row r="587" spans="28:29" x14ac:dyDescent="0.35">
      <c r="AB587" s="16" t="s">
        <v>449</v>
      </c>
      <c r="AC587" s="4">
        <v>1</v>
      </c>
    </row>
    <row r="588" spans="28:29" x14ac:dyDescent="0.35">
      <c r="AB588" s="16" t="s">
        <v>1087</v>
      </c>
      <c r="AC588" s="4">
        <v>1</v>
      </c>
    </row>
    <row r="589" spans="28:29" x14ac:dyDescent="0.35">
      <c r="AB589" s="16" t="s">
        <v>450</v>
      </c>
      <c r="AC589" s="4">
        <v>1</v>
      </c>
    </row>
    <row r="590" spans="28:29" x14ac:dyDescent="0.35">
      <c r="AB590" s="16" t="s">
        <v>451</v>
      </c>
      <c r="AC590" s="4">
        <v>1</v>
      </c>
    </row>
    <row r="591" spans="28:29" x14ac:dyDescent="0.35">
      <c r="AB591" s="16" t="s">
        <v>452</v>
      </c>
      <c r="AC591" s="4">
        <v>1</v>
      </c>
    </row>
    <row r="592" spans="28:29" x14ac:dyDescent="0.35">
      <c r="AB592" s="16" t="s">
        <v>453</v>
      </c>
      <c r="AC592" s="4">
        <v>1</v>
      </c>
    </row>
    <row r="593" spans="28:29" x14ac:dyDescent="0.35">
      <c r="AB593" s="16" t="s">
        <v>454</v>
      </c>
      <c r="AC593" s="4">
        <v>1</v>
      </c>
    </row>
    <row r="594" spans="28:29" x14ac:dyDescent="0.35">
      <c r="AB594" s="16" t="s">
        <v>455</v>
      </c>
      <c r="AC594" s="13" t="s">
        <v>581</v>
      </c>
    </row>
    <row r="595" spans="28:29" x14ac:dyDescent="0.35">
      <c r="AB595" s="16" t="s">
        <v>456</v>
      </c>
      <c r="AC595" s="13" t="s">
        <v>582</v>
      </c>
    </row>
    <row r="596" spans="28:29" x14ac:dyDescent="0.35">
      <c r="AB596" s="16" t="s">
        <v>457</v>
      </c>
      <c r="AC596" s="4">
        <v>1</v>
      </c>
    </row>
    <row r="597" spans="28:29" x14ac:dyDescent="0.35">
      <c r="AB597" s="16" t="s">
        <v>458</v>
      </c>
      <c r="AC597" s="4">
        <v>1</v>
      </c>
    </row>
    <row r="598" spans="28:29" x14ac:dyDescent="0.35">
      <c r="AB598" s="16" t="s">
        <v>1088</v>
      </c>
      <c r="AC598" s="4">
        <v>1</v>
      </c>
    </row>
    <row r="599" spans="28:29" x14ac:dyDescent="0.35">
      <c r="AB599" s="16" t="s">
        <v>459</v>
      </c>
      <c r="AC599" s="4">
        <v>1</v>
      </c>
    </row>
    <row r="600" spans="28:29" x14ac:dyDescent="0.35">
      <c r="AB600" s="16" t="s">
        <v>460</v>
      </c>
      <c r="AC600" s="4" t="s">
        <v>583</v>
      </c>
    </row>
    <row r="601" spans="28:29" x14ac:dyDescent="0.35">
      <c r="AB601" s="16" t="s">
        <v>461</v>
      </c>
      <c r="AC601" s="4">
        <v>1</v>
      </c>
    </row>
    <row r="602" spans="28:29" x14ac:dyDescent="0.35">
      <c r="AB602" s="16" t="s">
        <v>1089</v>
      </c>
      <c r="AC602" s="4">
        <v>1</v>
      </c>
    </row>
    <row r="603" spans="28:29" x14ac:dyDescent="0.35">
      <c r="AB603" s="16" t="s">
        <v>462</v>
      </c>
      <c r="AC603" s="4">
        <v>1</v>
      </c>
    </row>
    <row r="604" spans="28:29" x14ac:dyDescent="0.35">
      <c r="AB604" s="16" t="s">
        <v>463</v>
      </c>
      <c r="AC604" s="13" t="s">
        <v>584</v>
      </c>
    </row>
    <row r="605" spans="28:29" x14ac:dyDescent="0.35">
      <c r="AB605" s="16" t="s">
        <v>464</v>
      </c>
      <c r="AC605" s="4">
        <v>1</v>
      </c>
    </row>
    <row r="606" spans="28:29" x14ac:dyDescent="0.35">
      <c r="AB606" s="16" t="s">
        <v>1090</v>
      </c>
      <c r="AC606" s="4">
        <v>1</v>
      </c>
    </row>
    <row r="607" spans="28:29" x14ac:dyDescent="0.35">
      <c r="AB607" s="16" t="s">
        <v>465</v>
      </c>
      <c r="AC607" s="4">
        <v>1</v>
      </c>
    </row>
    <row r="608" spans="28:29" x14ac:dyDescent="0.35">
      <c r="AB608" s="16" t="s">
        <v>466</v>
      </c>
      <c r="AC608" s="4">
        <v>1</v>
      </c>
    </row>
    <row r="609" spans="28:29" x14ac:dyDescent="0.35">
      <c r="AB609" s="16" t="s">
        <v>467</v>
      </c>
      <c r="AC609" s="4">
        <v>1</v>
      </c>
    </row>
    <row r="610" spans="28:29" x14ac:dyDescent="0.35">
      <c r="AB610" s="16" t="s">
        <v>468</v>
      </c>
      <c r="AC610" s="4">
        <v>1</v>
      </c>
    </row>
    <row r="611" spans="28:29" x14ac:dyDescent="0.35">
      <c r="AB611" s="16" t="s">
        <v>469</v>
      </c>
      <c r="AC611" s="4">
        <v>1</v>
      </c>
    </row>
    <row r="612" spans="28:29" x14ac:dyDescent="0.35">
      <c r="AB612" s="16" t="s">
        <v>470</v>
      </c>
      <c r="AC612" s="4">
        <v>1</v>
      </c>
    </row>
    <row r="613" spans="28:29" x14ac:dyDescent="0.35">
      <c r="AB613" s="16" t="s">
        <v>471</v>
      </c>
      <c r="AC613" s="4">
        <v>1</v>
      </c>
    </row>
    <row r="614" spans="28:29" x14ac:dyDescent="0.35">
      <c r="AB614" s="16" t="s">
        <v>472</v>
      </c>
      <c r="AC614" s="4">
        <v>1</v>
      </c>
    </row>
    <row r="615" spans="28:29" x14ac:dyDescent="0.35">
      <c r="AB615" s="16" t="s">
        <v>473</v>
      </c>
      <c r="AC615" s="4">
        <v>1</v>
      </c>
    </row>
    <row r="616" spans="28:29" x14ac:dyDescent="0.35">
      <c r="AB616" s="16" t="s">
        <v>474</v>
      </c>
      <c r="AC616" s="4">
        <v>1</v>
      </c>
    </row>
    <row r="617" spans="28:29" x14ac:dyDescent="0.35">
      <c r="AB617" s="16" t="s">
        <v>475</v>
      </c>
      <c r="AC617" s="4">
        <v>1</v>
      </c>
    </row>
    <row r="618" spans="28:29" x14ac:dyDescent="0.35">
      <c r="AB618" s="16" t="s">
        <v>476</v>
      </c>
      <c r="AC618" s="4">
        <v>1</v>
      </c>
    </row>
    <row r="619" spans="28:29" x14ac:dyDescent="0.35">
      <c r="AB619" s="16" t="s">
        <v>477</v>
      </c>
      <c r="AC619" s="4">
        <v>1</v>
      </c>
    </row>
    <row r="620" spans="28:29" x14ac:dyDescent="0.35">
      <c r="AB620" s="16" t="s">
        <v>478</v>
      </c>
      <c r="AC620" s="4">
        <v>1</v>
      </c>
    </row>
    <row r="621" spans="28:29" x14ac:dyDescent="0.35">
      <c r="AB621" s="16" t="s">
        <v>479</v>
      </c>
      <c r="AC621" s="4">
        <v>1</v>
      </c>
    </row>
    <row r="622" spans="28:29" x14ac:dyDescent="0.35">
      <c r="AB622" s="16" t="s">
        <v>480</v>
      </c>
      <c r="AC622" s="4">
        <v>1</v>
      </c>
    </row>
    <row r="623" spans="28:29" x14ac:dyDescent="0.35">
      <c r="AB623" s="16" t="s">
        <v>481</v>
      </c>
      <c r="AC623" s="4">
        <v>1</v>
      </c>
    </row>
    <row r="624" spans="28:29" x14ac:dyDescent="0.35">
      <c r="AB624" s="16" t="s">
        <v>482</v>
      </c>
      <c r="AC624" s="4">
        <v>1</v>
      </c>
    </row>
    <row r="625" spans="28:29" x14ac:dyDescent="0.35">
      <c r="AB625" s="16" t="s">
        <v>483</v>
      </c>
      <c r="AC625" s="4">
        <v>1</v>
      </c>
    </row>
    <row r="626" spans="28:29" x14ac:dyDescent="0.35">
      <c r="AB626" s="16" t="s">
        <v>484</v>
      </c>
      <c r="AC626" s="4">
        <v>1</v>
      </c>
    </row>
    <row r="627" spans="28:29" x14ac:dyDescent="0.35">
      <c r="AB627" s="16" t="s">
        <v>485</v>
      </c>
      <c r="AC627" s="4">
        <v>1</v>
      </c>
    </row>
    <row r="628" spans="28:29" x14ac:dyDescent="0.35">
      <c r="AB628" s="16" t="s">
        <v>486</v>
      </c>
      <c r="AC628" s="4">
        <v>1</v>
      </c>
    </row>
    <row r="629" spans="28:29" x14ac:dyDescent="0.35">
      <c r="AB629" s="16" t="s">
        <v>487</v>
      </c>
      <c r="AC629" s="4">
        <v>1</v>
      </c>
    </row>
    <row r="630" spans="28:29" x14ac:dyDescent="0.35">
      <c r="AB630" s="16" t="s">
        <v>488</v>
      </c>
      <c r="AC630" s="4">
        <v>1</v>
      </c>
    </row>
    <row r="631" spans="28:29" x14ac:dyDescent="0.35">
      <c r="AB631" s="16" t="s">
        <v>489</v>
      </c>
      <c r="AC631" s="4">
        <v>1</v>
      </c>
    </row>
    <row r="632" spans="28:29" x14ac:dyDescent="0.35">
      <c r="AB632" s="16" t="s">
        <v>490</v>
      </c>
      <c r="AC632" s="4">
        <v>1</v>
      </c>
    </row>
    <row r="633" spans="28:29" x14ac:dyDescent="0.35">
      <c r="AB633" s="16" t="s">
        <v>491</v>
      </c>
      <c r="AC633" s="4">
        <v>1</v>
      </c>
    </row>
    <row r="634" spans="28:29" x14ac:dyDescent="0.35">
      <c r="AB634" s="16" t="s">
        <v>492</v>
      </c>
      <c r="AC634" s="4">
        <v>1</v>
      </c>
    </row>
    <row r="635" spans="28:29" x14ac:dyDescent="0.35">
      <c r="AB635" s="16" t="s">
        <v>493</v>
      </c>
      <c r="AC635" s="4">
        <v>1</v>
      </c>
    </row>
    <row r="636" spans="28:29" x14ac:dyDescent="0.35">
      <c r="AB636" s="16" t="s">
        <v>494</v>
      </c>
      <c r="AC636" s="4">
        <v>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E9615-122A-4CD7-919C-9B4547AA3740}">
  <sheetPr codeName="Sheet3"/>
  <dimension ref="A3:D20"/>
  <sheetViews>
    <sheetView showGridLines="0" showRowColHeaders="0" tabSelected="1" zoomScale="90" zoomScaleNormal="90" workbookViewId="0">
      <selection activeCell="J10" sqref="J10"/>
    </sheetView>
  </sheetViews>
  <sheetFormatPr defaultRowHeight="14.5" x14ac:dyDescent="0.35"/>
  <sheetData>
    <row r="3" spans="1:4" ht="28.5" x14ac:dyDescent="0.65">
      <c r="B3" s="10"/>
    </row>
    <row r="6" spans="1:4" x14ac:dyDescent="0.35">
      <c r="A6" s="8"/>
      <c r="B6" s="8"/>
      <c r="C6" s="8"/>
      <c r="D6" s="8"/>
    </row>
    <row r="7" spans="1:4" x14ac:dyDescent="0.35">
      <c r="A7" s="8"/>
      <c r="B7" s="8" t="s">
        <v>497</v>
      </c>
      <c r="C7" s="8" t="s">
        <v>504</v>
      </c>
      <c r="D7" s="8"/>
    </row>
    <row r="8" spans="1:4" x14ac:dyDescent="0.35">
      <c r="A8" s="8"/>
      <c r="B8" s="8"/>
      <c r="C8" s="8"/>
      <c r="D8" s="8"/>
    </row>
    <row r="9" spans="1:4" x14ac:dyDescent="0.35">
      <c r="A9" s="8"/>
      <c r="B9" s="8"/>
      <c r="C9" s="9" t="s">
        <v>496</v>
      </c>
      <c r="D9" s="8"/>
    </row>
    <row r="10" spans="1:4" x14ac:dyDescent="0.35">
      <c r="A10" s="8"/>
      <c r="B10" s="8"/>
      <c r="C10" s="8"/>
      <c r="D10" s="8"/>
    </row>
    <row r="11" spans="1:4" x14ac:dyDescent="0.35">
      <c r="A11" s="8"/>
      <c r="B11" s="8"/>
      <c r="C11" s="8" t="s">
        <v>502</v>
      </c>
      <c r="D11" s="8"/>
    </row>
    <row r="12" spans="1:4" x14ac:dyDescent="0.35">
      <c r="A12" s="8"/>
      <c r="B12" s="8"/>
      <c r="C12" s="8"/>
      <c r="D12" s="8"/>
    </row>
    <row r="13" spans="1:4" x14ac:dyDescent="0.35">
      <c r="A13" s="8"/>
      <c r="B13" s="8"/>
      <c r="C13" s="8" t="s">
        <v>503</v>
      </c>
      <c r="D13" s="8"/>
    </row>
    <row r="14" spans="1:4" x14ac:dyDescent="0.35">
      <c r="A14" s="8"/>
      <c r="B14" s="8"/>
      <c r="C14" s="8"/>
      <c r="D14" s="8"/>
    </row>
    <row r="15" spans="1:4" x14ac:dyDescent="0.35">
      <c r="A15" s="8"/>
      <c r="B15" s="8" t="s">
        <v>498</v>
      </c>
      <c r="C15" s="8" t="s">
        <v>501</v>
      </c>
      <c r="D15" s="8"/>
    </row>
    <row r="16" spans="1:4" x14ac:dyDescent="0.35">
      <c r="A16" s="8"/>
      <c r="B16" s="8"/>
      <c r="C16" s="8"/>
      <c r="D16" s="8"/>
    </row>
    <row r="17" spans="1:4" x14ac:dyDescent="0.35">
      <c r="A17" s="8"/>
      <c r="B17" s="8" t="s">
        <v>499</v>
      </c>
      <c r="C17" s="8" t="s">
        <v>500</v>
      </c>
      <c r="D17" s="8"/>
    </row>
    <row r="18" spans="1:4" x14ac:dyDescent="0.35">
      <c r="A18" s="8"/>
      <c r="B18" s="8"/>
      <c r="C18" s="8"/>
      <c r="D18" s="8"/>
    </row>
    <row r="19" spans="1:4" x14ac:dyDescent="0.35">
      <c r="A19" s="8"/>
      <c r="B19" s="8"/>
      <c r="C19" s="8"/>
      <c r="D19" s="8"/>
    </row>
    <row r="20" spans="1:4" x14ac:dyDescent="0.35">
      <c r="A20" s="8"/>
      <c r="B20" s="8"/>
      <c r="C20" s="8"/>
      <c r="D20" s="8"/>
    </row>
  </sheetData>
  <sheetProtection pivotTable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rop Down 1">
              <controlPr defaultSize="0" autoLine="0" autoPict="0">
                <anchor moveWithCells="1">
                  <from>
                    <xdr:col>4</xdr:col>
                    <xdr:colOff>222250</xdr:colOff>
                    <xdr:row>5</xdr:row>
                    <xdr:rowOff>139700</xdr:rowOff>
                  </from>
                  <to>
                    <xdr:col>7</xdr:col>
                    <xdr:colOff>222250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tData">
                <anchor moveWithCells="1" sizeWithCells="1">
                  <from>
                    <xdr:col>5</xdr:col>
                    <xdr:colOff>387350</xdr:colOff>
                    <xdr:row>13</xdr:row>
                    <xdr:rowOff>177800</xdr:rowOff>
                  </from>
                  <to>
                    <xdr:col>7</xdr:col>
                    <xdr:colOff>215900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Drop Down 3">
              <controlPr defaultSize="0" autoLine="0" autoPict="0">
                <anchor moveWithCells="1">
                  <from>
                    <xdr:col>4</xdr:col>
                    <xdr:colOff>203200</xdr:colOff>
                    <xdr:row>10</xdr:row>
                    <xdr:rowOff>12700</xdr:rowOff>
                  </from>
                  <to>
                    <xdr:col>7</xdr:col>
                    <xdr:colOff>203200</xdr:colOff>
                    <xdr:row>11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Drop Down 4">
              <controlPr defaultSize="0" autoLine="0" autoPict="0">
                <anchor moveWithCells="1">
                  <from>
                    <xdr:col>4</xdr:col>
                    <xdr:colOff>203200</xdr:colOff>
                    <xdr:row>12</xdr:row>
                    <xdr:rowOff>12700</xdr:rowOff>
                  </from>
                  <to>
                    <xdr:col>7</xdr:col>
                    <xdr:colOff>203200</xdr:colOff>
                    <xdr:row>13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ViewSheets">
                <anchor moveWithCells="1" sizeWithCells="1">
                  <from>
                    <xdr:col>2</xdr:col>
                    <xdr:colOff>12700</xdr:colOff>
                    <xdr:row>18</xdr:row>
                    <xdr:rowOff>31750</xdr:rowOff>
                  </from>
                  <to>
                    <xdr:col>3</xdr:col>
                    <xdr:colOff>520700</xdr:colOff>
                    <xdr:row>19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ESL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Gnanasekaran, Prasanna</dc:creator>
  <cp:lastModifiedBy>Mohapatra, Debashis</cp:lastModifiedBy>
  <dcterms:created xsi:type="dcterms:W3CDTF">2019-10-14T14:09:59Z</dcterms:created>
  <dcterms:modified xsi:type="dcterms:W3CDTF">2021-11-16T21:10:38Z</dcterms:modified>
</cp:coreProperties>
</file>