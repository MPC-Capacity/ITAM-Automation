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acro\Matrix Autofill IaC Automation\"/>
    </mc:Choice>
  </mc:AlternateContent>
  <xr:revisionPtr revIDLastSave="0" documentId="13_ncr:1_{821C140D-EAB1-451B-BAA6-920C9D44BFC8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Import File" sheetId="6" r:id="rId1"/>
    <sheet name="Matrix" sheetId="12" r:id="rId2"/>
    <sheet name="Input 1 CMDB" sheetId="7" r:id="rId3"/>
    <sheet name="Input 2 Ticket" sheetId="8" r:id="rId4"/>
    <sheet name="Filtered Data" sheetId="9" r:id="rId5"/>
    <sheet name="Matrix Formula" sheetId="10" r:id="rId6"/>
    <sheet name="Data Mapping" sheetId="11" r:id="rId7"/>
  </sheets>
  <externalReferences>
    <externalReference r:id="rId8"/>
  </externalReferences>
  <definedNames>
    <definedName name="_xlnm._FilterDatabase" localSheetId="4" hidden="1">'Filtered Data'!$A$1:$Z$1</definedName>
    <definedName name="_xlnm._FilterDatabase" localSheetId="2" hidden="1">'Input 1 CMDB'!$A:$Z</definedName>
    <definedName name="_xlnm.Criteria" localSheetId="4">'Filtered Data'!$H$2</definedName>
    <definedName name="_xlnm.Extract" localSheetId="4">'Filtered Data'!$A$1:$Z$1</definedName>
    <definedName name="impact">[1]Validation!$C$2:$C$5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3" i="10" l="1"/>
  <c r="B103" i="10"/>
  <c r="D103" i="10"/>
  <c r="E103" i="10"/>
  <c r="F103" i="10"/>
  <c r="G103" i="10"/>
  <c r="H103" i="10"/>
  <c r="K103" i="10"/>
  <c r="L103" i="10"/>
  <c r="M103" i="10"/>
  <c r="N103" i="10"/>
  <c r="O103" i="10"/>
  <c r="Q103" i="10"/>
  <c r="R103" i="10"/>
  <c r="U103" i="10"/>
  <c r="V103" i="10"/>
  <c r="X103" i="10"/>
  <c r="A104" i="10"/>
  <c r="B104" i="10"/>
  <c r="D104" i="10"/>
  <c r="E104" i="10"/>
  <c r="F104" i="10"/>
  <c r="G104" i="10"/>
  <c r="H104" i="10"/>
  <c r="K104" i="10"/>
  <c r="L104" i="10"/>
  <c r="M104" i="10"/>
  <c r="N104" i="10"/>
  <c r="R104" i="10" s="1"/>
  <c r="O104" i="10"/>
  <c r="Q104" i="10"/>
  <c r="U104" i="10"/>
  <c r="V104" i="10"/>
  <c r="X104" i="10"/>
  <c r="A105" i="10"/>
  <c r="B105" i="10"/>
  <c r="D105" i="10"/>
  <c r="E105" i="10"/>
  <c r="F105" i="10"/>
  <c r="G105" i="10"/>
  <c r="H105" i="10"/>
  <c r="K105" i="10"/>
  <c r="L105" i="10"/>
  <c r="M105" i="10"/>
  <c r="N105" i="10"/>
  <c r="O105" i="10"/>
  <c r="Q105" i="10"/>
  <c r="R105" i="10"/>
  <c r="U105" i="10"/>
  <c r="V105" i="10"/>
  <c r="X105" i="10"/>
  <c r="A106" i="10"/>
  <c r="B106" i="10"/>
  <c r="D106" i="10"/>
  <c r="E106" i="10"/>
  <c r="F106" i="10"/>
  <c r="G106" i="10"/>
  <c r="H106" i="10"/>
  <c r="K106" i="10"/>
  <c r="L106" i="10"/>
  <c r="M106" i="10"/>
  <c r="N106" i="10"/>
  <c r="O106" i="10"/>
  <c r="Q106" i="10"/>
  <c r="R106" i="10"/>
  <c r="U106" i="10"/>
  <c r="V106" i="10"/>
  <c r="X106" i="10"/>
  <c r="A107" i="10"/>
  <c r="B107" i="10"/>
  <c r="D107" i="10"/>
  <c r="E107" i="10"/>
  <c r="F107" i="10"/>
  <c r="G107" i="10"/>
  <c r="H107" i="10"/>
  <c r="K107" i="10"/>
  <c r="L107" i="10"/>
  <c r="M107" i="10"/>
  <c r="N107" i="10"/>
  <c r="O107" i="10"/>
  <c r="Q107" i="10"/>
  <c r="R107" i="10"/>
  <c r="U107" i="10"/>
  <c r="V107" i="10"/>
  <c r="X107" i="10"/>
  <c r="A108" i="10"/>
  <c r="B108" i="10"/>
  <c r="D108" i="10"/>
  <c r="E108" i="10"/>
  <c r="F108" i="10"/>
  <c r="G108" i="10"/>
  <c r="H108" i="10"/>
  <c r="K108" i="10"/>
  <c r="L108" i="10"/>
  <c r="M108" i="10"/>
  <c r="N108" i="10"/>
  <c r="R108" i="10" s="1"/>
  <c r="O108" i="10"/>
  <c r="Q108" i="10"/>
  <c r="U108" i="10"/>
  <c r="V108" i="10"/>
  <c r="X108" i="10"/>
  <c r="A109" i="10"/>
  <c r="B109" i="10"/>
  <c r="D109" i="10"/>
  <c r="E109" i="10"/>
  <c r="F109" i="10"/>
  <c r="G109" i="10"/>
  <c r="H109" i="10"/>
  <c r="K109" i="10"/>
  <c r="L109" i="10"/>
  <c r="M109" i="10"/>
  <c r="N109" i="10"/>
  <c r="O109" i="10"/>
  <c r="Q109" i="10"/>
  <c r="R109" i="10"/>
  <c r="U109" i="10"/>
  <c r="V109" i="10"/>
  <c r="X109" i="10"/>
  <c r="A110" i="10"/>
  <c r="B110" i="10"/>
  <c r="D110" i="10"/>
  <c r="E110" i="10"/>
  <c r="F110" i="10"/>
  <c r="G110" i="10"/>
  <c r="H110" i="10"/>
  <c r="K110" i="10"/>
  <c r="L110" i="10"/>
  <c r="M110" i="10"/>
  <c r="N110" i="10"/>
  <c r="O110" i="10"/>
  <c r="Q110" i="10"/>
  <c r="R110" i="10"/>
  <c r="U110" i="10"/>
  <c r="V110" i="10"/>
  <c r="X110" i="10"/>
  <c r="A111" i="10"/>
  <c r="B111" i="10"/>
  <c r="D111" i="10"/>
  <c r="E111" i="10"/>
  <c r="F111" i="10"/>
  <c r="G111" i="10"/>
  <c r="H111" i="10"/>
  <c r="K111" i="10"/>
  <c r="L111" i="10"/>
  <c r="M111" i="10"/>
  <c r="N111" i="10"/>
  <c r="R111" i="10" s="1"/>
  <c r="O111" i="10"/>
  <c r="Q111" i="10"/>
  <c r="U111" i="10"/>
  <c r="V111" i="10"/>
  <c r="X111" i="10"/>
  <c r="A112" i="10"/>
  <c r="B112" i="10"/>
  <c r="D112" i="10"/>
  <c r="E112" i="10"/>
  <c r="F112" i="10"/>
  <c r="G112" i="10"/>
  <c r="H112" i="10"/>
  <c r="K112" i="10"/>
  <c r="L112" i="10"/>
  <c r="M112" i="10"/>
  <c r="N112" i="10"/>
  <c r="R112" i="10" s="1"/>
  <c r="O112" i="10"/>
  <c r="Q112" i="10"/>
  <c r="U112" i="10"/>
  <c r="V112" i="10"/>
  <c r="X112" i="10"/>
  <c r="A113" i="10"/>
  <c r="B113" i="10"/>
  <c r="D113" i="10"/>
  <c r="E113" i="10"/>
  <c r="F113" i="10"/>
  <c r="G113" i="10"/>
  <c r="H113" i="10"/>
  <c r="K113" i="10"/>
  <c r="L113" i="10"/>
  <c r="M113" i="10"/>
  <c r="N113" i="10"/>
  <c r="O113" i="10"/>
  <c r="Q113" i="10"/>
  <c r="R113" i="10"/>
  <c r="U113" i="10"/>
  <c r="V113" i="10"/>
  <c r="X113" i="10"/>
  <c r="A114" i="10"/>
  <c r="B114" i="10"/>
  <c r="D114" i="10"/>
  <c r="E114" i="10"/>
  <c r="F114" i="10"/>
  <c r="G114" i="10"/>
  <c r="H114" i="10"/>
  <c r="K114" i="10"/>
  <c r="L114" i="10"/>
  <c r="M114" i="10"/>
  <c r="N114" i="10"/>
  <c r="O114" i="10"/>
  <c r="Q114" i="10"/>
  <c r="R114" i="10"/>
  <c r="U114" i="10"/>
  <c r="V114" i="10"/>
  <c r="X114" i="10"/>
  <c r="A115" i="10"/>
  <c r="B115" i="10"/>
  <c r="D115" i="10"/>
  <c r="E115" i="10"/>
  <c r="F115" i="10"/>
  <c r="G115" i="10"/>
  <c r="H115" i="10"/>
  <c r="K115" i="10"/>
  <c r="L115" i="10"/>
  <c r="M115" i="10"/>
  <c r="N115" i="10"/>
  <c r="O115" i="10"/>
  <c r="Q115" i="10"/>
  <c r="R115" i="10"/>
  <c r="U115" i="10"/>
  <c r="V115" i="10"/>
  <c r="X115" i="10"/>
  <c r="A116" i="10"/>
  <c r="B116" i="10"/>
  <c r="D116" i="10"/>
  <c r="E116" i="10"/>
  <c r="F116" i="10"/>
  <c r="G116" i="10"/>
  <c r="H116" i="10"/>
  <c r="K116" i="10"/>
  <c r="L116" i="10"/>
  <c r="M116" i="10"/>
  <c r="N116" i="10"/>
  <c r="O116" i="10"/>
  <c r="Q116" i="10"/>
  <c r="R116" i="10"/>
  <c r="U116" i="10"/>
  <c r="V116" i="10"/>
  <c r="X116" i="10"/>
  <c r="A117" i="10"/>
  <c r="B117" i="10"/>
  <c r="D117" i="10"/>
  <c r="E117" i="10"/>
  <c r="F117" i="10"/>
  <c r="G117" i="10"/>
  <c r="H117" i="10"/>
  <c r="K117" i="10"/>
  <c r="L117" i="10"/>
  <c r="M117" i="10"/>
  <c r="N117" i="10"/>
  <c r="O117" i="10"/>
  <c r="Q117" i="10"/>
  <c r="R117" i="10"/>
  <c r="U117" i="10"/>
  <c r="V117" i="10"/>
  <c r="X117" i="10"/>
  <c r="A118" i="10"/>
  <c r="B118" i="10"/>
  <c r="D118" i="10"/>
  <c r="E118" i="10"/>
  <c r="F118" i="10"/>
  <c r="G118" i="10"/>
  <c r="H118" i="10"/>
  <c r="K118" i="10"/>
  <c r="L118" i="10"/>
  <c r="M118" i="10"/>
  <c r="N118" i="10"/>
  <c r="R118" i="10" s="1"/>
  <c r="O118" i="10"/>
  <c r="Q118" i="10"/>
  <c r="U118" i="10"/>
  <c r="V118" i="10"/>
  <c r="X118" i="10"/>
  <c r="A119" i="10"/>
  <c r="B119" i="10"/>
  <c r="D119" i="10"/>
  <c r="E119" i="10"/>
  <c r="F119" i="10"/>
  <c r="G119" i="10"/>
  <c r="H119" i="10"/>
  <c r="K119" i="10"/>
  <c r="L119" i="10"/>
  <c r="M119" i="10"/>
  <c r="N119" i="10"/>
  <c r="R119" i="10" s="1"/>
  <c r="O119" i="10"/>
  <c r="Q119" i="10"/>
  <c r="U119" i="10"/>
  <c r="V119" i="10"/>
  <c r="X119" i="10"/>
  <c r="A120" i="10"/>
  <c r="B120" i="10"/>
  <c r="D120" i="10"/>
  <c r="E120" i="10"/>
  <c r="F120" i="10"/>
  <c r="G120" i="10"/>
  <c r="H120" i="10"/>
  <c r="K120" i="10"/>
  <c r="L120" i="10"/>
  <c r="M120" i="10"/>
  <c r="N120" i="10"/>
  <c r="R120" i="10" s="1"/>
  <c r="O120" i="10"/>
  <c r="Q120" i="10"/>
  <c r="U120" i="10"/>
  <c r="V120" i="10"/>
  <c r="X120" i="10"/>
  <c r="A121" i="10"/>
  <c r="B121" i="10"/>
  <c r="D121" i="10"/>
  <c r="E121" i="10"/>
  <c r="F121" i="10"/>
  <c r="G121" i="10"/>
  <c r="H121" i="10"/>
  <c r="K121" i="10"/>
  <c r="L121" i="10"/>
  <c r="M121" i="10"/>
  <c r="N121" i="10"/>
  <c r="O121" i="10"/>
  <c r="Q121" i="10"/>
  <c r="R121" i="10"/>
  <c r="U121" i="10"/>
  <c r="V121" i="10"/>
  <c r="X121" i="10"/>
  <c r="A122" i="10"/>
  <c r="B122" i="10"/>
  <c r="D122" i="10"/>
  <c r="E122" i="10"/>
  <c r="F122" i="10"/>
  <c r="G122" i="10"/>
  <c r="H122" i="10"/>
  <c r="K122" i="10"/>
  <c r="L122" i="10"/>
  <c r="M122" i="10"/>
  <c r="N122" i="10"/>
  <c r="O122" i="10"/>
  <c r="Q122" i="10"/>
  <c r="R122" i="10"/>
  <c r="U122" i="10"/>
  <c r="V122" i="10"/>
  <c r="X122" i="10"/>
  <c r="A123" i="10"/>
  <c r="B123" i="10"/>
  <c r="D123" i="10"/>
  <c r="E123" i="10"/>
  <c r="F123" i="10"/>
  <c r="G123" i="10"/>
  <c r="H123" i="10"/>
  <c r="K123" i="10"/>
  <c r="L123" i="10"/>
  <c r="M123" i="10"/>
  <c r="N123" i="10"/>
  <c r="O123" i="10"/>
  <c r="Q123" i="10"/>
  <c r="R123" i="10"/>
  <c r="U123" i="10"/>
  <c r="V123" i="10"/>
  <c r="X123" i="10"/>
  <c r="A124" i="10"/>
  <c r="B124" i="10"/>
  <c r="D124" i="10"/>
  <c r="E124" i="10"/>
  <c r="F124" i="10"/>
  <c r="G124" i="10"/>
  <c r="H124" i="10"/>
  <c r="K124" i="10"/>
  <c r="L124" i="10"/>
  <c r="M124" i="10"/>
  <c r="N124" i="10"/>
  <c r="O124" i="10"/>
  <c r="Q124" i="10"/>
  <c r="R124" i="10"/>
  <c r="U124" i="10"/>
  <c r="V124" i="10"/>
  <c r="X124" i="10"/>
  <c r="A125" i="10"/>
  <c r="B125" i="10"/>
  <c r="D125" i="10"/>
  <c r="E125" i="10"/>
  <c r="F125" i="10"/>
  <c r="G125" i="10"/>
  <c r="H125" i="10"/>
  <c r="K125" i="10"/>
  <c r="L125" i="10"/>
  <c r="M125" i="10"/>
  <c r="N125" i="10"/>
  <c r="O125" i="10"/>
  <c r="Q125" i="10"/>
  <c r="R125" i="10"/>
  <c r="U125" i="10"/>
  <c r="V125" i="10"/>
  <c r="X125" i="10"/>
  <c r="A126" i="10"/>
  <c r="B126" i="10"/>
  <c r="D126" i="10"/>
  <c r="E126" i="10"/>
  <c r="F126" i="10"/>
  <c r="G126" i="10"/>
  <c r="H126" i="10"/>
  <c r="K126" i="10"/>
  <c r="L126" i="10"/>
  <c r="M126" i="10"/>
  <c r="N126" i="10"/>
  <c r="R126" i="10" s="1"/>
  <c r="O126" i="10"/>
  <c r="Q126" i="10"/>
  <c r="U126" i="10"/>
  <c r="V126" i="10"/>
  <c r="X126" i="10"/>
  <c r="A127" i="10"/>
  <c r="B127" i="10"/>
  <c r="D127" i="10"/>
  <c r="E127" i="10"/>
  <c r="F127" i="10"/>
  <c r="G127" i="10"/>
  <c r="H127" i="10"/>
  <c r="K127" i="10"/>
  <c r="L127" i="10"/>
  <c r="M127" i="10"/>
  <c r="N127" i="10"/>
  <c r="R127" i="10" s="1"/>
  <c r="O127" i="10"/>
  <c r="Q127" i="10"/>
  <c r="U127" i="10"/>
  <c r="V127" i="10"/>
  <c r="X127" i="10"/>
  <c r="A128" i="10"/>
  <c r="B128" i="10"/>
  <c r="D128" i="10"/>
  <c r="E128" i="10"/>
  <c r="F128" i="10"/>
  <c r="G128" i="10"/>
  <c r="H128" i="10"/>
  <c r="K128" i="10"/>
  <c r="L128" i="10"/>
  <c r="M128" i="10"/>
  <c r="N128" i="10"/>
  <c r="R128" i="10" s="1"/>
  <c r="O128" i="10"/>
  <c r="Q128" i="10"/>
  <c r="U128" i="10"/>
  <c r="V128" i="10"/>
  <c r="X128" i="10"/>
  <c r="A129" i="10"/>
  <c r="B129" i="10"/>
  <c r="D129" i="10"/>
  <c r="E129" i="10"/>
  <c r="F129" i="10"/>
  <c r="G129" i="10"/>
  <c r="H129" i="10"/>
  <c r="K129" i="10"/>
  <c r="L129" i="10"/>
  <c r="M129" i="10"/>
  <c r="N129" i="10"/>
  <c r="O129" i="10"/>
  <c r="Q129" i="10"/>
  <c r="R129" i="10"/>
  <c r="U129" i="10"/>
  <c r="V129" i="10"/>
  <c r="X129" i="10"/>
  <c r="A130" i="10"/>
  <c r="B130" i="10"/>
  <c r="D130" i="10"/>
  <c r="E130" i="10"/>
  <c r="F130" i="10"/>
  <c r="G130" i="10"/>
  <c r="H130" i="10"/>
  <c r="K130" i="10"/>
  <c r="L130" i="10"/>
  <c r="M130" i="10"/>
  <c r="N130" i="10"/>
  <c r="O130" i="10"/>
  <c r="Q130" i="10"/>
  <c r="R130" i="10"/>
  <c r="U130" i="10"/>
  <c r="V130" i="10"/>
  <c r="X130" i="10"/>
  <c r="A131" i="10"/>
  <c r="B131" i="10"/>
  <c r="D131" i="10"/>
  <c r="E131" i="10"/>
  <c r="F131" i="10"/>
  <c r="G131" i="10"/>
  <c r="H131" i="10"/>
  <c r="K131" i="10"/>
  <c r="L131" i="10"/>
  <c r="M131" i="10"/>
  <c r="N131" i="10"/>
  <c r="O131" i="10"/>
  <c r="Q131" i="10"/>
  <c r="R131" i="10"/>
  <c r="U131" i="10"/>
  <c r="V131" i="10"/>
  <c r="X131" i="10"/>
  <c r="A132" i="10"/>
  <c r="B132" i="10"/>
  <c r="D132" i="10"/>
  <c r="E132" i="10"/>
  <c r="F132" i="10"/>
  <c r="G132" i="10"/>
  <c r="H132" i="10"/>
  <c r="K132" i="10"/>
  <c r="L132" i="10"/>
  <c r="M132" i="10"/>
  <c r="N132" i="10"/>
  <c r="O132" i="10"/>
  <c r="Q132" i="10"/>
  <c r="R132" i="10"/>
  <c r="U132" i="10"/>
  <c r="V132" i="10"/>
  <c r="X132" i="10"/>
  <c r="A133" i="10"/>
  <c r="B133" i="10"/>
  <c r="D133" i="10"/>
  <c r="E133" i="10"/>
  <c r="F133" i="10"/>
  <c r="G133" i="10"/>
  <c r="H133" i="10"/>
  <c r="K133" i="10"/>
  <c r="L133" i="10"/>
  <c r="M133" i="10"/>
  <c r="N133" i="10"/>
  <c r="O133" i="10"/>
  <c r="Q133" i="10"/>
  <c r="R133" i="10"/>
  <c r="U133" i="10"/>
  <c r="V133" i="10"/>
  <c r="X133" i="10"/>
  <c r="A134" i="10"/>
  <c r="B134" i="10"/>
  <c r="D134" i="10"/>
  <c r="E134" i="10"/>
  <c r="F134" i="10"/>
  <c r="G134" i="10"/>
  <c r="H134" i="10"/>
  <c r="K134" i="10"/>
  <c r="L134" i="10"/>
  <c r="M134" i="10"/>
  <c r="N134" i="10"/>
  <c r="R134" i="10" s="1"/>
  <c r="O134" i="10"/>
  <c r="Q134" i="10"/>
  <c r="U134" i="10"/>
  <c r="V134" i="10"/>
  <c r="X134" i="10"/>
  <c r="A135" i="10"/>
  <c r="B135" i="10"/>
  <c r="D135" i="10"/>
  <c r="E135" i="10"/>
  <c r="F135" i="10"/>
  <c r="G135" i="10"/>
  <c r="H135" i="10"/>
  <c r="K135" i="10"/>
  <c r="L135" i="10"/>
  <c r="M135" i="10"/>
  <c r="N135" i="10"/>
  <c r="R135" i="10" s="1"/>
  <c r="O135" i="10"/>
  <c r="Q135" i="10"/>
  <c r="U135" i="10"/>
  <c r="V135" i="10"/>
  <c r="X135" i="10"/>
  <c r="A136" i="10"/>
  <c r="B136" i="10"/>
  <c r="D136" i="10"/>
  <c r="E136" i="10"/>
  <c r="F136" i="10"/>
  <c r="G136" i="10"/>
  <c r="H136" i="10"/>
  <c r="K136" i="10"/>
  <c r="L136" i="10"/>
  <c r="M136" i="10"/>
  <c r="N136" i="10"/>
  <c r="R136" i="10" s="1"/>
  <c r="O136" i="10"/>
  <c r="Q136" i="10"/>
  <c r="U136" i="10"/>
  <c r="V136" i="10"/>
  <c r="X136" i="10"/>
  <c r="A137" i="10"/>
  <c r="B137" i="10"/>
  <c r="D137" i="10"/>
  <c r="E137" i="10"/>
  <c r="F137" i="10"/>
  <c r="G137" i="10"/>
  <c r="H137" i="10"/>
  <c r="K137" i="10"/>
  <c r="L137" i="10"/>
  <c r="M137" i="10"/>
  <c r="N137" i="10"/>
  <c r="O137" i="10"/>
  <c r="Q137" i="10"/>
  <c r="R137" i="10"/>
  <c r="U137" i="10"/>
  <c r="V137" i="10"/>
  <c r="X137" i="10"/>
  <c r="A138" i="10"/>
  <c r="B138" i="10"/>
  <c r="D138" i="10"/>
  <c r="E138" i="10"/>
  <c r="F138" i="10"/>
  <c r="G138" i="10"/>
  <c r="H138" i="10"/>
  <c r="K138" i="10"/>
  <c r="L138" i="10"/>
  <c r="M138" i="10"/>
  <c r="N138" i="10"/>
  <c r="O138" i="10"/>
  <c r="Q138" i="10"/>
  <c r="R138" i="10"/>
  <c r="U138" i="10"/>
  <c r="V138" i="10"/>
  <c r="X138" i="10"/>
  <c r="A139" i="10"/>
  <c r="B139" i="10"/>
  <c r="D139" i="10"/>
  <c r="E139" i="10"/>
  <c r="F139" i="10"/>
  <c r="G139" i="10"/>
  <c r="H139" i="10"/>
  <c r="K139" i="10"/>
  <c r="L139" i="10"/>
  <c r="M139" i="10"/>
  <c r="N139" i="10"/>
  <c r="O139" i="10"/>
  <c r="Q139" i="10"/>
  <c r="R139" i="10"/>
  <c r="U139" i="10"/>
  <c r="V139" i="10"/>
  <c r="X139" i="10"/>
  <c r="A140" i="10"/>
  <c r="B140" i="10"/>
  <c r="D140" i="10"/>
  <c r="E140" i="10"/>
  <c r="F140" i="10"/>
  <c r="G140" i="10"/>
  <c r="H140" i="10"/>
  <c r="K140" i="10"/>
  <c r="L140" i="10"/>
  <c r="M140" i="10"/>
  <c r="N140" i="10"/>
  <c r="O140" i="10"/>
  <c r="Q140" i="10"/>
  <c r="R140" i="10"/>
  <c r="U140" i="10"/>
  <c r="V140" i="10"/>
  <c r="X140" i="10"/>
  <c r="A141" i="10"/>
  <c r="B141" i="10"/>
  <c r="D141" i="10"/>
  <c r="E141" i="10"/>
  <c r="F141" i="10"/>
  <c r="G141" i="10"/>
  <c r="H141" i="10"/>
  <c r="K141" i="10"/>
  <c r="L141" i="10"/>
  <c r="M141" i="10"/>
  <c r="N141" i="10"/>
  <c r="O141" i="10"/>
  <c r="Q141" i="10"/>
  <c r="R141" i="10"/>
  <c r="U141" i="10"/>
  <c r="V141" i="10"/>
  <c r="X141" i="10"/>
  <c r="A142" i="10"/>
  <c r="B142" i="10"/>
  <c r="D142" i="10"/>
  <c r="E142" i="10"/>
  <c r="F142" i="10"/>
  <c r="G142" i="10"/>
  <c r="H142" i="10"/>
  <c r="K142" i="10"/>
  <c r="L142" i="10"/>
  <c r="M142" i="10"/>
  <c r="N142" i="10"/>
  <c r="R142" i="10" s="1"/>
  <c r="O142" i="10"/>
  <c r="Q142" i="10"/>
  <c r="U142" i="10"/>
  <c r="V142" i="10"/>
  <c r="X142" i="10"/>
  <c r="A143" i="10"/>
  <c r="B143" i="10"/>
  <c r="D143" i="10"/>
  <c r="E143" i="10"/>
  <c r="F143" i="10"/>
  <c r="G143" i="10"/>
  <c r="H143" i="10"/>
  <c r="K143" i="10"/>
  <c r="L143" i="10"/>
  <c r="M143" i="10"/>
  <c r="N143" i="10"/>
  <c r="R143" i="10" s="1"/>
  <c r="O143" i="10"/>
  <c r="Q143" i="10"/>
  <c r="U143" i="10"/>
  <c r="V143" i="10"/>
  <c r="X143" i="10"/>
  <c r="A144" i="10"/>
  <c r="B144" i="10"/>
  <c r="D144" i="10"/>
  <c r="E144" i="10"/>
  <c r="F144" i="10"/>
  <c r="G144" i="10"/>
  <c r="H144" i="10"/>
  <c r="K144" i="10"/>
  <c r="L144" i="10"/>
  <c r="M144" i="10"/>
  <c r="N144" i="10"/>
  <c r="R144" i="10" s="1"/>
  <c r="O144" i="10"/>
  <c r="Q144" i="10"/>
  <c r="U144" i="10"/>
  <c r="V144" i="10"/>
  <c r="X144" i="10"/>
  <c r="A145" i="10"/>
  <c r="B145" i="10"/>
  <c r="D145" i="10"/>
  <c r="E145" i="10"/>
  <c r="F145" i="10"/>
  <c r="G145" i="10"/>
  <c r="H145" i="10"/>
  <c r="K145" i="10"/>
  <c r="L145" i="10"/>
  <c r="M145" i="10"/>
  <c r="N145" i="10"/>
  <c r="R145" i="10" s="1"/>
  <c r="O145" i="10"/>
  <c r="Q145" i="10"/>
  <c r="U145" i="10"/>
  <c r="V145" i="10"/>
  <c r="X145" i="10"/>
  <c r="A146" i="10"/>
  <c r="B146" i="10"/>
  <c r="D146" i="10"/>
  <c r="E146" i="10"/>
  <c r="F146" i="10"/>
  <c r="G146" i="10"/>
  <c r="H146" i="10"/>
  <c r="K146" i="10"/>
  <c r="L146" i="10"/>
  <c r="M146" i="10"/>
  <c r="N146" i="10"/>
  <c r="O146" i="10"/>
  <c r="Q146" i="10"/>
  <c r="R146" i="10"/>
  <c r="U146" i="10"/>
  <c r="V146" i="10"/>
  <c r="X146" i="10"/>
  <c r="A147" i="10"/>
  <c r="B147" i="10"/>
  <c r="D147" i="10"/>
  <c r="E147" i="10"/>
  <c r="F147" i="10"/>
  <c r="G147" i="10"/>
  <c r="H147" i="10"/>
  <c r="K147" i="10"/>
  <c r="L147" i="10"/>
  <c r="M147" i="10"/>
  <c r="N147" i="10"/>
  <c r="O147" i="10"/>
  <c r="Q147" i="10"/>
  <c r="R147" i="10"/>
  <c r="U147" i="10"/>
  <c r="V147" i="10"/>
  <c r="X147" i="10"/>
  <c r="A148" i="10"/>
  <c r="B148" i="10"/>
  <c r="D148" i="10"/>
  <c r="E148" i="10"/>
  <c r="F148" i="10"/>
  <c r="G148" i="10"/>
  <c r="H148" i="10"/>
  <c r="K148" i="10"/>
  <c r="L148" i="10"/>
  <c r="M148" i="10"/>
  <c r="N148" i="10"/>
  <c r="O148" i="10"/>
  <c r="Q148" i="10"/>
  <c r="R148" i="10"/>
  <c r="U148" i="10"/>
  <c r="V148" i="10"/>
  <c r="X148" i="10"/>
  <c r="A149" i="10"/>
  <c r="B149" i="10"/>
  <c r="D149" i="10"/>
  <c r="E149" i="10"/>
  <c r="F149" i="10"/>
  <c r="G149" i="10"/>
  <c r="H149" i="10"/>
  <c r="K149" i="10"/>
  <c r="L149" i="10"/>
  <c r="M149" i="10"/>
  <c r="N149" i="10"/>
  <c r="O149" i="10"/>
  <c r="Q149" i="10"/>
  <c r="R149" i="10"/>
  <c r="U149" i="10"/>
  <c r="V149" i="10"/>
  <c r="X149" i="10"/>
  <c r="A150" i="10"/>
  <c r="B150" i="10"/>
  <c r="D150" i="10"/>
  <c r="E150" i="10"/>
  <c r="F150" i="10"/>
  <c r="G150" i="10"/>
  <c r="H150" i="10"/>
  <c r="K150" i="10"/>
  <c r="L150" i="10"/>
  <c r="M150" i="10"/>
  <c r="N150" i="10"/>
  <c r="R150" i="10" s="1"/>
  <c r="O150" i="10"/>
  <c r="Q150" i="10"/>
  <c r="U150" i="10"/>
  <c r="V150" i="10"/>
  <c r="X150" i="10"/>
  <c r="A151" i="10"/>
  <c r="B151" i="10"/>
  <c r="D151" i="10"/>
  <c r="E151" i="10"/>
  <c r="F151" i="10"/>
  <c r="G151" i="10"/>
  <c r="H151" i="10"/>
  <c r="K151" i="10"/>
  <c r="L151" i="10"/>
  <c r="M151" i="10"/>
  <c r="N151" i="10"/>
  <c r="R151" i="10" s="1"/>
  <c r="O151" i="10"/>
  <c r="Q151" i="10"/>
  <c r="U151" i="10"/>
  <c r="V151" i="10"/>
  <c r="X151" i="10"/>
  <c r="A152" i="10"/>
  <c r="B152" i="10"/>
  <c r="D152" i="10"/>
  <c r="E152" i="10"/>
  <c r="F152" i="10"/>
  <c r="G152" i="10"/>
  <c r="H152" i="10"/>
  <c r="K152" i="10"/>
  <c r="L152" i="10"/>
  <c r="M152" i="10"/>
  <c r="N152" i="10"/>
  <c r="R152" i="10" s="1"/>
  <c r="O152" i="10"/>
  <c r="Q152" i="10"/>
  <c r="U152" i="10"/>
  <c r="V152" i="10"/>
  <c r="X152" i="10"/>
  <c r="A153" i="10"/>
  <c r="B153" i="10"/>
  <c r="D153" i="10"/>
  <c r="E153" i="10"/>
  <c r="F153" i="10"/>
  <c r="G153" i="10"/>
  <c r="H153" i="10"/>
  <c r="K153" i="10"/>
  <c r="L153" i="10"/>
  <c r="M153" i="10"/>
  <c r="N153" i="10"/>
  <c r="R153" i="10" s="1"/>
  <c r="O153" i="10"/>
  <c r="Q153" i="10"/>
  <c r="U153" i="10"/>
  <c r="V153" i="10"/>
  <c r="X153" i="10"/>
  <c r="A154" i="10"/>
  <c r="B154" i="10"/>
  <c r="D154" i="10"/>
  <c r="E154" i="10"/>
  <c r="F154" i="10"/>
  <c r="G154" i="10"/>
  <c r="H154" i="10"/>
  <c r="K154" i="10"/>
  <c r="L154" i="10"/>
  <c r="M154" i="10"/>
  <c r="N154" i="10"/>
  <c r="O154" i="10"/>
  <c r="Q154" i="10"/>
  <c r="R154" i="10"/>
  <c r="U154" i="10"/>
  <c r="V154" i="10"/>
  <c r="X154" i="10"/>
  <c r="A155" i="10"/>
  <c r="B155" i="10"/>
  <c r="D155" i="10"/>
  <c r="E155" i="10"/>
  <c r="F155" i="10"/>
  <c r="G155" i="10"/>
  <c r="H155" i="10"/>
  <c r="K155" i="10"/>
  <c r="L155" i="10"/>
  <c r="M155" i="10"/>
  <c r="N155" i="10"/>
  <c r="O155" i="10"/>
  <c r="Q155" i="10"/>
  <c r="R155" i="10"/>
  <c r="U155" i="10"/>
  <c r="V155" i="10"/>
  <c r="X155" i="10"/>
  <c r="A156" i="10"/>
  <c r="B156" i="10"/>
  <c r="D156" i="10"/>
  <c r="E156" i="10"/>
  <c r="F156" i="10"/>
  <c r="G156" i="10"/>
  <c r="H156" i="10"/>
  <c r="K156" i="10"/>
  <c r="L156" i="10"/>
  <c r="M156" i="10"/>
  <c r="N156" i="10"/>
  <c r="O156" i="10"/>
  <c r="Q156" i="10"/>
  <c r="R156" i="10"/>
  <c r="U156" i="10"/>
  <c r="V156" i="10"/>
  <c r="X156" i="10"/>
  <c r="A157" i="10"/>
  <c r="B157" i="10"/>
  <c r="D157" i="10"/>
  <c r="E157" i="10"/>
  <c r="F157" i="10"/>
  <c r="G157" i="10"/>
  <c r="H157" i="10"/>
  <c r="K157" i="10"/>
  <c r="L157" i="10"/>
  <c r="M157" i="10"/>
  <c r="N157" i="10"/>
  <c r="O157" i="10"/>
  <c r="Q157" i="10"/>
  <c r="R157" i="10"/>
  <c r="U157" i="10"/>
  <c r="V157" i="10"/>
  <c r="X157" i="10"/>
  <c r="A158" i="10"/>
  <c r="B158" i="10"/>
  <c r="D158" i="10"/>
  <c r="E158" i="10"/>
  <c r="F158" i="10"/>
  <c r="G158" i="10"/>
  <c r="H158" i="10"/>
  <c r="K158" i="10"/>
  <c r="L158" i="10"/>
  <c r="M158" i="10"/>
  <c r="N158" i="10"/>
  <c r="R158" i="10" s="1"/>
  <c r="O158" i="10"/>
  <c r="Q158" i="10"/>
  <c r="U158" i="10"/>
  <c r="V158" i="10"/>
  <c r="X158" i="10"/>
  <c r="A159" i="10"/>
  <c r="B159" i="10"/>
  <c r="D159" i="10"/>
  <c r="E159" i="10"/>
  <c r="F159" i="10"/>
  <c r="G159" i="10"/>
  <c r="H159" i="10"/>
  <c r="K159" i="10"/>
  <c r="L159" i="10"/>
  <c r="M159" i="10"/>
  <c r="N159" i="10"/>
  <c r="R159" i="10" s="1"/>
  <c r="O159" i="10"/>
  <c r="Q159" i="10"/>
  <c r="U159" i="10"/>
  <c r="V159" i="10"/>
  <c r="X159" i="10"/>
  <c r="A160" i="10"/>
  <c r="B160" i="10"/>
  <c r="D160" i="10"/>
  <c r="E160" i="10"/>
  <c r="F160" i="10"/>
  <c r="G160" i="10"/>
  <c r="H160" i="10"/>
  <c r="K160" i="10"/>
  <c r="L160" i="10"/>
  <c r="M160" i="10"/>
  <c r="N160" i="10"/>
  <c r="R160" i="10" s="1"/>
  <c r="O160" i="10"/>
  <c r="Q160" i="10"/>
  <c r="U160" i="10"/>
  <c r="V160" i="10"/>
  <c r="X160" i="10"/>
  <c r="A161" i="10"/>
  <c r="B161" i="10"/>
  <c r="D161" i="10"/>
  <c r="E161" i="10"/>
  <c r="F161" i="10"/>
  <c r="G161" i="10"/>
  <c r="H161" i="10"/>
  <c r="K161" i="10"/>
  <c r="L161" i="10"/>
  <c r="M161" i="10"/>
  <c r="N161" i="10"/>
  <c r="R161" i="10" s="1"/>
  <c r="O161" i="10"/>
  <c r="Q161" i="10"/>
  <c r="U161" i="10"/>
  <c r="V161" i="10"/>
  <c r="X161" i="10"/>
  <c r="A162" i="10"/>
  <c r="B162" i="10"/>
  <c r="D162" i="10"/>
  <c r="E162" i="10"/>
  <c r="F162" i="10"/>
  <c r="G162" i="10"/>
  <c r="H162" i="10"/>
  <c r="K162" i="10"/>
  <c r="L162" i="10"/>
  <c r="M162" i="10"/>
  <c r="N162" i="10"/>
  <c r="O162" i="10"/>
  <c r="Q162" i="10"/>
  <c r="R162" i="10"/>
  <c r="U162" i="10"/>
  <c r="V162" i="10"/>
  <c r="X162" i="10"/>
  <c r="A163" i="10"/>
  <c r="B163" i="10"/>
  <c r="D163" i="10"/>
  <c r="E163" i="10"/>
  <c r="F163" i="10"/>
  <c r="G163" i="10"/>
  <c r="H163" i="10"/>
  <c r="K163" i="10"/>
  <c r="L163" i="10"/>
  <c r="M163" i="10"/>
  <c r="N163" i="10"/>
  <c r="O163" i="10"/>
  <c r="Q163" i="10"/>
  <c r="R163" i="10"/>
  <c r="U163" i="10"/>
  <c r="V163" i="10"/>
  <c r="X163" i="10"/>
  <c r="A164" i="10"/>
  <c r="B164" i="10"/>
  <c r="D164" i="10"/>
  <c r="E164" i="10"/>
  <c r="F164" i="10"/>
  <c r="G164" i="10"/>
  <c r="H164" i="10"/>
  <c r="K164" i="10"/>
  <c r="L164" i="10"/>
  <c r="M164" i="10"/>
  <c r="N164" i="10"/>
  <c r="O164" i="10"/>
  <c r="Q164" i="10"/>
  <c r="R164" i="10"/>
  <c r="U164" i="10"/>
  <c r="V164" i="10"/>
  <c r="X164" i="10"/>
  <c r="A165" i="10"/>
  <c r="B165" i="10"/>
  <c r="D165" i="10"/>
  <c r="E165" i="10"/>
  <c r="F165" i="10"/>
  <c r="G165" i="10"/>
  <c r="H165" i="10"/>
  <c r="K165" i="10"/>
  <c r="L165" i="10"/>
  <c r="M165" i="10"/>
  <c r="N165" i="10"/>
  <c r="O165" i="10"/>
  <c r="Q165" i="10"/>
  <c r="R165" i="10"/>
  <c r="U165" i="10"/>
  <c r="V165" i="10"/>
  <c r="X165" i="10"/>
  <c r="A166" i="10"/>
  <c r="B166" i="10"/>
  <c r="D166" i="10"/>
  <c r="E166" i="10"/>
  <c r="F166" i="10"/>
  <c r="G166" i="10"/>
  <c r="H166" i="10"/>
  <c r="K166" i="10"/>
  <c r="L166" i="10"/>
  <c r="M166" i="10"/>
  <c r="N166" i="10"/>
  <c r="R166" i="10" s="1"/>
  <c r="O166" i="10"/>
  <c r="Q166" i="10"/>
  <c r="U166" i="10"/>
  <c r="V166" i="10"/>
  <c r="X166" i="10"/>
  <c r="A167" i="10"/>
  <c r="B167" i="10"/>
  <c r="D167" i="10"/>
  <c r="E167" i="10"/>
  <c r="F167" i="10"/>
  <c r="G167" i="10"/>
  <c r="H167" i="10"/>
  <c r="K167" i="10"/>
  <c r="L167" i="10"/>
  <c r="M167" i="10"/>
  <c r="N167" i="10"/>
  <c r="R167" i="10" s="1"/>
  <c r="O167" i="10"/>
  <c r="Q167" i="10"/>
  <c r="U167" i="10"/>
  <c r="V167" i="10"/>
  <c r="X167" i="10"/>
  <c r="A168" i="10"/>
  <c r="B168" i="10"/>
  <c r="D168" i="10"/>
  <c r="E168" i="10"/>
  <c r="F168" i="10"/>
  <c r="G168" i="10"/>
  <c r="H168" i="10"/>
  <c r="K168" i="10"/>
  <c r="L168" i="10"/>
  <c r="M168" i="10"/>
  <c r="N168" i="10"/>
  <c r="R168" i="10" s="1"/>
  <c r="O168" i="10"/>
  <c r="Q168" i="10"/>
  <c r="U168" i="10"/>
  <c r="V168" i="10"/>
  <c r="X168" i="10"/>
  <c r="A169" i="10"/>
  <c r="B169" i="10"/>
  <c r="D169" i="10"/>
  <c r="E169" i="10"/>
  <c r="F169" i="10"/>
  <c r="G169" i="10"/>
  <c r="H169" i="10"/>
  <c r="K169" i="10"/>
  <c r="L169" i="10"/>
  <c r="M169" i="10"/>
  <c r="N169" i="10"/>
  <c r="R169" i="10" s="1"/>
  <c r="O169" i="10"/>
  <c r="Q169" i="10"/>
  <c r="U169" i="10"/>
  <c r="V169" i="10"/>
  <c r="X169" i="10"/>
  <c r="A170" i="10"/>
  <c r="B170" i="10"/>
  <c r="D170" i="10"/>
  <c r="E170" i="10"/>
  <c r="F170" i="10"/>
  <c r="G170" i="10"/>
  <c r="H170" i="10"/>
  <c r="K170" i="10"/>
  <c r="L170" i="10"/>
  <c r="M170" i="10"/>
  <c r="N170" i="10"/>
  <c r="O170" i="10"/>
  <c r="Q170" i="10"/>
  <c r="R170" i="10"/>
  <c r="U170" i="10"/>
  <c r="V170" i="10"/>
  <c r="X170" i="10"/>
  <c r="A171" i="10"/>
  <c r="B171" i="10"/>
  <c r="D171" i="10"/>
  <c r="E171" i="10"/>
  <c r="F171" i="10"/>
  <c r="G171" i="10"/>
  <c r="H171" i="10"/>
  <c r="K171" i="10"/>
  <c r="L171" i="10"/>
  <c r="M171" i="10"/>
  <c r="N171" i="10"/>
  <c r="O171" i="10"/>
  <c r="Q171" i="10"/>
  <c r="R171" i="10"/>
  <c r="U171" i="10"/>
  <c r="V171" i="10"/>
  <c r="X171" i="10"/>
  <c r="A172" i="10"/>
  <c r="B172" i="10"/>
  <c r="D172" i="10"/>
  <c r="E172" i="10"/>
  <c r="F172" i="10"/>
  <c r="G172" i="10"/>
  <c r="H172" i="10"/>
  <c r="K172" i="10"/>
  <c r="L172" i="10"/>
  <c r="M172" i="10"/>
  <c r="N172" i="10"/>
  <c r="O172" i="10"/>
  <c r="Q172" i="10"/>
  <c r="R172" i="10"/>
  <c r="U172" i="10"/>
  <c r="V172" i="10"/>
  <c r="X172" i="10"/>
  <c r="A173" i="10"/>
  <c r="B173" i="10"/>
  <c r="D173" i="10"/>
  <c r="E173" i="10"/>
  <c r="F173" i="10"/>
  <c r="G173" i="10"/>
  <c r="H173" i="10"/>
  <c r="K173" i="10"/>
  <c r="L173" i="10"/>
  <c r="M173" i="10"/>
  <c r="N173" i="10"/>
  <c r="O173" i="10"/>
  <c r="Q173" i="10"/>
  <c r="R173" i="10"/>
  <c r="U173" i="10"/>
  <c r="V173" i="10"/>
  <c r="X173" i="10"/>
  <c r="A174" i="10"/>
  <c r="B174" i="10"/>
  <c r="D174" i="10"/>
  <c r="E174" i="10"/>
  <c r="F174" i="10"/>
  <c r="G174" i="10"/>
  <c r="H174" i="10"/>
  <c r="K174" i="10"/>
  <c r="L174" i="10"/>
  <c r="M174" i="10"/>
  <c r="N174" i="10"/>
  <c r="R174" i="10" s="1"/>
  <c r="O174" i="10"/>
  <c r="Q174" i="10"/>
  <c r="U174" i="10"/>
  <c r="V174" i="10"/>
  <c r="X174" i="10"/>
  <c r="A175" i="10"/>
  <c r="B175" i="10"/>
  <c r="D175" i="10"/>
  <c r="E175" i="10"/>
  <c r="F175" i="10"/>
  <c r="G175" i="10"/>
  <c r="H175" i="10"/>
  <c r="K175" i="10"/>
  <c r="L175" i="10"/>
  <c r="M175" i="10"/>
  <c r="N175" i="10"/>
  <c r="R175" i="10" s="1"/>
  <c r="O175" i="10"/>
  <c r="Q175" i="10"/>
  <c r="U175" i="10"/>
  <c r="V175" i="10"/>
  <c r="X175" i="10"/>
  <c r="A176" i="10"/>
  <c r="B176" i="10"/>
  <c r="D176" i="10"/>
  <c r="E176" i="10"/>
  <c r="F176" i="10"/>
  <c r="G176" i="10"/>
  <c r="H176" i="10"/>
  <c r="K176" i="10"/>
  <c r="L176" i="10"/>
  <c r="M176" i="10"/>
  <c r="N176" i="10"/>
  <c r="R176" i="10" s="1"/>
  <c r="O176" i="10"/>
  <c r="Q176" i="10"/>
  <c r="U176" i="10"/>
  <c r="V176" i="10"/>
  <c r="X176" i="10"/>
  <c r="A177" i="10"/>
  <c r="B177" i="10"/>
  <c r="D177" i="10"/>
  <c r="E177" i="10"/>
  <c r="F177" i="10"/>
  <c r="G177" i="10"/>
  <c r="H177" i="10"/>
  <c r="K177" i="10"/>
  <c r="L177" i="10"/>
  <c r="M177" i="10"/>
  <c r="N177" i="10"/>
  <c r="R177" i="10" s="1"/>
  <c r="O177" i="10"/>
  <c r="Q177" i="10"/>
  <c r="U177" i="10"/>
  <c r="V177" i="10"/>
  <c r="X177" i="10"/>
  <c r="A178" i="10"/>
  <c r="B178" i="10"/>
  <c r="D178" i="10"/>
  <c r="E178" i="10"/>
  <c r="F178" i="10"/>
  <c r="G178" i="10"/>
  <c r="H178" i="10"/>
  <c r="K178" i="10"/>
  <c r="L178" i="10"/>
  <c r="M178" i="10"/>
  <c r="N178" i="10"/>
  <c r="O178" i="10"/>
  <c r="Q178" i="10"/>
  <c r="R178" i="10"/>
  <c r="U178" i="10"/>
  <c r="V178" i="10"/>
  <c r="X178" i="10"/>
  <c r="A179" i="10"/>
  <c r="B179" i="10"/>
  <c r="D179" i="10"/>
  <c r="E179" i="10"/>
  <c r="F179" i="10"/>
  <c r="G179" i="10"/>
  <c r="H179" i="10"/>
  <c r="K179" i="10"/>
  <c r="L179" i="10"/>
  <c r="M179" i="10"/>
  <c r="N179" i="10"/>
  <c r="O179" i="10"/>
  <c r="Q179" i="10"/>
  <c r="R179" i="10"/>
  <c r="U179" i="10"/>
  <c r="V179" i="10"/>
  <c r="X179" i="10"/>
  <c r="A180" i="10"/>
  <c r="B180" i="10"/>
  <c r="D180" i="10"/>
  <c r="E180" i="10"/>
  <c r="F180" i="10"/>
  <c r="G180" i="10"/>
  <c r="H180" i="10"/>
  <c r="K180" i="10"/>
  <c r="L180" i="10"/>
  <c r="M180" i="10"/>
  <c r="N180" i="10"/>
  <c r="O180" i="10"/>
  <c r="Q180" i="10"/>
  <c r="R180" i="10"/>
  <c r="U180" i="10"/>
  <c r="V180" i="10"/>
  <c r="X180" i="10"/>
  <c r="A181" i="10"/>
  <c r="B181" i="10"/>
  <c r="D181" i="10"/>
  <c r="E181" i="10"/>
  <c r="F181" i="10"/>
  <c r="G181" i="10"/>
  <c r="H181" i="10"/>
  <c r="K181" i="10"/>
  <c r="L181" i="10"/>
  <c r="M181" i="10"/>
  <c r="N181" i="10"/>
  <c r="O181" i="10"/>
  <c r="Q181" i="10"/>
  <c r="R181" i="10"/>
  <c r="U181" i="10"/>
  <c r="V181" i="10"/>
  <c r="X181" i="10"/>
  <c r="A182" i="10"/>
  <c r="B182" i="10"/>
  <c r="D182" i="10"/>
  <c r="E182" i="10"/>
  <c r="F182" i="10"/>
  <c r="G182" i="10"/>
  <c r="H182" i="10"/>
  <c r="K182" i="10"/>
  <c r="L182" i="10"/>
  <c r="M182" i="10"/>
  <c r="N182" i="10"/>
  <c r="R182" i="10" s="1"/>
  <c r="O182" i="10"/>
  <c r="Q182" i="10"/>
  <c r="U182" i="10"/>
  <c r="V182" i="10"/>
  <c r="X182" i="10"/>
  <c r="A183" i="10"/>
  <c r="B183" i="10"/>
  <c r="D183" i="10"/>
  <c r="E183" i="10"/>
  <c r="F183" i="10"/>
  <c r="G183" i="10"/>
  <c r="H183" i="10"/>
  <c r="K183" i="10"/>
  <c r="L183" i="10"/>
  <c r="M183" i="10"/>
  <c r="N183" i="10"/>
  <c r="R183" i="10" s="1"/>
  <c r="O183" i="10"/>
  <c r="Q183" i="10"/>
  <c r="U183" i="10"/>
  <c r="V183" i="10"/>
  <c r="X183" i="10"/>
  <c r="A184" i="10"/>
  <c r="B184" i="10"/>
  <c r="D184" i="10"/>
  <c r="E184" i="10"/>
  <c r="F184" i="10"/>
  <c r="G184" i="10"/>
  <c r="H184" i="10"/>
  <c r="K184" i="10"/>
  <c r="L184" i="10"/>
  <c r="M184" i="10"/>
  <c r="N184" i="10"/>
  <c r="R184" i="10" s="1"/>
  <c r="O184" i="10"/>
  <c r="Q184" i="10"/>
  <c r="U184" i="10"/>
  <c r="V184" i="10"/>
  <c r="X184" i="10"/>
  <c r="A185" i="10"/>
  <c r="B185" i="10"/>
  <c r="D185" i="10"/>
  <c r="E185" i="10"/>
  <c r="F185" i="10"/>
  <c r="G185" i="10"/>
  <c r="H185" i="10"/>
  <c r="K185" i="10"/>
  <c r="L185" i="10"/>
  <c r="M185" i="10"/>
  <c r="N185" i="10"/>
  <c r="R185" i="10" s="1"/>
  <c r="O185" i="10"/>
  <c r="Q185" i="10"/>
  <c r="U185" i="10"/>
  <c r="V185" i="10"/>
  <c r="X185" i="10"/>
  <c r="A186" i="10"/>
  <c r="B186" i="10"/>
  <c r="D186" i="10"/>
  <c r="E186" i="10"/>
  <c r="F186" i="10"/>
  <c r="G186" i="10"/>
  <c r="H186" i="10"/>
  <c r="K186" i="10"/>
  <c r="L186" i="10"/>
  <c r="M186" i="10"/>
  <c r="N186" i="10"/>
  <c r="O186" i="10"/>
  <c r="Q186" i="10"/>
  <c r="R186" i="10"/>
  <c r="U186" i="10"/>
  <c r="V186" i="10"/>
  <c r="X186" i="10"/>
  <c r="A187" i="10"/>
  <c r="B187" i="10"/>
  <c r="D187" i="10"/>
  <c r="E187" i="10"/>
  <c r="F187" i="10"/>
  <c r="G187" i="10"/>
  <c r="H187" i="10"/>
  <c r="K187" i="10"/>
  <c r="L187" i="10"/>
  <c r="M187" i="10"/>
  <c r="N187" i="10"/>
  <c r="O187" i="10"/>
  <c r="Q187" i="10"/>
  <c r="R187" i="10"/>
  <c r="U187" i="10"/>
  <c r="V187" i="10"/>
  <c r="X187" i="10"/>
  <c r="A188" i="10"/>
  <c r="B188" i="10"/>
  <c r="D188" i="10"/>
  <c r="E188" i="10"/>
  <c r="F188" i="10"/>
  <c r="G188" i="10"/>
  <c r="H188" i="10"/>
  <c r="K188" i="10"/>
  <c r="L188" i="10"/>
  <c r="M188" i="10"/>
  <c r="N188" i="10"/>
  <c r="O188" i="10"/>
  <c r="Q188" i="10"/>
  <c r="R188" i="10"/>
  <c r="U188" i="10"/>
  <c r="V188" i="10"/>
  <c r="X188" i="10"/>
  <c r="A189" i="10"/>
  <c r="B189" i="10"/>
  <c r="D189" i="10"/>
  <c r="E189" i="10"/>
  <c r="F189" i="10"/>
  <c r="G189" i="10"/>
  <c r="H189" i="10"/>
  <c r="K189" i="10"/>
  <c r="L189" i="10"/>
  <c r="M189" i="10"/>
  <c r="N189" i="10"/>
  <c r="O189" i="10"/>
  <c r="Q189" i="10"/>
  <c r="R189" i="10"/>
  <c r="U189" i="10"/>
  <c r="V189" i="10"/>
  <c r="X189" i="10"/>
  <c r="A190" i="10"/>
  <c r="B190" i="10"/>
  <c r="D190" i="10"/>
  <c r="E190" i="10"/>
  <c r="F190" i="10"/>
  <c r="G190" i="10"/>
  <c r="H190" i="10"/>
  <c r="K190" i="10"/>
  <c r="L190" i="10"/>
  <c r="M190" i="10"/>
  <c r="N190" i="10"/>
  <c r="R190" i="10" s="1"/>
  <c r="O190" i="10"/>
  <c r="Q190" i="10"/>
  <c r="U190" i="10"/>
  <c r="V190" i="10"/>
  <c r="X190" i="10"/>
  <c r="A191" i="10"/>
  <c r="B191" i="10"/>
  <c r="D191" i="10"/>
  <c r="E191" i="10"/>
  <c r="F191" i="10"/>
  <c r="G191" i="10"/>
  <c r="H191" i="10"/>
  <c r="K191" i="10"/>
  <c r="L191" i="10"/>
  <c r="M191" i="10"/>
  <c r="N191" i="10"/>
  <c r="R191" i="10" s="1"/>
  <c r="O191" i="10"/>
  <c r="Q191" i="10"/>
  <c r="U191" i="10"/>
  <c r="V191" i="10"/>
  <c r="X191" i="10"/>
  <c r="A192" i="10"/>
  <c r="B192" i="10"/>
  <c r="D192" i="10"/>
  <c r="E192" i="10"/>
  <c r="F192" i="10"/>
  <c r="G192" i="10"/>
  <c r="H192" i="10"/>
  <c r="K192" i="10"/>
  <c r="L192" i="10"/>
  <c r="M192" i="10"/>
  <c r="N192" i="10"/>
  <c r="R192" i="10" s="1"/>
  <c r="O192" i="10"/>
  <c r="Q192" i="10"/>
  <c r="U192" i="10"/>
  <c r="V192" i="10"/>
  <c r="X192" i="10"/>
  <c r="A193" i="10"/>
  <c r="B193" i="10"/>
  <c r="D193" i="10"/>
  <c r="E193" i="10"/>
  <c r="F193" i="10"/>
  <c r="G193" i="10"/>
  <c r="H193" i="10"/>
  <c r="K193" i="10"/>
  <c r="L193" i="10"/>
  <c r="M193" i="10"/>
  <c r="N193" i="10"/>
  <c r="R193" i="10" s="1"/>
  <c r="O193" i="10"/>
  <c r="Q193" i="10"/>
  <c r="U193" i="10"/>
  <c r="V193" i="10"/>
  <c r="X193" i="10"/>
  <c r="A194" i="10"/>
  <c r="B194" i="10"/>
  <c r="D194" i="10"/>
  <c r="E194" i="10"/>
  <c r="F194" i="10"/>
  <c r="G194" i="10"/>
  <c r="H194" i="10"/>
  <c r="K194" i="10"/>
  <c r="L194" i="10"/>
  <c r="M194" i="10"/>
  <c r="N194" i="10"/>
  <c r="O194" i="10"/>
  <c r="Q194" i="10"/>
  <c r="R194" i="10"/>
  <c r="U194" i="10"/>
  <c r="V194" i="10"/>
  <c r="X194" i="10"/>
  <c r="A195" i="10"/>
  <c r="B195" i="10"/>
  <c r="D195" i="10"/>
  <c r="E195" i="10"/>
  <c r="F195" i="10"/>
  <c r="G195" i="10"/>
  <c r="H195" i="10"/>
  <c r="K195" i="10"/>
  <c r="L195" i="10"/>
  <c r="M195" i="10"/>
  <c r="N195" i="10"/>
  <c r="O195" i="10"/>
  <c r="Q195" i="10"/>
  <c r="R195" i="10"/>
  <c r="U195" i="10"/>
  <c r="V195" i="10"/>
  <c r="X195" i="10"/>
  <c r="A196" i="10"/>
  <c r="B196" i="10"/>
  <c r="D196" i="10"/>
  <c r="E196" i="10"/>
  <c r="F196" i="10"/>
  <c r="G196" i="10"/>
  <c r="H196" i="10"/>
  <c r="K196" i="10"/>
  <c r="L196" i="10"/>
  <c r="M196" i="10"/>
  <c r="N196" i="10"/>
  <c r="O196" i="10"/>
  <c r="Q196" i="10"/>
  <c r="R196" i="10"/>
  <c r="U196" i="10"/>
  <c r="V196" i="10"/>
  <c r="X196" i="10"/>
  <c r="A197" i="10"/>
  <c r="B197" i="10"/>
  <c r="D197" i="10"/>
  <c r="E197" i="10"/>
  <c r="F197" i="10"/>
  <c r="G197" i="10"/>
  <c r="H197" i="10"/>
  <c r="K197" i="10"/>
  <c r="L197" i="10"/>
  <c r="M197" i="10"/>
  <c r="N197" i="10"/>
  <c r="O197" i="10"/>
  <c r="Q197" i="10"/>
  <c r="R197" i="10"/>
  <c r="U197" i="10"/>
  <c r="V197" i="10"/>
  <c r="X197" i="10"/>
  <c r="A198" i="10"/>
  <c r="B198" i="10"/>
  <c r="D198" i="10"/>
  <c r="E198" i="10"/>
  <c r="F198" i="10"/>
  <c r="G198" i="10"/>
  <c r="H198" i="10"/>
  <c r="K198" i="10"/>
  <c r="L198" i="10"/>
  <c r="M198" i="10"/>
  <c r="N198" i="10"/>
  <c r="R198" i="10" s="1"/>
  <c r="O198" i="10"/>
  <c r="Q198" i="10"/>
  <c r="U198" i="10"/>
  <c r="V198" i="10"/>
  <c r="X198" i="10"/>
  <c r="A199" i="10"/>
  <c r="B199" i="10"/>
  <c r="D199" i="10"/>
  <c r="E199" i="10"/>
  <c r="F199" i="10"/>
  <c r="G199" i="10"/>
  <c r="H199" i="10"/>
  <c r="K199" i="10"/>
  <c r="L199" i="10"/>
  <c r="M199" i="10"/>
  <c r="N199" i="10"/>
  <c r="R199" i="10" s="1"/>
  <c r="O199" i="10"/>
  <c r="Q199" i="10"/>
  <c r="U199" i="10"/>
  <c r="V199" i="10"/>
  <c r="X199" i="10"/>
  <c r="A200" i="10"/>
  <c r="B200" i="10"/>
  <c r="D200" i="10"/>
  <c r="E200" i="10"/>
  <c r="F200" i="10"/>
  <c r="G200" i="10"/>
  <c r="H200" i="10"/>
  <c r="K200" i="10"/>
  <c r="L200" i="10"/>
  <c r="M200" i="10"/>
  <c r="N200" i="10"/>
  <c r="R200" i="10" s="1"/>
  <c r="O200" i="10"/>
  <c r="Q200" i="10"/>
  <c r="U200" i="10"/>
  <c r="V200" i="10"/>
  <c r="X200" i="10"/>
  <c r="A201" i="10"/>
  <c r="B201" i="10"/>
  <c r="D201" i="10"/>
  <c r="E201" i="10"/>
  <c r="F201" i="10"/>
  <c r="G201" i="10"/>
  <c r="H201" i="10"/>
  <c r="K201" i="10"/>
  <c r="L201" i="10"/>
  <c r="M201" i="10"/>
  <c r="N201" i="10"/>
  <c r="R201" i="10" s="1"/>
  <c r="O201" i="10"/>
  <c r="Q201" i="10"/>
  <c r="U201" i="10"/>
  <c r="V201" i="10"/>
  <c r="X201" i="10"/>
  <c r="A202" i="10"/>
  <c r="B202" i="10"/>
  <c r="D202" i="10"/>
  <c r="E202" i="10"/>
  <c r="F202" i="10"/>
  <c r="G202" i="10"/>
  <c r="H202" i="10"/>
  <c r="K202" i="10"/>
  <c r="L202" i="10"/>
  <c r="M202" i="10"/>
  <c r="N202" i="10"/>
  <c r="O202" i="10"/>
  <c r="Q202" i="10"/>
  <c r="R202" i="10"/>
  <c r="U202" i="10"/>
  <c r="V202" i="10"/>
  <c r="X202" i="10"/>
  <c r="A203" i="10"/>
  <c r="B203" i="10"/>
  <c r="D203" i="10"/>
  <c r="E203" i="10"/>
  <c r="F203" i="10"/>
  <c r="G203" i="10"/>
  <c r="H203" i="10"/>
  <c r="K203" i="10"/>
  <c r="L203" i="10"/>
  <c r="M203" i="10"/>
  <c r="N203" i="10"/>
  <c r="O203" i="10"/>
  <c r="Q203" i="10"/>
  <c r="R203" i="10"/>
  <c r="U203" i="10"/>
  <c r="V203" i="10"/>
  <c r="X203" i="10"/>
  <c r="A204" i="10"/>
  <c r="B204" i="10"/>
  <c r="D204" i="10"/>
  <c r="E204" i="10"/>
  <c r="F204" i="10"/>
  <c r="G204" i="10"/>
  <c r="H204" i="10"/>
  <c r="K204" i="10"/>
  <c r="L204" i="10"/>
  <c r="M204" i="10"/>
  <c r="N204" i="10"/>
  <c r="O204" i="10"/>
  <c r="Q204" i="10"/>
  <c r="R204" i="10"/>
  <c r="U204" i="10"/>
  <c r="V204" i="10"/>
  <c r="X204" i="10"/>
  <c r="A205" i="10"/>
  <c r="B205" i="10"/>
  <c r="D205" i="10"/>
  <c r="E205" i="10"/>
  <c r="F205" i="10"/>
  <c r="G205" i="10"/>
  <c r="H205" i="10"/>
  <c r="K205" i="10"/>
  <c r="L205" i="10"/>
  <c r="M205" i="10"/>
  <c r="N205" i="10"/>
  <c r="O205" i="10"/>
  <c r="Q205" i="10"/>
  <c r="R205" i="10"/>
  <c r="U205" i="10"/>
  <c r="V205" i="10"/>
  <c r="X205" i="10"/>
  <c r="A206" i="10"/>
  <c r="B206" i="10"/>
  <c r="D206" i="10"/>
  <c r="E206" i="10"/>
  <c r="F206" i="10"/>
  <c r="G206" i="10"/>
  <c r="H206" i="10"/>
  <c r="K206" i="10"/>
  <c r="L206" i="10"/>
  <c r="M206" i="10"/>
  <c r="N206" i="10"/>
  <c r="R206" i="10" s="1"/>
  <c r="O206" i="10"/>
  <c r="Q206" i="10"/>
  <c r="U206" i="10"/>
  <c r="V206" i="10"/>
  <c r="X206" i="10"/>
  <c r="A207" i="10"/>
  <c r="B207" i="10"/>
  <c r="D207" i="10"/>
  <c r="E207" i="10"/>
  <c r="F207" i="10"/>
  <c r="G207" i="10"/>
  <c r="H207" i="10"/>
  <c r="K207" i="10"/>
  <c r="L207" i="10"/>
  <c r="M207" i="10"/>
  <c r="N207" i="10"/>
  <c r="R207" i="10" s="1"/>
  <c r="O207" i="10"/>
  <c r="Q207" i="10"/>
  <c r="U207" i="10"/>
  <c r="V207" i="10"/>
  <c r="X207" i="10"/>
  <c r="A208" i="10"/>
  <c r="B208" i="10"/>
  <c r="D208" i="10"/>
  <c r="E208" i="10"/>
  <c r="F208" i="10"/>
  <c r="G208" i="10"/>
  <c r="H208" i="10"/>
  <c r="K208" i="10"/>
  <c r="L208" i="10"/>
  <c r="M208" i="10"/>
  <c r="N208" i="10"/>
  <c r="R208" i="10" s="1"/>
  <c r="O208" i="10"/>
  <c r="Q208" i="10"/>
  <c r="U208" i="10"/>
  <c r="V208" i="10"/>
  <c r="X208" i="10"/>
  <c r="A209" i="10"/>
  <c r="B209" i="10"/>
  <c r="D209" i="10"/>
  <c r="E209" i="10"/>
  <c r="F209" i="10"/>
  <c r="G209" i="10"/>
  <c r="H209" i="10"/>
  <c r="K209" i="10"/>
  <c r="L209" i="10"/>
  <c r="M209" i="10"/>
  <c r="N209" i="10"/>
  <c r="R209" i="10" s="1"/>
  <c r="O209" i="10"/>
  <c r="Q209" i="10"/>
  <c r="U209" i="10"/>
  <c r="V209" i="10"/>
  <c r="X209" i="10"/>
  <c r="A210" i="10"/>
  <c r="B210" i="10"/>
  <c r="D210" i="10"/>
  <c r="E210" i="10"/>
  <c r="F210" i="10"/>
  <c r="G210" i="10"/>
  <c r="H210" i="10"/>
  <c r="K210" i="10"/>
  <c r="L210" i="10"/>
  <c r="M210" i="10"/>
  <c r="N210" i="10"/>
  <c r="O210" i="10"/>
  <c r="Q210" i="10"/>
  <c r="R210" i="10"/>
  <c r="U210" i="10"/>
  <c r="V210" i="10"/>
  <c r="X210" i="10"/>
  <c r="A211" i="10"/>
  <c r="B211" i="10"/>
  <c r="D211" i="10"/>
  <c r="E211" i="10"/>
  <c r="F211" i="10"/>
  <c r="G211" i="10"/>
  <c r="H211" i="10"/>
  <c r="K211" i="10"/>
  <c r="L211" i="10"/>
  <c r="M211" i="10"/>
  <c r="N211" i="10"/>
  <c r="O211" i="10"/>
  <c r="Q211" i="10"/>
  <c r="R211" i="10"/>
  <c r="U211" i="10"/>
  <c r="V211" i="10"/>
  <c r="X211" i="10"/>
  <c r="A212" i="10"/>
  <c r="B212" i="10"/>
  <c r="D212" i="10"/>
  <c r="E212" i="10"/>
  <c r="F212" i="10"/>
  <c r="G212" i="10"/>
  <c r="H212" i="10"/>
  <c r="K212" i="10"/>
  <c r="L212" i="10"/>
  <c r="M212" i="10"/>
  <c r="N212" i="10"/>
  <c r="O212" i="10"/>
  <c r="Q212" i="10"/>
  <c r="R212" i="10"/>
  <c r="U212" i="10"/>
  <c r="V212" i="10"/>
  <c r="X212" i="10"/>
  <c r="A213" i="10"/>
  <c r="B213" i="10"/>
  <c r="D213" i="10"/>
  <c r="E213" i="10"/>
  <c r="F213" i="10"/>
  <c r="G213" i="10"/>
  <c r="H213" i="10"/>
  <c r="K213" i="10"/>
  <c r="L213" i="10"/>
  <c r="M213" i="10"/>
  <c r="N213" i="10"/>
  <c r="O213" i="10"/>
  <c r="Q213" i="10"/>
  <c r="R213" i="10"/>
  <c r="U213" i="10"/>
  <c r="V213" i="10"/>
  <c r="X213" i="10"/>
  <c r="A214" i="10"/>
  <c r="B214" i="10"/>
  <c r="D214" i="10"/>
  <c r="E214" i="10"/>
  <c r="F214" i="10"/>
  <c r="G214" i="10"/>
  <c r="H214" i="10"/>
  <c r="K214" i="10"/>
  <c r="L214" i="10"/>
  <c r="M214" i="10"/>
  <c r="N214" i="10"/>
  <c r="R214" i="10" s="1"/>
  <c r="O214" i="10"/>
  <c r="Q214" i="10"/>
  <c r="U214" i="10"/>
  <c r="V214" i="10"/>
  <c r="X214" i="10"/>
  <c r="A215" i="10"/>
  <c r="B215" i="10"/>
  <c r="D215" i="10"/>
  <c r="E215" i="10"/>
  <c r="F215" i="10"/>
  <c r="G215" i="10"/>
  <c r="H215" i="10"/>
  <c r="K215" i="10"/>
  <c r="L215" i="10"/>
  <c r="M215" i="10"/>
  <c r="N215" i="10"/>
  <c r="R215" i="10" s="1"/>
  <c r="O215" i="10"/>
  <c r="Q215" i="10"/>
  <c r="U215" i="10"/>
  <c r="V215" i="10"/>
  <c r="X215" i="10"/>
  <c r="A216" i="10"/>
  <c r="B216" i="10"/>
  <c r="D216" i="10"/>
  <c r="E216" i="10"/>
  <c r="F216" i="10"/>
  <c r="G216" i="10"/>
  <c r="H216" i="10"/>
  <c r="K216" i="10"/>
  <c r="L216" i="10"/>
  <c r="M216" i="10"/>
  <c r="N216" i="10"/>
  <c r="R216" i="10" s="1"/>
  <c r="O216" i="10"/>
  <c r="Q216" i="10"/>
  <c r="U216" i="10"/>
  <c r="V216" i="10"/>
  <c r="X216" i="10"/>
  <c r="A217" i="10"/>
  <c r="B217" i="10"/>
  <c r="D217" i="10"/>
  <c r="E217" i="10"/>
  <c r="F217" i="10"/>
  <c r="G217" i="10"/>
  <c r="H217" i="10"/>
  <c r="K217" i="10"/>
  <c r="L217" i="10"/>
  <c r="M217" i="10"/>
  <c r="N217" i="10"/>
  <c r="R217" i="10" s="1"/>
  <c r="O217" i="10"/>
  <c r="Q217" i="10"/>
  <c r="U217" i="10"/>
  <c r="V217" i="10"/>
  <c r="X217" i="10"/>
  <c r="A218" i="10"/>
  <c r="B218" i="10"/>
  <c r="D218" i="10"/>
  <c r="E218" i="10"/>
  <c r="F218" i="10"/>
  <c r="G218" i="10"/>
  <c r="H218" i="10"/>
  <c r="K218" i="10"/>
  <c r="L218" i="10"/>
  <c r="M218" i="10"/>
  <c r="N218" i="10"/>
  <c r="O218" i="10"/>
  <c r="Q218" i="10"/>
  <c r="R218" i="10"/>
  <c r="U218" i="10"/>
  <c r="V218" i="10"/>
  <c r="X218" i="10"/>
  <c r="A219" i="10"/>
  <c r="B219" i="10"/>
  <c r="D219" i="10"/>
  <c r="E219" i="10"/>
  <c r="F219" i="10"/>
  <c r="G219" i="10"/>
  <c r="H219" i="10"/>
  <c r="K219" i="10"/>
  <c r="L219" i="10"/>
  <c r="M219" i="10"/>
  <c r="N219" i="10"/>
  <c r="O219" i="10"/>
  <c r="Q219" i="10"/>
  <c r="R219" i="10"/>
  <c r="U219" i="10"/>
  <c r="V219" i="10"/>
  <c r="X219" i="10"/>
  <c r="A220" i="10"/>
  <c r="B220" i="10"/>
  <c r="D220" i="10"/>
  <c r="E220" i="10"/>
  <c r="F220" i="10"/>
  <c r="G220" i="10"/>
  <c r="H220" i="10"/>
  <c r="K220" i="10"/>
  <c r="L220" i="10"/>
  <c r="M220" i="10"/>
  <c r="N220" i="10"/>
  <c r="O220" i="10"/>
  <c r="Q220" i="10"/>
  <c r="R220" i="10"/>
  <c r="U220" i="10"/>
  <c r="V220" i="10"/>
  <c r="X220" i="10"/>
  <c r="A221" i="10"/>
  <c r="B221" i="10"/>
  <c r="D221" i="10"/>
  <c r="E221" i="10"/>
  <c r="F221" i="10"/>
  <c r="G221" i="10"/>
  <c r="H221" i="10"/>
  <c r="K221" i="10"/>
  <c r="L221" i="10"/>
  <c r="M221" i="10"/>
  <c r="N221" i="10"/>
  <c r="O221" i="10"/>
  <c r="Q221" i="10"/>
  <c r="R221" i="10"/>
  <c r="U221" i="10"/>
  <c r="V221" i="10"/>
  <c r="X221" i="10"/>
  <c r="A222" i="10"/>
  <c r="B222" i="10"/>
  <c r="D222" i="10"/>
  <c r="E222" i="10"/>
  <c r="F222" i="10"/>
  <c r="G222" i="10"/>
  <c r="H222" i="10"/>
  <c r="K222" i="10"/>
  <c r="L222" i="10"/>
  <c r="M222" i="10"/>
  <c r="N222" i="10"/>
  <c r="R222" i="10" s="1"/>
  <c r="O222" i="10"/>
  <c r="Q222" i="10"/>
  <c r="U222" i="10"/>
  <c r="V222" i="10"/>
  <c r="X222" i="10"/>
  <c r="A223" i="10"/>
  <c r="B223" i="10"/>
  <c r="D223" i="10"/>
  <c r="E223" i="10"/>
  <c r="F223" i="10"/>
  <c r="G223" i="10"/>
  <c r="H223" i="10"/>
  <c r="K223" i="10"/>
  <c r="L223" i="10"/>
  <c r="M223" i="10"/>
  <c r="N223" i="10"/>
  <c r="R223" i="10" s="1"/>
  <c r="O223" i="10"/>
  <c r="Q223" i="10"/>
  <c r="U223" i="10"/>
  <c r="V223" i="10"/>
  <c r="X223" i="10"/>
  <c r="A224" i="10"/>
  <c r="B224" i="10"/>
  <c r="D224" i="10"/>
  <c r="E224" i="10"/>
  <c r="F224" i="10"/>
  <c r="G224" i="10"/>
  <c r="H224" i="10"/>
  <c r="K224" i="10"/>
  <c r="L224" i="10"/>
  <c r="M224" i="10"/>
  <c r="N224" i="10"/>
  <c r="R224" i="10" s="1"/>
  <c r="O224" i="10"/>
  <c r="Q224" i="10"/>
  <c r="U224" i="10"/>
  <c r="V224" i="10"/>
  <c r="X224" i="10"/>
  <c r="A225" i="10"/>
  <c r="B225" i="10"/>
  <c r="D225" i="10"/>
  <c r="E225" i="10"/>
  <c r="F225" i="10"/>
  <c r="G225" i="10"/>
  <c r="H225" i="10"/>
  <c r="K225" i="10"/>
  <c r="L225" i="10"/>
  <c r="M225" i="10"/>
  <c r="N225" i="10"/>
  <c r="O225" i="10"/>
  <c r="Q225" i="10"/>
  <c r="R225" i="10"/>
  <c r="U225" i="10"/>
  <c r="V225" i="10"/>
  <c r="X225" i="10"/>
  <c r="A226" i="10"/>
  <c r="B226" i="10"/>
  <c r="D226" i="10"/>
  <c r="E226" i="10"/>
  <c r="F226" i="10"/>
  <c r="G226" i="10"/>
  <c r="H226" i="10"/>
  <c r="K226" i="10"/>
  <c r="L226" i="10"/>
  <c r="M226" i="10"/>
  <c r="N226" i="10"/>
  <c r="O226" i="10"/>
  <c r="Q226" i="10"/>
  <c r="R226" i="10"/>
  <c r="U226" i="10"/>
  <c r="V226" i="10"/>
  <c r="X226" i="10"/>
  <c r="A227" i="10"/>
  <c r="B227" i="10"/>
  <c r="D227" i="10"/>
  <c r="E227" i="10"/>
  <c r="F227" i="10"/>
  <c r="G227" i="10"/>
  <c r="H227" i="10"/>
  <c r="K227" i="10"/>
  <c r="L227" i="10"/>
  <c r="M227" i="10"/>
  <c r="N227" i="10"/>
  <c r="O227" i="10"/>
  <c r="Q227" i="10"/>
  <c r="R227" i="10"/>
  <c r="U227" i="10"/>
  <c r="V227" i="10"/>
  <c r="X227" i="10"/>
  <c r="A228" i="10"/>
  <c r="B228" i="10"/>
  <c r="D228" i="10"/>
  <c r="E228" i="10"/>
  <c r="F228" i="10"/>
  <c r="G228" i="10"/>
  <c r="H228" i="10"/>
  <c r="K228" i="10"/>
  <c r="L228" i="10"/>
  <c r="M228" i="10"/>
  <c r="N228" i="10"/>
  <c r="O228" i="10"/>
  <c r="Q228" i="10"/>
  <c r="R228" i="10"/>
  <c r="U228" i="10"/>
  <c r="V228" i="10"/>
  <c r="X228" i="10"/>
  <c r="A229" i="10"/>
  <c r="B229" i="10"/>
  <c r="D229" i="10"/>
  <c r="E229" i="10"/>
  <c r="F229" i="10"/>
  <c r="G229" i="10"/>
  <c r="H229" i="10"/>
  <c r="K229" i="10"/>
  <c r="L229" i="10"/>
  <c r="M229" i="10"/>
  <c r="N229" i="10"/>
  <c r="O229" i="10"/>
  <c r="Q229" i="10"/>
  <c r="R229" i="10"/>
  <c r="U229" i="10"/>
  <c r="V229" i="10"/>
  <c r="X229" i="10"/>
  <c r="A230" i="10"/>
  <c r="B230" i="10"/>
  <c r="D230" i="10"/>
  <c r="E230" i="10"/>
  <c r="F230" i="10"/>
  <c r="G230" i="10"/>
  <c r="H230" i="10"/>
  <c r="K230" i="10"/>
  <c r="L230" i="10"/>
  <c r="M230" i="10"/>
  <c r="N230" i="10"/>
  <c r="R230" i="10" s="1"/>
  <c r="O230" i="10"/>
  <c r="Q230" i="10"/>
  <c r="U230" i="10"/>
  <c r="V230" i="10"/>
  <c r="X230" i="10"/>
  <c r="A231" i="10"/>
  <c r="B231" i="10"/>
  <c r="D231" i="10"/>
  <c r="E231" i="10"/>
  <c r="F231" i="10"/>
  <c r="G231" i="10"/>
  <c r="H231" i="10"/>
  <c r="K231" i="10"/>
  <c r="L231" i="10"/>
  <c r="M231" i="10"/>
  <c r="N231" i="10"/>
  <c r="R231" i="10" s="1"/>
  <c r="O231" i="10"/>
  <c r="Q231" i="10"/>
  <c r="U231" i="10"/>
  <c r="V231" i="10"/>
  <c r="X231" i="10"/>
  <c r="A232" i="10"/>
  <c r="B232" i="10"/>
  <c r="D232" i="10"/>
  <c r="E232" i="10"/>
  <c r="F232" i="10"/>
  <c r="G232" i="10"/>
  <c r="H232" i="10"/>
  <c r="K232" i="10"/>
  <c r="L232" i="10"/>
  <c r="M232" i="10"/>
  <c r="N232" i="10"/>
  <c r="R232" i="10" s="1"/>
  <c r="O232" i="10"/>
  <c r="Q232" i="10"/>
  <c r="U232" i="10"/>
  <c r="V232" i="10"/>
  <c r="X232" i="10"/>
  <c r="A233" i="10"/>
  <c r="B233" i="10"/>
  <c r="D233" i="10"/>
  <c r="E233" i="10"/>
  <c r="F233" i="10"/>
  <c r="G233" i="10"/>
  <c r="H233" i="10"/>
  <c r="K233" i="10"/>
  <c r="L233" i="10"/>
  <c r="M233" i="10"/>
  <c r="N233" i="10"/>
  <c r="R233" i="10" s="1"/>
  <c r="O233" i="10"/>
  <c r="Q233" i="10"/>
  <c r="U233" i="10"/>
  <c r="V233" i="10"/>
  <c r="X233" i="10"/>
  <c r="A234" i="10"/>
  <c r="B234" i="10"/>
  <c r="D234" i="10"/>
  <c r="E234" i="10"/>
  <c r="F234" i="10"/>
  <c r="G234" i="10"/>
  <c r="H234" i="10"/>
  <c r="K234" i="10"/>
  <c r="L234" i="10"/>
  <c r="M234" i="10"/>
  <c r="N234" i="10"/>
  <c r="R234" i="10" s="1"/>
  <c r="O234" i="10"/>
  <c r="Q234" i="10"/>
  <c r="U234" i="10"/>
  <c r="V234" i="10"/>
  <c r="X234" i="10"/>
  <c r="A235" i="10"/>
  <c r="B235" i="10"/>
  <c r="D235" i="10"/>
  <c r="E235" i="10"/>
  <c r="F235" i="10"/>
  <c r="G235" i="10"/>
  <c r="H235" i="10"/>
  <c r="K235" i="10"/>
  <c r="L235" i="10"/>
  <c r="M235" i="10"/>
  <c r="N235" i="10"/>
  <c r="O235" i="10"/>
  <c r="Q235" i="10"/>
  <c r="R235" i="10"/>
  <c r="U235" i="10"/>
  <c r="V235" i="10"/>
  <c r="X235" i="10"/>
  <c r="A236" i="10"/>
  <c r="B236" i="10"/>
  <c r="D236" i="10"/>
  <c r="E236" i="10"/>
  <c r="F236" i="10"/>
  <c r="G236" i="10"/>
  <c r="H236" i="10"/>
  <c r="K236" i="10"/>
  <c r="L236" i="10"/>
  <c r="M236" i="10"/>
  <c r="N236" i="10"/>
  <c r="O236" i="10"/>
  <c r="Q236" i="10"/>
  <c r="R236" i="10"/>
  <c r="U236" i="10"/>
  <c r="V236" i="10"/>
  <c r="X236" i="10"/>
  <c r="A237" i="10"/>
  <c r="B237" i="10"/>
  <c r="D237" i="10"/>
  <c r="E237" i="10"/>
  <c r="F237" i="10"/>
  <c r="G237" i="10"/>
  <c r="H237" i="10"/>
  <c r="K237" i="10"/>
  <c r="L237" i="10"/>
  <c r="M237" i="10"/>
  <c r="N237" i="10"/>
  <c r="O237" i="10"/>
  <c r="Q237" i="10"/>
  <c r="R237" i="10"/>
  <c r="U237" i="10"/>
  <c r="V237" i="10"/>
  <c r="X237" i="10"/>
  <c r="A238" i="10"/>
  <c r="B238" i="10"/>
  <c r="D238" i="10"/>
  <c r="E238" i="10"/>
  <c r="F238" i="10"/>
  <c r="G238" i="10"/>
  <c r="H238" i="10"/>
  <c r="K238" i="10"/>
  <c r="L238" i="10"/>
  <c r="M238" i="10"/>
  <c r="N238" i="10"/>
  <c r="O238" i="10"/>
  <c r="Q238" i="10"/>
  <c r="R238" i="10"/>
  <c r="U238" i="10"/>
  <c r="V238" i="10"/>
  <c r="X238" i="10"/>
  <c r="A239" i="10"/>
  <c r="B239" i="10"/>
  <c r="D239" i="10"/>
  <c r="E239" i="10"/>
  <c r="F239" i="10"/>
  <c r="G239" i="10"/>
  <c r="H239" i="10"/>
  <c r="K239" i="10"/>
  <c r="L239" i="10"/>
  <c r="M239" i="10"/>
  <c r="N239" i="10"/>
  <c r="R239" i="10" s="1"/>
  <c r="O239" i="10"/>
  <c r="Q239" i="10"/>
  <c r="U239" i="10"/>
  <c r="V239" i="10"/>
  <c r="X239" i="10"/>
  <c r="A240" i="10"/>
  <c r="B240" i="10"/>
  <c r="D240" i="10"/>
  <c r="E240" i="10"/>
  <c r="F240" i="10"/>
  <c r="G240" i="10"/>
  <c r="H240" i="10"/>
  <c r="K240" i="10"/>
  <c r="L240" i="10"/>
  <c r="M240" i="10"/>
  <c r="N240" i="10"/>
  <c r="R240" i="10" s="1"/>
  <c r="O240" i="10"/>
  <c r="Q240" i="10"/>
  <c r="U240" i="10"/>
  <c r="V240" i="10"/>
  <c r="X240" i="10"/>
  <c r="A241" i="10"/>
  <c r="B241" i="10"/>
  <c r="D241" i="10"/>
  <c r="E241" i="10"/>
  <c r="F241" i="10"/>
  <c r="G241" i="10"/>
  <c r="H241" i="10"/>
  <c r="K241" i="10"/>
  <c r="L241" i="10"/>
  <c r="M241" i="10"/>
  <c r="N241" i="10"/>
  <c r="R241" i="10" s="1"/>
  <c r="O241" i="10"/>
  <c r="Q241" i="10"/>
  <c r="U241" i="10"/>
  <c r="V241" i="10"/>
  <c r="X241" i="10"/>
  <c r="A242" i="10"/>
  <c r="B242" i="10"/>
  <c r="M242" i="10" s="1"/>
  <c r="D242" i="10"/>
  <c r="E242" i="10"/>
  <c r="F242" i="10"/>
  <c r="G242" i="10"/>
  <c r="H242" i="10"/>
  <c r="K242" i="10"/>
  <c r="L242" i="10"/>
  <c r="N242" i="10"/>
  <c r="R242" i="10" s="1"/>
  <c r="O242" i="10"/>
  <c r="Q242" i="10"/>
  <c r="U242" i="10"/>
  <c r="V242" i="10"/>
  <c r="X242" i="10"/>
  <c r="A243" i="10"/>
  <c r="B243" i="10"/>
  <c r="D243" i="10"/>
  <c r="E243" i="10"/>
  <c r="F243" i="10"/>
  <c r="G243" i="10"/>
  <c r="H243" i="10"/>
  <c r="K243" i="10"/>
  <c r="L243" i="10"/>
  <c r="M243" i="10"/>
  <c r="N243" i="10"/>
  <c r="O243" i="10"/>
  <c r="Q243" i="10"/>
  <c r="R243" i="10"/>
  <c r="U243" i="10"/>
  <c r="V243" i="10"/>
  <c r="X243" i="10"/>
  <c r="A244" i="10"/>
  <c r="B244" i="10"/>
  <c r="D244" i="10"/>
  <c r="E244" i="10"/>
  <c r="F244" i="10"/>
  <c r="G244" i="10"/>
  <c r="H244" i="10"/>
  <c r="K244" i="10"/>
  <c r="L244" i="10"/>
  <c r="M244" i="10"/>
  <c r="N244" i="10"/>
  <c r="O244" i="10"/>
  <c r="Q244" i="10"/>
  <c r="R244" i="10"/>
  <c r="U244" i="10"/>
  <c r="V244" i="10"/>
  <c r="X244" i="10"/>
  <c r="A245" i="10"/>
  <c r="B245" i="10"/>
  <c r="D245" i="10"/>
  <c r="E245" i="10"/>
  <c r="F245" i="10"/>
  <c r="G245" i="10"/>
  <c r="H245" i="10"/>
  <c r="K245" i="10"/>
  <c r="L245" i="10"/>
  <c r="M245" i="10"/>
  <c r="N245" i="10"/>
  <c r="O245" i="10"/>
  <c r="Q245" i="10"/>
  <c r="R245" i="10"/>
  <c r="U245" i="10"/>
  <c r="V245" i="10"/>
  <c r="X245" i="10"/>
  <c r="A246" i="10"/>
  <c r="B246" i="10"/>
  <c r="D246" i="10"/>
  <c r="E246" i="10"/>
  <c r="F246" i="10"/>
  <c r="G246" i="10"/>
  <c r="H246" i="10"/>
  <c r="K246" i="10"/>
  <c r="L246" i="10"/>
  <c r="M246" i="10"/>
  <c r="N246" i="10"/>
  <c r="O246" i="10"/>
  <c r="Q246" i="10"/>
  <c r="R246" i="10"/>
  <c r="U246" i="10"/>
  <c r="V246" i="10"/>
  <c r="X246" i="10"/>
  <c r="A247" i="10"/>
  <c r="B247" i="10"/>
  <c r="D247" i="10"/>
  <c r="E247" i="10"/>
  <c r="F247" i="10"/>
  <c r="G247" i="10"/>
  <c r="H247" i="10"/>
  <c r="K247" i="10"/>
  <c r="L247" i="10"/>
  <c r="M247" i="10"/>
  <c r="N247" i="10"/>
  <c r="R247" i="10" s="1"/>
  <c r="O247" i="10"/>
  <c r="Q247" i="10"/>
  <c r="U247" i="10"/>
  <c r="V247" i="10"/>
  <c r="X247" i="10"/>
  <c r="A248" i="10"/>
  <c r="B248" i="10"/>
  <c r="D248" i="10"/>
  <c r="E248" i="10"/>
  <c r="F248" i="10"/>
  <c r="G248" i="10"/>
  <c r="H248" i="10"/>
  <c r="K248" i="10"/>
  <c r="L248" i="10"/>
  <c r="M248" i="10"/>
  <c r="N248" i="10"/>
  <c r="R248" i="10" s="1"/>
  <c r="O248" i="10"/>
  <c r="Q248" i="10"/>
  <c r="U248" i="10"/>
  <c r="V248" i="10"/>
  <c r="X248" i="10"/>
  <c r="A249" i="10"/>
  <c r="B249" i="10"/>
  <c r="D249" i="10"/>
  <c r="E249" i="10"/>
  <c r="F249" i="10"/>
  <c r="G249" i="10"/>
  <c r="H249" i="10"/>
  <c r="K249" i="10"/>
  <c r="L249" i="10"/>
  <c r="M249" i="10"/>
  <c r="N249" i="10"/>
  <c r="R249" i="10" s="1"/>
  <c r="O249" i="10"/>
  <c r="Q249" i="10"/>
  <c r="U249" i="10"/>
  <c r="V249" i="10"/>
  <c r="X249" i="10"/>
  <c r="A250" i="10"/>
  <c r="B250" i="10"/>
  <c r="D250" i="10"/>
  <c r="E250" i="10"/>
  <c r="F250" i="10"/>
  <c r="G250" i="10"/>
  <c r="H250" i="10"/>
  <c r="K250" i="10"/>
  <c r="L250" i="10"/>
  <c r="M250" i="10"/>
  <c r="N250" i="10"/>
  <c r="O250" i="10"/>
  <c r="Q250" i="10"/>
  <c r="R250" i="10"/>
  <c r="U250" i="10"/>
  <c r="V250" i="10"/>
  <c r="X250" i="10"/>
  <c r="A251" i="10"/>
  <c r="B251" i="10"/>
  <c r="D251" i="10"/>
  <c r="E251" i="10"/>
  <c r="F251" i="10"/>
  <c r="G251" i="10"/>
  <c r="H251" i="10"/>
  <c r="K251" i="10"/>
  <c r="L251" i="10"/>
  <c r="M251" i="10"/>
  <c r="N251" i="10"/>
  <c r="O251" i="10"/>
  <c r="Q251" i="10"/>
  <c r="R251" i="10"/>
  <c r="U251" i="10"/>
  <c r="V251" i="10"/>
  <c r="X251" i="10"/>
  <c r="A252" i="10"/>
  <c r="B252" i="10"/>
  <c r="D252" i="10"/>
  <c r="E252" i="10"/>
  <c r="F252" i="10"/>
  <c r="G252" i="10"/>
  <c r="H252" i="10"/>
  <c r="K252" i="10"/>
  <c r="L252" i="10"/>
  <c r="M252" i="10"/>
  <c r="N252" i="10"/>
  <c r="O252" i="10"/>
  <c r="Q252" i="10"/>
  <c r="R252" i="10"/>
  <c r="U252" i="10"/>
  <c r="V252" i="10"/>
  <c r="X252" i="10"/>
  <c r="A253" i="10"/>
  <c r="B253" i="10"/>
  <c r="D253" i="10"/>
  <c r="E253" i="10"/>
  <c r="F253" i="10"/>
  <c r="G253" i="10"/>
  <c r="H253" i="10"/>
  <c r="K253" i="10"/>
  <c r="L253" i="10"/>
  <c r="M253" i="10"/>
  <c r="N253" i="10"/>
  <c r="R253" i="10" s="1"/>
  <c r="O253" i="10"/>
  <c r="Q253" i="10"/>
  <c r="U253" i="10"/>
  <c r="V253" i="10"/>
  <c r="X253" i="10"/>
  <c r="A254" i="10"/>
  <c r="B254" i="10"/>
  <c r="D254" i="10"/>
  <c r="E254" i="10"/>
  <c r="F254" i="10"/>
  <c r="G254" i="10"/>
  <c r="H254" i="10"/>
  <c r="K254" i="10"/>
  <c r="L254" i="10"/>
  <c r="M254" i="10"/>
  <c r="N254" i="10"/>
  <c r="O254" i="10"/>
  <c r="Q254" i="10"/>
  <c r="R254" i="10"/>
  <c r="U254" i="10"/>
  <c r="V254" i="10"/>
  <c r="X254" i="10"/>
  <c r="A255" i="10"/>
  <c r="B255" i="10"/>
  <c r="D255" i="10"/>
  <c r="E255" i="10"/>
  <c r="F255" i="10"/>
  <c r="G255" i="10"/>
  <c r="H255" i="10"/>
  <c r="K255" i="10"/>
  <c r="L255" i="10"/>
  <c r="M255" i="10"/>
  <c r="N255" i="10"/>
  <c r="O255" i="10"/>
  <c r="Q255" i="10"/>
  <c r="R255" i="10"/>
  <c r="U255" i="10"/>
  <c r="V255" i="10"/>
  <c r="X255" i="10"/>
  <c r="A256" i="10"/>
  <c r="B256" i="10"/>
  <c r="D256" i="10"/>
  <c r="E256" i="10"/>
  <c r="F256" i="10"/>
  <c r="G256" i="10"/>
  <c r="H256" i="10"/>
  <c r="K256" i="10"/>
  <c r="L256" i="10"/>
  <c r="M256" i="10"/>
  <c r="N256" i="10"/>
  <c r="R256" i="10" s="1"/>
  <c r="O256" i="10"/>
  <c r="Q256" i="10"/>
  <c r="U256" i="10"/>
  <c r="V256" i="10"/>
  <c r="X256" i="10"/>
  <c r="A257" i="10"/>
  <c r="B257" i="10"/>
  <c r="D257" i="10"/>
  <c r="E257" i="10"/>
  <c r="F257" i="10"/>
  <c r="G257" i="10"/>
  <c r="H257" i="10"/>
  <c r="K257" i="10"/>
  <c r="L257" i="10"/>
  <c r="M257" i="10"/>
  <c r="N257" i="10"/>
  <c r="R257" i="10" s="1"/>
  <c r="O257" i="10"/>
  <c r="Q257" i="10"/>
  <c r="U257" i="10"/>
  <c r="V257" i="10"/>
  <c r="X257" i="10"/>
  <c r="A258" i="10"/>
  <c r="B258" i="10"/>
  <c r="D258" i="10"/>
  <c r="E258" i="10"/>
  <c r="F258" i="10"/>
  <c r="G258" i="10"/>
  <c r="H258" i="10"/>
  <c r="K258" i="10"/>
  <c r="L258" i="10"/>
  <c r="M258" i="10"/>
  <c r="N258" i="10"/>
  <c r="O258" i="10"/>
  <c r="Q258" i="10"/>
  <c r="R258" i="10"/>
  <c r="U258" i="10"/>
  <c r="V258" i="10"/>
  <c r="X258" i="10"/>
  <c r="A259" i="10"/>
  <c r="B259" i="10"/>
  <c r="D259" i="10"/>
  <c r="E259" i="10"/>
  <c r="F259" i="10"/>
  <c r="G259" i="10"/>
  <c r="H259" i="10"/>
  <c r="K259" i="10"/>
  <c r="L259" i="10"/>
  <c r="M259" i="10"/>
  <c r="N259" i="10"/>
  <c r="O259" i="10"/>
  <c r="Q259" i="10"/>
  <c r="R259" i="10"/>
  <c r="U259" i="10"/>
  <c r="V259" i="10"/>
  <c r="X259" i="10"/>
  <c r="A260" i="10"/>
  <c r="B260" i="10"/>
  <c r="D260" i="10"/>
  <c r="E260" i="10"/>
  <c r="F260" i="10"/>
  <c r="G260" i="10"/>
  <c r="H260" i="10"/>
  <c r="K260" i="10"/>
  <c r="L260" i="10"/>
  <c r="M260" i="10"/>
  <c r="N260" i="10"/>
  <c r="O260" i="10"/>
  <c r="Q260" i="10"/>
  <c r="R260" i="10"/>
  <c r="U260" i="10"/>
  <c r="V260" i="10"/>
  <c r="X260" i="10"/>
  <c r="A261" i="10"/>
  <c r="B261" i="10"/>
  <c r="D261" i="10"/>
  <c r="E261" i="10"/>
  <c r="F261" i="10"/>
  <c r="G261" i="10"/>
  <c r="H261" i="10"/>
  <c r="K261" i="10"/>
  <c r="L261" i="10"/>
  <c r="M261" i="10"/>
  <c r="N261" i="10"/>
  <c r="R261" i="10" s="1"/>
  <c r="O261" i="10"/>
  <c r="Q261" i="10"/>
  <c r="U261" i="10"/>
  <c r="V261" i="10"/>
  <c r="X261" i="10"/>
  <c r="A262" i="10"/>
  <c r="B262" i="10"/>
  <c r="D262" i="10"/>
  <c r="E262" i="10"/>
  <c r="F262" i="10"/>
  <c r="G262" i="10"/>
  <c r="H262" i="10"/>
  <c r="K262" i="10"/>
  <c r="L262" i="10"/>
  <c r="M262" i="10"/>
  <c r="N262" i="10"/>
  <c r="O262" i="10"/>
  <c r="Q262" i="10"/>
  <c r="R262" i="10"/>
  <c r="U262" i="10"/>
  <c r="V262" i="10"/>
  <c r="X262" i="10"/>
  <c r="A263" i="10"/>
  <c r="B263" i="10"/>
  <c r="D263" i="10"/>
  <c r="E263" i="10"/>
  <c r="F263" i="10"/>
  <c r="G263" i="10"/>
  <c r="H263" i="10"/>
  <c r="K263" i="10"/>
  <c r="L263" i="10"/>
  <c r="M263" i="10"/>
  <c r="N263" i="10"/>
  <c r="R263" i="10" s="1"/>
  <c r="O263" i="10"/>
  <c r="Q263" i="10"/>
  <c r="U263" i="10"/>
  <c r="V263" i="10"/>
  <c r="X263" i="10"/>
  <c r="A264" i="10"/>
  <c r="B264" i="10"/>
  <c r="D264" i="10"/>
  <c r="E264" i="10"/>
  <c r="F264" i="10"/>
  <c r="G264" i="10"/>
  <c r="H264" i="10"/>
  <c r="K264" i="10"/>
  <c r="L264" i="10"/>
  <c r="M264" i="10"/>
  <c r="N264" i="10"/>
  <c r="R264" i="10" s="1"/>
  <c r="O264" i="10"/>
  <c r="Q264" i="10"/>
  <c r="U264" i="10"/>
  <c r="V264" i="10"/>
  <c r="X264" i="10"/>
  <c r="A265" i="10"/>
  <c r="B265" i="10"/>
  <c r="D265" i="10"/>
  <c r="E265" i="10"/>
  <c r="F265" i="10"/>
  <c r="G265" i="10"/>
  <c r="H265" i="10"/>
  <c r="K265" i="10"/>
  <c r="L265" i="10"/>
  <c r="M265" i="10"/>
  <c r="N265" i="10"/>
  <c r="R265" i="10" s="1"/>
  <c r="O265" i="10"/>
  <c r="Q265" i="10"/>
  <c r="U265" i="10"/>
  <c r="V265" i="10"/>
  <c r="X265" i="10"/>
  <c r="A266" i="10"/>
  <c r="B266" i="10"/>
  <c r="D266" i="10"/>
  <c r="E266" i="10"/>
  <c r="F266" i="10"/>
  <c r="G266" i="10"/>
  <c r="H266" i="10"/>
  <c r="K266" i="10"/>
  <c r="L266" i="10"/>
  <c r="M266" i="10"/>
  <c r="N266" i="10"/>
  <c r="R266" i="10" s="1"/>
  <c r="O266" i="10"/>
  <c r="Q266" i="10"/>
  <c r="U266" i="10"/>
  <c r="V266" i="10"/>
  <c r="X266" i="10"/>
  <c r="A267" i="10"/>
  <c r="B267" i="10"/>
  <c r="D267" i="10"/>
  <c r="E267" i="10"/>
  <c r="F267" i="10"/>
  <c r="G267" i="10"/>
  <c r="H267" i="10"/>
  <c r="K267" i="10"/>
  <c r="L267" i="10"/>
  <c r="M267" i="10"/>
  <c r="N267" i="10"/>
  <c r="O267" i="10"/>
  <c r="Q267" i="10"/>
  <c r="R267" i="10"/>
  <c r="U267" i="10"/>
  <c r="V267" i="10"/>
  <c r="X267" i="10"/>
  <c r="A268" i="10"/>
  <c r="B268" i="10"/>
  <c r="D268" i="10"/>
  <c r="E268" i="10"/>
  <c r="F268" i="10"/>
  <c r="G268" i="10"/>
  <c r="H268" i="10"/>
  <c r="K268" i="10"/>
  <c r="L268" i="10"/>
  <c r="M268" i="10"/>
  <c r="N268" i="10"/>
  <c r="O268" i="10"/>
  <c r="Q268" i="10"/>
  <c r="R268" i="10"/>
  <c r="U268" i="10"/>
  <c r="V268" i="10"/>
  <c r="X268" i="10"/>
  <c r="A269" i="10"/>
  <c r="B269" i="10"/>
  <c r="D269" i="10"/>
  <c r="E269" i="10"/>
  <c r="F269" i="10"/>
  <c r="G269" i="10"/>
  <c r="H269" i="10"/>
  <c r="K269" i="10"/>
  <c r="L269" i="10"/>
  <c r="M269" i="10"/>
  <c r="N269" i="10"/>
  <c r="R269" i="10" s="1"/>
  <c r="O269" i="10"/>
  <c r="Q269" i="10"/>
  <c r="U269" i="10"/>
  <c r="V269" i="10"/>
  <c r="X269" i="10"/>
  <c r="A270" i="10"/>
  <c r="B270" i="10"/>
  <c r="D270" i="10"/>
  <c r="E270" i="10"/>
  <c r="F270" i="10"/>
  <c r="G270" i="10"/>
  <c r="H270" i="10"/>
  <c r="K270" i="10"/>
  <c r="L270" i="10"/>
  <c r="M270" i="10"/>
  <c r="N270" i="10"/>
  <c r="O270" i="10"/>
  <c r="Q270" i="10"/>
  <c r="R270" i="10"/>
  <c r="U270" i="10"/>
  <c r="V270" i="10"/>
  <c r="X270" i="10"/>
  <c r="A271" i="10"/>
  <c r="B271" i="10"/>
  <c r="D271" i="10"/>
  <c r="E271" i="10"/>
  <c r="F271" i="10"/>
  <c r="G271" i="10"/>
  <c r="H271" i="10"/>
  <c r="K271" i="10"/>
  <c r="L271" i="10"/>
  <c r="M271" i="10"/>
  <c r="N271" i="10"/>
  <c r="R271" i="10" s="1"/>
  <c r="O271" i="10"/>
  <c r="Q271" i="10"/>
  <c r="U271" i="10"/>
  <c r="V271" i="10"/>
  <c r="X271" i="10"/>
  <c r="A272" i="10"/>
  <c r="B272" i="10"/>
  <c r="D272" i="10"/>
  <c r="E272" i="10"/>
  <c r="F272" i="10"/>
  <c r="G272" i="10"/>
  <c r="H272" i="10"/>
  <c r="K272" i="10"/>
  <c r="L272" i="10"/>
  <c r="M272" i="10"/>
  <c r="N272" i="10"/>
  <c r="R272" i="10" s="1"/>
  <c r="O272" i="10"/>
  <c r="Q272" i="10"/>
  <c r="U272" i="10"/>
  <c r="V272" i="10"/>
  <c r="X272" i="10"/>
  <c r="A273" i="10"/>
  <c r="B273" i="10"/>
  <c r="D273" i="10"/>
  <c r="E273" i="10"/>
  <c r="F273" i="10"/>
  <c r="G273" i="10"/>
  <c r="H273" i="10"/>
  <c r="K273" i="10"/>
  <c r="L273" i="10"/>
  <c r="M273" i="10"/>
  <c r="N273" i="10"/>
  <c r="R273" i="10" s="1"/>
  <c r="O273" i="10"/>
  <c r="Q273" i="10"/>
  <c r="U273" i="10"/>
  <c r="V273" i="10"/>
  <c r="X273" i="10"/>
  <c r="A274" i="10"/>
  <c r="B274" i="10"/>
  <c r="M274" i="10" s="1"/>
  <c r="D274" i="10"/>
  <c r="E274" i="10"/>
  <c r="F274" i="10"/>
  <c r="G274" i="10"/>
  <c r="H274" i="10"/>
  <c r="K274" i="10"/>
  <c r="L274" i="10"/>
  <c r="N274" i="10"/>
  <c r="O274" i="10"/>
  <c r="Q274" i="10"/>
  <c r="R274" i="10"/>
  <c r="U274" i="10"/>
  <c r="V274" i="10"/>
  <c r="X274" i="10"/>
  <c r="A275" i="10"/>
  <c r="B275" i="10"/>
  <c r="D275" i="10"/>
  <c r="E275" i="10"/>
  <c r="F275" i="10"/>
  <c r="G275" i="10"/>
  <c r="H275" i="10"/>
  <c r="K275" i="10"/>
  <c r="L275" i="10"/>
  <c r="M275" i="10"/>
  <c r="N275" i="10"/>
  <c r="O275" i="10"/>
  <c r="Q275" i="10"/>
  <c r="R275" i="10"/>
  <c r="U275" i="10"/>
  <c r="V275" i="10"/>
  <c r="X275" i="10"/>
  <c r="A276" i="10"/>
  <c r="B276" i="10"/>
  <c r="D276" i="10"/>
  <c r="E276" i="10"/>
  <c r="F276" i="10"/>
  <c r="G276" i="10"/>
  <c r="H276" i="10"/>
  <c r="K276" i="10"/>
  <c r="L276" i="10"/>
  <c r="M276" i="10"/>
  <c r="N276" i="10"/>
  <c r="O276" i="10"/>
  <c r="Q276" i="10"/>
  <c r="R276" i="10"/>
  <c r="U276" i="10"/>
  <c r="V276" i="10"/>
  <c r="X276" i="10"/>
  <c r="A277" i="10"/>
  <c r="B277" i="10"/>
  <c r="D277" i="10"/>
  <c r="E277" i="10"/>
  <c r="F277" i="10"/>
  <c r="G277" i="10"/>
  <c r="H277" i="10"/>
  <c r="K277" i="10"/>
  <c r="L277" i="10"/>
  <c r="M277" i="10"/>
  <c r="N277" i="10"/>
  <c r="O277" i="10"/>
  <c r="Q277" i="10"/>
  <c r="R277" i="10"/>
  <c r="U277" i="10"/>
  <c r="V277" i="10"/>
  <c r="X277" i="10"/>
  <c r="A278" i="10"/>
  <c r="B278" i="10"/>
  <c r="D278" i="10"/>
  <c r="E278" i="10"/>
  <c r="F278" i="10"/>
  <c r="G278" i="10"/>
  <c r="H278" i="10"/>
  <c r="K278" i="10"/>
  <c r="L278" i="10"/>
  <c r="M278" i="10"/>
  <c r="N278" i="10"/>
  <c r="O278" i="10"/>
  <c r="Q278" i="10"/>
  <c r="R278" i="10"/>
  <c r="U278" i="10"/>
  <c r="V278" i="10"/>
  <c r="X278" i="10"/>
  <c r="A279" i="10"/>
  <c r="B279" i="10"/>
  <c r="D279" i="10"/>
  <c r="E279" i="10"/>
  <c r="F279" i="10"/>
  <c r="G279" i="10"/>
  <c r="H279" i="10"/>
  <c r="K279" i="10"/>
  <c r="L279" i="10"/>
  <c r="M279" i="10"/>
  <c r="N279" i="10"/>
  <c r="R279" i="10" s="1"/>
  <c r="O279" i="10"/>
  <c r="Q279" i="10"/>
  <c r="U279" i="10"/>
  <c r="V279" i="10"/>
  <c r="X279" i="10"/>
  <c r="A280" i="10"/>
  <c r="B280" i="10"/>
  <c r="D280" i="10"/>
  <c r="E280" i="10"/>
  <c r="F280" i="10"/>
  <c r="G280" i="10"/>
  <c r="H280" i="10"/>
  <c r="K280" i="10"/>
  <c r="L280" i="10"/>
  <c r="M280" i="10"/>
  <c r="N280" i="10"/>
  <c r="R280" i="10" s="1"/>
  <c r="O280" i="10"/>
  <c r="Q280" i="10"/>
  <c r="U280" i="10"/>
  <c r="V280" i="10"/>
  <c r="X280" i="10"/>
  <c r="A281" i="10"/>
  <c r="B281" i="10"/>
  <c r="D281" i="10"/>
  <c r="E281" i="10"/>
  <c r="F281" i="10"/>
  <c r="G281" i="10"/>
  <c r="H281" i="10"/>
  <c r="K281" i="10"/>
  <c r="L281" i="10"/>
  <c r="M281" i="10"/>
  <c r="N281" i="10"/>
  <c r="R281" i="10" s="1"/>
  <c r="O281" i="10"/>
  <c r="Q281" i="10"/>
  <c r="U281" i="10"/>
  <c r="V281" i="10"/>
  <c r="X281" i="10"/>
  <c r="A282" i="10"/>
  <c r="B282" i="10"/>
  <c r="D282" i="10"/>
  <c r="E282" i="10"/>
  <c r="F282" i="10"/>
  <c r="G282" i="10"/>
  <c r="H282" i="10"/>
  <c r="K282" i="10"/>
  <c r="L282" i="10"/>
  <c r="M282" i="10"/>
  <c r="N282" i="10"/>
  <c r="O282" i="10"/>
  <c r="Q282" i="10"/>
  <c r="R282" i="10"/>
  <c r="U282" i="10"/>
  <c r="V282" i="10"/>
  <c r="X282" i="10"/>
  <c r="A283" i="10"/>
  <c r="B283" i="10"/>
  <c r="D283" i="10"/>
  <c r="E283" i="10"/>
  <c r="F283" i="10"/>
  <c r="G283" i="10"/>
  <c r="H283" i="10"/>
  <c r="K283" i="10"/>
  <c r="L283" i="10"/>
  <c r="M283" i="10"/>
  <c r="N283" i="10"/>
  <c r="O283" i="10"/>
  <c r="Q283" i="10"/>
  <c r="R283" i="10"/>
  <c r="U283" i="10"/>
  <c r="V283" i="10"/>
  <c r="X283" i="10"/>
  <c r="A284" i="10"/>
  <c r="B284" i="10"/>
  <c r="D284" i="10"/>
  <c r="E284" i="10"/>
  <c r="F284" i="10"/>
  <c r="G284" i="10"/>
  <c r="H284" i="10"/>
  <c r="K284" i="10"/>
  <c r="L284" i="10"/>
  <c r="M284" i="10"/>
  <c r="N284" i="10"/>
  <c r="O284" i="10"/>
  <c r="Q284" i="10"/>
  <c r="R284" i="10"/>
  <c r="U284" i="10"/>
  <c r="V284" i="10"/>
  <c r="X284" i="10"/>
  <c r="A285" i="10"/>
  <c r="B285" i="10"/>
  <c r="D285" i="10"/>
  <c r="E285" i="10"/>
  <c r="F285" i="10"/>
  <c r="G285" i="10"/>
  <c r="H285" i="10"/>
  <c r="K285" i="10"/>
  <c r="L285" i="10"/>
  <c r="M285" i="10"/>
  <c r="N285" i="10"/>
  <c r="R285" i="10" s="1"/>
  <c r="O285" i="10"/>
  <c r="Q285" i="10"/>
  <c r="U285" i="10"/>
  <c r="V285" i="10"/>
  <c r="X285" i="10"/>
  <c r="A286" i="10"/>
  <c r="B286" i="10"/>
  <c r="D286" i="10"/>
  <c r="E286" i="10"/>
  <c r="F286" i="10"/>
  <c r="G286" i="10"/>
  <c r="H286" i="10"/>
  <c r="K286" i="10"/>
  <c r="L286" i="10"/>
  <c r="M286" i="10"/>
  <c r="N286" i="10"/>
  <c r="O286" i="10"/>
  <c r="Q286" i="10"/>
  <c r="R286" i="10"/>
  <c r="U286" i="10"/>
  <c r="V286" i="10"/>
  <c r="X286" i="10"/>
  <c r="A287" i="10"/>
  <c r="B287" i="10"/>
  <c r="D287" i="10"/>
  <c r="E287" i="10"/>
  <c r="F287" i="10"/>
  <c r="G287" i="10"/>
  <c r="H287" i="10"/>
  <c r="K287" i="10"/>
  <c r="L287" i="10"/>
  <c r="M287" i="10"/>
  <c r="N287" i="10"/>
  <c r="O287" i="10"/>
  <c r="Q287" i="10"/>
  <c r="R287" i="10"/>
  <c r="U287" i="10"/>
  <c r="V287" i="10"/>
  <c r="X287" i="10"/>
  <c r="A288" i="10"/>
  <c r="B288" i="10"/>
  <c r="D288" i="10"/>
  <c r="E288" i="10"/>
  <c r="F288" i="10"/>
  <c r="G288" i="10"/>
  <c r="H288" i="10"/>
  <c r="K288" i="10"/>
  <c r="L288" i="10"/>
  <c r="M288" i="10"/>
  <c r="N288" i="10"/>
  <c r="R288" i="10" s="1"/>
  <c r="O288" i="10"/>
  <c r="Q288" i="10"/>
  <c r="U288" i="10"/>
  <c r="V288" i="10"/>
  <c r="X288" i="10"/>
  <c r="A289" i="10"/>
  <c r="B289" i="10"/>
  <c r="D289" i="10"/>
  <c r="E289" i="10"/>
  <c r="F289" i="10"/>
  <c r="G289" i="10"/>
  <c r="H289" i="10"/>
  <c r="K289" i="10"/>
  <c r="L289" i="10"/>
  <c r="M289" i="10"/>
  <c r="N289" i="10"/>
  <c r="R289" i="10" s="1"/>
  <c r="O289" i="10"/>
  <c r="Q289" i="10"/>
  <c r="U289" i="10"/>
  <c r="V289" i="10"/>
  <c r="X289" i="10"/>
  <c r="A290" i="10"/>
  <c r="B290" i="10"/>
  <c r="D290" i="10"/>
  <c r="E290" i="10"/>
  <c r="F290" i="10"/>
  <c r="G290" i="10"/>
  <c r="H290" i="10"/>
  <c r="K290" i="10"/>
  <c r="L290" i="10"/>
  <c r="M290" i="10"/>
  <c r="N290" i="10"/>
  <c r="O290" i="10"/>
  <c r="Q290" i="10"/>
  <c r="R290" i="10"/>
  <c r="U290" i="10"/>
  <c r="V290" i="10"/>
  <c r="X290" i="10"/>
  <c r="A291" i="10"/>
  <c r="B291" i="10"/>
  <c r="D291" i="10"/>
  <c r="E291" i="10"/>
  <c r="F291" i="10"/>
  <c r="G291" i="10"/>
  <c r="H291" i="10"/>
  <c r="K291" i="10"/>
  <c r="L291" i="10"/>
  <c r="M291" i="10"/>
  <c r="N291" i="10"/>
  <c r="O291" i="10"/>
  <c r="Q291" i="10"/>
  <c r="R291" i="10"/>
  <c r="U291" i="10"/>
  <c r="V291" i="10"/>
  <c r="X291" i="10"/>
  <c r="A292" i="10"/>
  <c r="B292" i="10"/>
  <c r="D292" i="10"/>
  <c r="E292" i="10"/>
  <c r="F292" i="10"/>
  <c r="G292" i="10"/>
  <c r="H292" i="10"/>
  <c r="K292" i="10"/>
  <c r="L292" i="10"/>
  <c r="M292" i="10"/>
  <c r="N292" i="10"/>
  <c r="O292" i="10"/>
  <c r="Q292" i="10"/>
  <c r="R292" i="10"/>
  <c r="U292" i="10"/>
  <c r="V292" i="10"/>
  <c r="X292" i="10"/>
  <c r="A293" i="10"/>
  <c r="B293" i="10"/>
  <c r="D293" i="10"/>
  <c r="E293" i="10"/>
  <c r="F293" i="10"/>
  <c r="G293" i="10"/>
  <c r="H293" i="10"/>
  <c r="K293" i="10"/>
  <c r="L293" i="10"/>
  <c r="M293" i="10"/>
  <c r="N293" i="10"/>
  <c r="R293" i="10" s="1"/>
  <c r="O293" i="10"/>
  <c r="Q293" i="10"/>
  <c r="U293" i="10"/>
  <c r="V293" i="10"/>
  <c r="X293" i="10"/>
  <c r="A294" i="10"/>
  <c r="B294" i="10"/>
  <c r="D294" i="10"/>
  <c r="E294" i="10"/>
  <c r="F294" i="10"/>
  <c r="G294" i="10"/>
  <c r="H294" i="10"/>
  <c r="K294" i="10"/>
  <c r="L294" i="10"/>
  <c r="M294" i="10"/>
  <c r="N294" i="10"/>
  <c r="O294" i="10"/>
  <c r="Q294" i="10"/>
  <c r="R294" i="10"/>
  <c r="U294" i="10"/>
  <c r="V294" i="10"/>
  <c r="X294" i="10"/>
  <c r="A295" i="10"/>
  <c r="B295" i="10"/>
  <c r="D295" i="10"/>
  <c r="E295" i="10"/>
  <c r="F295" i="10"/>
  <c r="G295" i="10"/>
  <c r="H295" i="10"/>
  <c r="K295" i="10"/>
  <c r="L295" i="10"/>
  <c r="M295" i="10"/>
  <c r="N295" i="10"/>
  <c r="R295" i="10" s="1"/>
  <c r="O295" i="10"/>
  <c r="Q295" i="10"/>
  <c r="U295" i="10"/>
  <c r="V295" i="10"/>
  <c r="X295" i="10"/>
  <c r="A296" i="10"/>
  <c r="B296" i="10"/>
  <c r="D296" i="10"/>
  <c r="E296" i="10"/>
  <c r="F296" i="10"/>
  <c r="G296" i="10"/>
  <c r="H296" i="10"/>
  <c r="K296" i="10"/>
  <c r="L296" i="10"/>
  <c r="M296" i="10"/>
  <c r="N296" i="10"/>
  <c r="R296" i="10" s="1"/>
  <c r="O296" i="10"/>
  <c r="Q296" i="10"/>
  <c r="U296" i="10"/>
  <c r="V296" i="10"/>
  <c r="X296" i="10"/>
  <c r="A297" i="10"/>
  <c r="B297" i="10"/>
  <c r="D297" i="10"/>
  <c r="E297" i="10"/>
  <c r="F297" i="10"/>
  <c r="G297" i="10"/>
  <c r="H297" i="10"/>
  <c r="K297" i="10"/>
  <c r="L297" i="10"/>
  <c r="M297" i="10"/>
  <c r="N297" i="10"/>
  <c r="R297" i="10" s="1"/>
  <c r="O297" i="10"/>
  <c r="Q297" i="10"/>
  <c r="U297" i="10"/>
  <c r="V297" i="10"/>
  <c r="X297" i="10"/>
  <c r="A298" i="10"/>
  <c r="B298" i="10"/>
  <c r="D298" i="10"/>
  <c r="E298" i="10"/>
  <c r="F298" i="10"/>
  <c r="G298" i="10"/>
  <c r="H298" i="10"/>
  <c r="K298" i="10"/>
  <c r="L298" i="10"/>
  <c r="M298" i="10"/>
  <c r="N298" i="10"/>
  <c r="O298" i="10"/>
  <c r="Q298" i="10"/>
  <c r="R298" i="10"/>
  <c r="U298" i="10"/>
  <c r="V298" i="10"/>
  <c r="X298" i="10"/>
  <c r="A299" i="10"/>
  <c r="B299" i="10"/>
  <c r="D299" i="10"/>
  <c r="E299" i="10"/>
  <c r="F299" i="10"/>
  <c r="G299" i="10"/>
  <c r="H299" i="10"/>
  <c r="K299" i="10"/>
  <c r="L299" i="10"/>
  <c r="M299" i="10"/>
  <c r="N299" i="10"/>
  <c r="O299" i="10"/>
  <c r="Q299" i="10"/>
  <c r="R299" i="10"/>
  <c r="U299" i="10"/>
  <c r="V299" i="10"/>
  <c r="X299" i="10"/>
  <c r="A300" i="10"/>
  <c r="B300" i="10"/>
  <c r="D300" i="10"/>
  <c r="E300" i="10"/>
  <c r="F300" i="10"/>
  <c r="G300" i="10"/>
  <c r="H300" i="10"/>
  <c r="K300" i="10"/>
  <c r="L300" i="10"/>
  <c r="M300" i="10"/>
  <c r="N300" i="10"/>
  <c r="O300" i="10"/>
  <c r="Q300" i="10"/>
  <c r="R300" i="10"/>
  <c r="U300" i="10"/>
  <c r="V300" i="10"/>
  <c r="X300" i="10"/>
  <c r="A301" i="10"/>
  <c r="B301" i="10"/>
  <c r="D301" i="10"/>
  <c r="E301" i="10"/>
  <c r="F301" i="10"/>
  <c r="G301" i="10"/>
  <c r="H301" i="10"/>
  <c r="K301" i="10"/>
  <c r="L301" i="10"/>
  <c r="M301" i="10"/>
  <c r="N301" i="10"/>
  <c r="R301" i="10" s="1"/>
  <c r="O301" i="10"/>
  <c r="Q301" i="10"/>
  <c r="U301" i="10"/>
  <c r="V301" i="10"/>
  <c r="X301" i="10"/>
  <c r="A302" i="10"/>
  <c r="B302" i="10"/>
  <c r="D302" i="10"/>
  <c r="E302" i="10"/>
  <c r="F302" i="10"/>
  <c r="G302" i="10"/>
  <c r="H302" i="10"/>
  <c r="K302" i="10"/>
  <c r="L302" i="10"/>
  <c r="M302" i="10"/>
  <c r="N302" i="10"/>
  <c r="O302" i="10"/>
  <c r="Q302" i="10"/>
  <c r="R302" i="10"/>
  <c r="U302" i="10"/>
  <c r="V302" i="10"/>
  <c r="X302" i="10"/>
  <c r="A303" i="10"/>
  <c r="B303" i="10"/>
  <c r="D303" i="10"/>
  <c r="E303" i="10"/>
  <c r="F303" i="10"/>
  <c r="G303" i="10"/>
  <c r="H303" i="10"/>
  <c r="K303" i="10"/>
  <c r="L303" i="10"/>
  <c r="M303" i="10"/>
  <c r="N303" i="10"/>
  <c r="R303" i="10" s="1"/>
  <c r="O303" i="10"/>
  <c r="Q303" i="10"/>
  <c r="U303" i="10"/>
  <c r="V303" i="10"/>
  <c r="X303" i="10"/>
  <c r="A304" i="10"/>
  <c r="B304" i="10"/>
  <c r="D304" i="10"/>
  <c r="E304" i="10"/>
  <c r="F304" i="10"/>
  <c r="G304" i="10"/>
  <c r="H304" i="10"/>
  <c r="K304" i="10"/>
  <c r="L304" i="10"/>
  <c r="M304" i="10"/>
  <c r="N304" i="10"/>
  <c r="R304" i="10" s="1"/>
  <c r="O304" i="10"/>
  <c r="Q304" i="10"/>
  <c r="U304" i="10"/>
  <c r="V304" i="10"/>
  <c r="X304" i="10"/>
  <c r="A305" i="10"/>
  <c r="B305" i="10"/>
  <c r="D305" i="10"/>
  <c r="E305" i="10"/>
  <c r="F305" i="10"/>
  <c r="G305" i="10"/>
  <c r="H305" i="10"/>
  <c r="K305" i="10"/>
  <c r="L305" i="10"/>
  <c r="M305" i="10"/>
  <c r="N305" i="10"/>
  <c r="R305" i="10" s="1"/>
  <c r="O305" i="10"/>
  <c r="Q305" i="10"/>
  <c r="U305" i="10"/>
  <c r="V305" i="10"/>
  <c r="X305" i="10"/>
  <c r="A306" i="10"/>
  <c r="B306" i="10"/>
  <c r="D306" i="10"/>
  <c r="E306" i="10"/>
  <c r="F306" i="10"/>
  <c r="G306" i="10"/>
  <c r="H306" i="10"/>
  <c r="K306" i="10"/>
  <c r="L306" i="10"/>
  <c r="M306" i="10"/>
  <c r="N306" i="10"/>
  <c r="O306" i="10"/>
  <c r="Q306" i="10"/>
  <c r="R306" i="10"/>
  <c r="U306" i="10"/>
  <c r="V306" i="10"/>
  <c r="X306" i="10"/>
  <c r="A307" i="10"/>
  <c r="B307" i="10"/>
  <c r="D307" i="10"/>
  <c r="E307" i="10"/>
  <c r="F307" i="10"/>
  <c r="G307" i="10"/>
  <c r="H307" i="10"/>
  <c r="K307" i="10"/>
  <c r="L307" i="10"/>
  <c r="M307" i="10"/>
  <c r="N307" i="10"/>
  <c r="O307" i="10"/>
  <c r="Q307" i="10"/>
  <c r="R307" i="10"/>
  <c r="U307" i="10"/>
  <c r="V307" i="10"/>
  <c r="X307" i="10"/>
  <c r="A308" i="10"/>
  <c r="B308" i="10"/>
  <c r="D308" i="10"/>
  <c r="E308" i="10"/>
  <c r="F308" i="10"/>
  <c r="G308" i="10"/>
  <c r="H308" i="10"/>
  <c r="K308" i="10"/>
  <c r="L308" i="10"/>
  <c r="M308" i="10"/>
  <c r="N308" i="10"/>
  <c r="O308" i="10"/>
  <c r="Q308" i="10"/>
  <c r="R308" i="10"/>
  <c r="U308" i="10"/>
  <c r="V308" i="10"/>
  <c r="X308" i="10"/>
  <c r="A309" i="10"/>
  <c r="B309" i="10"/>
  <c r="D309" i="10"/>
  <c r="E309" i="10"/>
  <c r="F309" i="10"/>
  <c r="G309" i="10"/>
  <c r="H309" i="10"/>
  <c r="K309" i="10"/>
  <c r="L309" i="10"/>
  <c r="M309" i="10"/>
  <c r="N309" i="10"/>
  <c r="R309" i="10" s="1"/>
  <c r="O309" i="10"/>
  <c r="Q309" i="10"/>
  <c r="U309" i="10"/>
  <c r="V309" i="10"/>
  <c r="X309" i="10"/>
  <c r="A310" i="10"/>
  <c r="B310" i="10"/>
  <c r="D310" i="10"/>
  <c r="E310" i="10"/>
  <c r="F310" i="10"/>
  <c r="G310" i="10"/>
  <c r="H310" i="10"/>
  <c r="K310" i="10"/>
  <c r="L310" i="10"/>
  <c r="M310" i="10"/>
  <c r="N310" i="10"/>
  <c r="O310" i="10"/>
  <c r="Q310" i="10"/>
  <c r="R310" i="10"/>
  <c r="U310" i="10"/>
  <c r="V310" i="10"/>
  <c r="X310" i="10"/>
  <c r="A311" i="10"/>
  <c r="B311" i="10"/>
  <c r="D311" i="10"/>
  <c r="E311" i="10"/>
  <c r="F311" i="10"/>
  <c r="G311" i="10"/>
  <c r="H311" i="10"/>
  <c r="K311" i="10"/>
  <c r="L311" i="10"/>
  <c r="M311" i="10"/>
  <c r="N311" i="10"/>
  <c r="R311" i="10" s="1"/>
  <c r="O311" i="10"/>
  <c r="Q311" i="10"/>
  <c r="U311" i="10"/>
  <c r="V311" i="10"/>
  <c r="X311" i="10"/>
  <c r="A312" i="10"/>
  <c r="B312" i="10"/>
  <c r="D312" i="10"/>
  <c r="E312" i="10"/>
  <c r="F312" i="10"/>
  <c r="G312" i="10"/>
  <c r="H312" i="10"/>
  <c r="K312" i="10"/>
  <c r="L312" i="10"/>
  <c r="M312" i="10"/>
  <c r="N312" i="10"/>
  <c r="R312" i="10" s="1"/>
  <c r="O312" i="10"/>
  <c r="Q312" i="10"/>
  <c r="U312" i="10"/>
  <c r="V312" i="10"/>
  <c r="X312" i="10"/>
  <c r="A313" i="10"/>
  <c r="B313" i="10"/>
  <c r="D313" i="10"/>
  <c r="E313" i="10"/>
  <c r="F313" i="10"/>
  <c r="G313" i="10"/>
  <c r="H313" i="10"/>
  <c r="K313" i="10"/>
  <c r="L313" i="10"/>
  <c r="M313" i="10"/>
  <c r="N313" i="10"/>
  <c r="R313" i="10" s="1"/>
  <c r="O313" i="10"/>
  <c r="Q313" i="10"/>
  <c r="U313" i="10"/>
  <c r="V313" i="10"/>
  <c r="X313" i="10"/>
  <c r="A314" i="10"/>
  <c r="B314" i="10"/>
  <c r="D314" i="10"/>
  <c r="E314" i="10"/>
  <c r="F314" i="10"/>
  <c r="G314" i="10"/>
  <c r="H314" i="10"/>
  <c r="K314" i="10"/>
  <c r="L314" i="10"/>
  <c r="M314" i="10"/>
  <c r="N314" i="10"/>
  <c r="O314" i="10"/>
  <c r="Q314" i="10"/>
  <c r="R314" i="10"/>
  <c r="U314" i="10"/>
  <c r="V314" i="10"/>
  <c r="X314" i="10"/>
  <c r="A315" i="10"/>
  <c r="B315" i="10"/>
  <c r="D315" i="10"/>
  <c r="E315" i="10"/>
  <c r="F315" i="10"/>
  <c r="G315" i="10"/>
  <c r="H315" i="10"/>
  <c r="K315" i="10"/>
  <c r="L315" i="10"/>
  <c r="M315" i="10"/>
  <c r="N315" i="10"/>
  <c r="O315" i="10"/>
  <c r="Q315" i="10"/>
  <c r="R315" i="10"/>
  <c r="U315" i="10"/>
  <c r="V315" i="10"/>
  <c r="X315" i="10"/>
  <c r="A316" i="10"/>
  <c r="B316" i="10"/>
  <c r="D316" i="10"/>
  <c r="E316" i="10"/>
  <c r="F316" i="10"/>
  <c r="G316" i="10"/>
  <c r="H316" i="10"/>
  <c r="K316" i="10"/>
  <c r="L316" i="10"/>
  <c r="M316" i="10"/>
  <c r="N316" i="10"/>
  <c r="O316" i="10"/>
  <c r="Q316" i="10"/>
  <c r="R316" i="10"/>
  <c r="U316" i="10"/>
  <c r="V316" i="10"/>
  <c r="X316" i="10"/>
  <c r="A317" i="10"/>
  <c r="B317" i="10"/>
  <c r="D317" i="10"/>
  <c r="E317" i="10"/>
  <c r="F317" i="10"/>
  <c r="G317" i="10"/>
  <c r="H317" i="10"/>
  <c r="K317" i="10"/>
  <c r="L317" i="10"/>
  <c r="M317" i="10"/>
  <c r="N317" i="10"/>
  <c r="R317" i="10" s="1"/>
  <c r="O317" i="10"/>
  <c r="Q317" i="10"/>
  <c r="U317" i="10"/>
  <c r="V317" i="10"/>
  <c r="X317" i="10"/>
  <c r="A318" i="10"/>
  <c r="B318" i="10"/>
  <c r="D318" i="10"/>
  <c r="E318" i="10"/>
  <c r="F318" i="10"/>
  <c r="G318" i="10"/>
  <c r="H318" i="10"/>
  <c r="K318" i="10"/>
  <c r="L318" i="10"/>
  <c r="M318" i="10"/>
  <c r="N318" i="10"/>
  <c r="O318" i="10"/>
  <c r="Q318" i="10"/>
  <c r="R318" i="10"/>
  <c r="U318" i="10"/>
  <c r="V318" i="10"/>
  <c r="X318" i="10"/>
  <c r="A319" i="10"/>
  <c r="B319" i="10"/>
  <c r="D319" i="10"/>
  <c r="E319" i="10"/>
  <c r="F319" i="10"/>
  <c r="G319" i="10"/>
  <c r="H319" i="10"/>
  <c r="K319" i="10"/>
  <c r="L319" i="10"/>
  <c r="M319" i="10"/>
  <c r="N319" i="10"/>
  <c r="R319" i="10" s="1"/>
  <c r="O319" i="10"/>
  <c r="Q319" i="10"/>
  <c r="U319" i="10"/>
  <c r="V319" i="10"/>
  <c r="X319" i="10"/>
  <c r="A320" i="10"/>
  <c r="B320" i="10"/>
  <c r="D320" i="10"/>
  <c r="E320" i="10"/>
  <c r="F320" i="10"/>
  <c r="G320" i="10"/>
  <c r="H320" i="10"/>
  <c r="K320" i="10"/>
  <c r="L320" i="10"/>
  <c r="M320" i="10"/>
  <c r="N320" i="10"/>
  <c r="R320" i="10" s="1"/>
  <c r="O320" i="10"/>
  <c r="Q320" i="10"/>
  <c r="U320" i="10"/>
  <c r="V320" i="10"/>
  <c r="X320" i="10"/>
  <c r="A321" i="10"/>
  <c r="B321" i="10"/>
  <c r="D321" i="10"/>
  <c r="E321" i="10"/>
  <c r="F321" i="10"/>
  <c r="G321" i="10"/>
  <c r="H321" i="10"/>
  <c r="K321" i="10"/>
  <c r="L321" i="10"/>
  <c r="M321" i="10"/>
  <c r="N321" i="10"/>
  <c r="R321" i="10" s="1"/>
  <c r="O321" i="10"/>
  <c r="Q321" i="10"/>
  <c r="U321" i="10"/>
  <c r="V321" i="10"/>
  <c r="X321" i="10"/>
  <c r="A322" i="10"/>
  <c r="B322" i="10"/>
  <c r="D322" i="10"/>
  <c r="E322" i="10"/>
  <c r="F322" i="10"/>
  <c r="G322" i="10"/>
  <c r="H322" i="10"/>
  <c r="K322" i="10"/>
  <c r="L322" i="10"/>
  <c r="M322" i="10"/>
  <c r="N322" i="10"/>
  <c r="O322" i="10"/>
  <c r="Q322" i="10"/>
  <c r="R322" i="10"/>
  <c r="U322" i="10"/>
  <c r="V322" i="10"/>
  <c r="X322" i="10"/>
  <c r="A323" i="10"/>
  <c r="B323" i="10"/>
  <c r="D323" i="10"/>
  <c r="E323" i="10"/>
  <c r="F323" i="10"/>
  <c r="G323" i="10"/>
  <c r="H323" i="10"/>
  <c r="K323" i="10"/>
  <c r="L323" i="10"/>
  <c r="M323" i="10"/>
  <c r="N323" i="10"/>
  <c r="O323" i="10"/>
  <c r="Q323" i="10"/>
  <c r="R323" i="10"/>
  <c r="U323" i="10"/>
  <c r="V323" i="10"/>
  <c r="X323" i="10"/>
  <c r="A324" i="10"/>
  <c r="B324" i="10"/>
  <c r="D324" i="10"/>
  <c r="E324" i="10"/>
  <c r="F324" i="10"/>
  <c r="G324" i="10"/>
  <c r="H324" i="10"/>
  <c r="K324" i="10"/>
  <c r="L324" i="10"/>
  <c r="M324" i="10"/>
  <c r="N324" i="10"/>
  <c r="O324" i="10"/>
  <c r="Q324" i="10"/>
  <c r="R324" i="10"/>
  <c r="U324" i="10"/>
  <c r="V324" i="10"/>
  <c r="X324" i="10"/>
  <c r="A325" i="10"/>
  <c r="B325" i="10"/>
  <c r="D325" i="10"/>
  <c r="E325" i="10"/>
  <c r="F325" i="10"/>
  <c r="G325" i="10"/>
  <c r="H325" i="10"/>
  <c r="K325" i="10"/>
  <c r="L325" i="10"/>
  <c r="M325" i="10"/>
  <c r="N325" i="10"/>
  <c r="R325" i="10" s="1"/>
  <c r="O325" i="10"/>
  <c r="Q325" i="10"/>
  <c r="U325" i="10"/>
  <c r="V325" i="10"/>
  <c r="X325" i="10"/>
  <c r="A326" i="10"/>
  <c r="B326" i="10"/>
  <c r="D326" i="10"/>
  <c r="E326" i="10"/>
  <c r="F326" i="10"/>
  <c r="G326" i="10"/>
  <c r="H326" i="10"/>
  <c r="K326" i="10"/>
  <c r="L326" i="10"/>
  <c r="M326" i="10"/>
  <c r="N326" i="10"/>
  <c r="O326" i="10"/>
  <c r="Q326" i="10"/>
  <c r="R326" i="10"/>
  <c r="U326" i="10"/>
  <c r="V326" i="10"/>
  <c r="X326" i="10"/>
  <c r="A327" i="10"/>
  <c r="B327" i="10"/>
  <c r="D327" i="10"/>
  <c r="E327" i="10"/>
  <c r="F327" i="10"/>
  <c r="G327" i="10"/>
  <c r="H327" i="10"/>
  <c r="K327" i="10"/>
  <c r="L327" i="10"/>
  <c r="M327" i="10"/>
  <c r="N327" i="10"/>
  <c r="R327" i="10" s="1"/>
  <c r="O327" i="10"/>
  <c r="Q327" i="10"/>
  <c r="U327" i="10"/>
  <c r="V327" i="10"/>
  <c r="X327" i="10"/>
  <c r="A328" i="10"/>
  <c r="B328" i="10"/>
  <c r="D328" i="10"/>
  <c r="E328" i="10"/>
  <c r="F328" i="10"/>
  <c r="G328" i="10"/>
  <c r="H328" i="10"/>
  <c r="K328" i="10"/>
  <c r="L328" i="10"/>
  <c r="M328" i="10"/>
  <c r="N328" i="10"/>
  <c r="R328" i="10" s="1"/>
  <c r="O328" i="10"/>
  <c r="Q328" i="10"/>
  <c r="U328" i="10"/>
  <c r="V328" i="10"/>
  <c r="X328" i="10"/>
  <c r="A329" i="10"/>
  <c r="B329" i="10"/>
  <c r="D329" i="10"/>
  <c r="E329" i="10"/>
  <c r="F329" i="10"/>
  <c r="G329" i="10"/>
  <c r="H329" i="10"/>
  <c r="K329" i="10"/>
  <c r="L329" i="10"/>
  <c r="M329" i="10"/>
  <c r="N329" i="10"/>
  <c r="R329" i="10" s="1"/>
  <c r="O329" i="10"/>
  <c r="Q329" i="10"/>
  <c r="U329" i="10"/>
  <c r="V329" i="10"/>
  <c r="X329" i="10"/>
  <c r="A330" i="10"/>
  <c r="B330" i="10"/>
  <c r="D330" i="10"/>
  <c r="E330" i="10"/>
  <c r="F330" i="10"/>
  <c r="G330" i="10"/>
  <c r="H330" i="10"/>
  <c r="K330" i="10"/>
  <c r="L330" i="10"/>
  <c r="M330" i="10"/>
  <c r="N330" i="10"/>
  <c r="O330" i="10"/>
  <c r="Q330" i="10"/>
  <c r="R330" i="10"/>
  <c r="U330" i="10"/>
  <c r="V330" i="10"/>
  <c r="X330" i="10"/>
  <c r="A331" i="10"/>
  <c r="B331" i="10"/>
  <c r="D331" i="10"/>
  <c r="E331" i="10"/>
  <c r="F331" i="10"/>
  <c r="G331" i="10"/>
  <c r="H331" i="10"/>
  <c r="K331" i="10"/>
  <c r="L331" i="10"/>
  <c r="M331" i="10"/>
  <c r="N331" i="10"/>
  <c r="O331" i="10"/>
  <c r="Q331" i="10"/>
  <c r="R331" i="10"/>
  <c r="U331" i="10"/>
  <c r="V331" i="10"/>
  <c r="X331" i="10"/>
  <c r="A332" i="10"/>
  <c r="B332" i="10"/>
  <c r="D332" i="10"/>
  <c r="E332" i="10"/>
  <c r="F332" i="10"/>
  <c r="G332" i="10"/>
  <c r="H332" i="10"/>
  <c r="K332" i="10"/>
  <c r="L332" i="10"/>
  <c r="M332" i="10"/>
  <c r="N332" i="10"/>
  <c r="O332" i="10"/>
  <c r="Q332" i="10"/>
  <c r="R332" i="10"/>
  <c r="U332" i="10"/>
  <c r="V332" i="10"/>
  <c r="X332" i="10"/>
  <c r="A333" i="10"/>
  <c r="B333" i="10"/>
  <c r="D333" i="10"/>
  <c r="E333" i="10"/>
  <c r="F333" i="10"/>
  <c r="G333" i="10"/>
  <c r="H333" i="10"/>
  <c r="K333" i="10"/>
  <c r="L333" i="10"/>
  <c r="M333" i="10"/>
  <c r="N333" i="10"/>
  <c r="R333" i="10" s="1"/>
  <c r="O333" i="10"/>
  <c r="Q333" i="10"/>
  <c r="U333" i="10"/>
  <c r="V333" i="10"/>
  <c r="X333" i="10"/>
  <c r="A334" i="10"/>
  <c r="B334" i="10"/>
  <c r="D334" i="10"/>
  <c r="E334" i="10"/>
  <c r="F334" i="10"/>
  <c r="G334" i="10"/>
  <c r="H334" i="10"/>
  <c r="K334" i="10"/>
  <c r="L334" i="10"/>
  <c r="M334" i="10"/>
  <c r="N334" i="10"/>
  <c r="O334" i="10"/>
  <c r="Q334" i="10"/>
  <c r="R334" i="10"/>
  <c r="U334" i="10"/>
  <c r="V334" i="10"/>
  <c r="X334" i="10"/>
  <c r="A335" i="10"/>
  <c r="B335" i="10"/>
  <c r="D335" i="10"/>
  <c r="E335" i="10"/>
  <c r="F335" i="10"/>
  <c r="G335" i="10"/>
  <c r="H335" i="10"/>
  <c r="K335" i="10"/>
  <c r="L335" i="10"/>
  <c r="M335" i="10"/>
  <c r="N335" i="10"/>
  <c r="R335" i="10" s="1"/>
  <c r="O335" i="10"/>
  <c r="Q335" i="10"/>
  <c r="U335" i="10"/>
  <c r="V335" i="10"/>
  <c r="X335" i="10"/>
  <c r="A336" i="10"/>
  <c r="B336" i="10"/>
  <c r="M336" i="10" s="1"/>
  <c r="D336" i="10"/>
  <c r="E336" i="10"/>
  <c r="F336" i="10"/>
  <c r="G336" i="10"/>
  <c r="H336" i="10"/>
  <c r="K336" i="10"/>
  <c r="L336" i="10"/>
  <c r="N336" i="10"/>
  <c r="R336" i="10" s="1"/>
  <c r="O336" i="10"/>
  <c r="Q336" i="10"/>
  <c r="U336" i="10"/>
  <c r="V336" i="10"/>
  <c r="X336" i="10"/>
  <c r="A337" i="10"/>
  <c r="B337" i="10"/>
  <c r="D337" i="10"/>
  <c r="E337" i="10"/>
  <c r="F337" i="10"/>
  <c r="G337" i="10"/>
  <c r="H337" i="10"/>
  <c r="K337" i="10"/>
  <c r="L337" i="10"/>
  <c r="M337" i="10"/>
  <c r="N337" i="10"/>
  <c r="R337" i="10" s="1"/>
  <c r="O337" i="10"/>
  <c r="Q337" i="10"/>
  <c r="U337" i="10"/>
  <c r="V337" i="10"/>
  <c r="X337" i="10"/>
  <c r="A338" i="10"/>
  <c r="B338" i="10"/>
  <c r="M338" i="10" s="1"/>
  <c r="D338" i="10"/>
  <c r="E338" i="10"/>
  <c r="F338" i="10"/>
  <c r="G338" i="10"/>
  <c r="H338" i="10"/>
  <c r="K338" i="10"/>
  <c r="L338" i="10"/>
  <c r="N338" i="10"/>
  <c r="O338" i="10"/>
  <c r="Q338" i="10"/>
  <c r="R338" i="10"/>
  <c r="U338" i="10"/>
  <c r="V338" i="10"/>
  <c r="X338" i="10"/>
  <c r="A339" i="10"/>
  <c r="B339" i="10"/>
  <c r="D339" i="10"/>
  <c r="E339" i="10"/>
  <c r="F339" i="10"/>
  <c r="G339" i="10"/>
  <c r="H339" i="10"/>
  <c r="K339" i="10"/>
  <c r="L339" i="10"/>
  <c r="M339" i="10"/>
  <c r="N339" i="10"/>
  <c r="O339" i="10"/>
  <c r="Q339" i="10"/>
  <c r="R339" i="10"/>
  <c r="U339" i="10"/>
  <c r="V339" i="10"/>
  <c r="X339" i="10"/>
  <c r="A340" i="10"/>
  <c r="B340" i="10"/>
  <c r="D340" i="10"/>
  <c r="E340" i="10"/>
  <c r="F340" i="10"/>
  <c r="G340" i="10"/>
  <c r="H340" i="10"/>
  <c r="K340" i="10"/>
  <c r="L340" i="10"/>
  <c r="M340" i="10"/>
  <c r="N340" i="10"/>
  <c r="O340" i="10"/>
  <c r="Q340" i="10"/>
  <c r="R340" i="10"/>
  <c r="U340" i="10"/>
  <c r="V340" i="10"/>
  <c r="X340" i="10"/>
  <c r="A341" i="10"/>
  <c r="B341" i="10"/>
  <c r="D341" i="10"/>
  <c r="E341" i="10"/>
  <c r="F341" i="10"/>
  <c r="G341" i="10"/>
  <c r="H341" i="10"/>
  <c r="K341" i="10"/>
  <c r="L341" i="10"/>
  <c r="M341" i="10"/>
  <c r="N341" i="10"/>
  <c r="R341" i="10" s="1"/>
  <c r="O341" i="10"/>
  <c r="Q341" i="10"/>
  <c r="U341" i="10"/>
  <c r="V341" i="10"/>
  <c r="X341" i="10"/>
  <c r="A342" i="10"/>
  <c r="B342" i="10"/>
  <c r="D342" i="10"/>
  <c r="E342" i="10"/>
  <c r="F342" i="10"/>
  <c r="G342" i="10"/>
  <c r="H342" i="10"/>
  <c r="K342" i="10"/>
  <c r="L342" i="10"/>
  <c r="M342" i="10"/>
  <c r="N342" i="10"/>
  <c r="O342" i="10"/>
  <c r="Q342" i="10"/>
  <c r="R342" i="10"/>
  <c r="U342" i="10"/>
  <c r="V342" i="10"/>
  <c r="X342" i="10"/>
  <c r="A343" i="10"/>
  <c r="B343" i="10"/>
  <c r="D343" i="10"/>
  <c r="E343" i="10"/>
  <c r="F343" i="10"/>
  <c r="G343" i="10"/>
  <c r="H343" i="10"/>
  <c r="K343" i="10"/>
  <c r="L343" i="10"/>
  <c r="M343" i="10"/>
  <c r="N343" i="10"/>
  <c r="R343" i="10" s="1"/>
  <c r="O343" i="10"/>
  <c r="Q343" i="10"/>
  <c r="U343" i="10"/>
  <c r="V343" i="10"/>
  <c r="X343" i="10"/>
  <c r="A344" i="10"/>
  <c r="B344" i="10"/>
  <c r="D344" i="10"/>
  <c r="E344" i="10"/>
  <c r="F344" i="10"/>
  <c r="G344" i="10"/>
  <c r="H344" i="10"/>
  <c r="K344" i="10"/>
  <c r="L344" i="10"/>
  <c r="M344" i="10"/>
  <c r="N344" i="10"/>
  <c r="R344" i="10" s="1"/>
  <c r="O344" i="10"/>
  <c r="Q344" i="10"/>
  <c r="U344" i="10"/>
  <c r="V344" i="10"/>
  <c r="X344" i="10"/>
  <c r="A345" i="10"/>
  <c r="B345" i="10"/>
  <c r="D345" i="10"/>
  <c r="E345" i="10"/>
  <c r="F345" i="10"/>
  <c r="G345" i="10"/>
  <c r="H345" i="10"/>
  <c r="K345" i="10"/>
  <c r="L345" i="10"/>
  <c r="M345" i="10"/>
  <c r="N345" i="10"/>
  <c r="R345" i="10" s="1"/>
  <c r="O345" i="10"/>
  <c r="Q345" i="10"/>
  <c r="U345" i="10"/>
  <c r="V345" i="10"/>
  <c r="X345" i="10"/>
  <c r="A346" i="10"/>
  <c r="B346" i="10"/>
  <c r="D346" i="10"/>
  <c r="E346" i="10"/>
  <c r="F346" i="10"/>
  <c r="G346" i="10"/>
  <c r="H346" i="10"/>
  <c r="K346" i="10"/>
  <c r="L346" i="10"/>
  <c r="M346" i="10"/>
  <c r="N346" i="10"/>
  <c r="O346" i="10"/>
  <c r="Q346" i="10"/>
  <c r="R346" i="10"/>
  <c r="U346" i="10"/>
  <c r="V346" i="10"/>
  <c r="X346" i="10"/>
  <c r="A347" i="10"/>
  <c r="B347" i="10"/>
  <c r="D347" i="10"/>
  <c r="E347" i="10"/>
  <c r="F347" i="10"/>
  <c r="G347" i="10"/>
  <c r="H347" i="10"/>
  <c r="K347" i="10"/>
  <c r="L347" i="10"/>
  <c r="M347" i="10"/>
  <c r="N347" i="10"/>
  <c r="O347" i="10"/>
  <c r="Q347" i="10"/>
  <c r="R347" i="10"/>
  <c r="U347" i="10"/>
  <c r="V347" i="10"/>
  <c r="X347" i="10"/>
  <c r="A348" i="10"/>
  <c r="B348" i="10"/>
  <c r="D348" i="10"/>
  <c r="E348" i="10"/>
  <c r="F348" i="10"/>
  <c r="G348" i="10"/>
  <c r="H348" i="10"/>
  <c r="K348" i="10"/>
  <c r="L348" i="10"/>
  <c r="M348" i="10"/>
  <c r="N348" i="10"/>
  <c r="O348" i="10"/>
  <c r="Q348" i="10"/>
  <c r="R348" i="10"/>
  <c r="U348" i="10"/>
  <c r="V348" i="10"/>
  <c r="X348" i="10"/>
  <c r="A349" i="10"/>
  <c r="B349" i="10"/>
  <c r="D349" i="10"/>
  <c r="E349" i="10"/>
  <c r="F349" i="10"/>
  <c r="G349" i="10"/>
  <c r="H349" i="10"/>
  <c r="K349" i="10"/>
  <c r="L349" i="10"/>
  <c r="M349" i="10"/>
  <c r="N349" i="10"/>
  <c r="R349" i="10" s="1"/>
  <c r="O349" i="10"/>
  <c r="Q349" i="10"/>
  <c r="U349" i="10"/>
  <c r="V349" i="10"/>
  <c r="X349" i="10"/>
  <c r="A350" i="10"/>
  <c r="B350" i="10"/>
  <c r="D350" i="10"/>
  <c r="E350" i="10"/>
  <c r="F350" i="10"/>
  <c r="G350" i="10"/>
  <c r="H350" i="10"/>
  <c r="K350" i="10"/>
  <c r="L350" i="10"/>
  <c r="M350" i="10"/>
  <c r="N350" i="10"/>
  <c r="O350" i="10"/>
  <c r="Q350" i="10"/>
  <c r="R350" i="10"/>
  <c r="U350" i="10"/>
  <c r="V350" i="10"/>
  <c r="X350" i="10"/>
  <c r="A351" i="10"/>
  <c r="B351" i="10"/>
  <c r="D351" i="10"/>
  <c r="E351" i="10"/>
  <c r="F351" i="10"/>
  <c r="G351" i="10"/>
  <c r="H351" i="10"/>
  <c r="K351" i="10"/>
  <c r="L351" i="10"/>
  <c r="M351" i="10"/>
  <c r="N351" i="10"/>
  <c r="R351" i="10" s="1"/>
  <c r="O351" i="10"/>
  <c r="Q351" i="10"/>
  <c r="U351" i="10"/>
  <c r="V351" i="10"/>
  <c r="X351" i="10"/>
  <c r="A352" i="10"/>
  <c r="B352" i="10"/>
  <c r="D352" i="10"/>
  <c r="E352" i="10"/>
  <c r="F352" i="10"/>
  <c r="G352" i="10"/>
  <c r="H352" i="10"/>
  <c r="K352" i="10"/>
  <c r="L352" i="10"/>
  <c r="M352" i="10"/>
  <c r="N352" i="10"/>
  <c r="R352" i="10" s="1"/>
  <c r="O352" i="10"/>
  <c r="Q352" i="10"/>
  <c r="U352" i="10"/>
  <c r="V352" i="10"/>
  <c r="X352" i="10"/>
  <c r="A353" i="10"/>
  <c r="B353" i="10"/>
  <c r="D353" i="10"/>
  <c r="E353" i="10"/>
  <c r="F353" i="10"/>
  <c r="G353" i="10"/>
  <c r="H353" i="10"/>
  <c r="K353" i="10"/>
  <c r="L353" i="10"/>
  <c r="M353" i="10"/>
  <c r="N353" i="10"/>
  <c r="R353" i="10" s="1"/>
  <c r="O353" i="10"/>
  <c r="Q353" i="10"/>
  <c r="U353" i="10"/>
  <c r="V353" i="10"/>
  <c r="X353" i="10"/>
  <c r="A354" i="10"/>
  <c r="B354" i="10"/>
  <c r="D354" i="10"/>
  <c r="E354" i="10"/>
  <c r="F354" i="10"/>
  <c r="G354" i="10"/>
  <c r="H354" i="10"/>
  <c r="K354" i="10"/>
  <c r="L354" i="10"/>
  <c r="M354" i="10"/>
  <c r="N354" i="10"/>
  <c r="O354" i="10"/>
  <c r="Q354" i="10"/>
  <c r="R354" i="10"/>
  <c r="U354" i="10"/>
  <c r="V354" i="10"/>
  <c r="X354" i="10"/>
  <c r="A355" i="10"/>
  <c r="B355" i="10"/>
  <c r="D355" i="10"/>
  <c r="E355" i="10"/>
  <c r="F355" i="10"/>
  <c r="G355" i="10"/>
  <c r="H355" i="10"/>
  <c r="K355" i="10"/>
  <c r="L355" i="10"/>
  <c r="M355" i="10"/>
  <c r="N355" i="10"/>
  <c r="O355" i="10"/>
  <c r="Q355" i="10"/>
  <c r="R355" i="10"/>
  <c r="U355" i="10"/>
  <c r="V355" i="10"/>
  <c r="X355" i="10"/>
  <c r="A356" i="10"/>
  <c r="B356" i="10"/>
  <c r="D356" i="10"/>
  <c r="E356" i="10"/>
  <c r="F356" i="10"/>
  <c r="G356" i="10"/>
  <c r="H356" i="10"/>
  <c r="K356" i="10"/>
  <c r="L356" i="10"/>
  <c r="M356" i="10"/>
  <c r="N356" i="10"/>
  <c r="O356" i="10"/>
  <c r="Q356" i="10"/>
  <c r="R356" i="10"/>
  <c r="U356" i="10"/>
  <c r="V356" i="10"/>
  <c r="X356" i="10"/>
  <c r="A357" i="10"/>
  <c r="B357" i="10"/>
  <c r="D357" i="10"/>
  <c r="E357" i="10"/>
  <c r="F357" i="10"/>
  <c r="G357" i="10"/>
  <c r="H357" i="10"/>
  <c r="K357" i="10"/>
  <c r="L357" i="10"/>
  <c r="M357" i="10"/>
  <c r="N357" i="10"/>
  <c r="R357" i="10" s="1"/>
  <c r="O357" i="10"/>
  <c r="Q357" i="10"/>
  <c r="U357" i="10"/>
  <c r="V357" i="10"/>
  <c r="X357" i="10"/>
  <c r="A358" i="10"/>
  <c r="B358" i="10"/>
  <c r="D358" i="10"/>
  <c r="E358" i="10"/>
  <c r="F358" i="10"/>
  <c r="G358" i="10"/>
  <c r="H358" i="10"/>
  <c r="K358" i="10"/>
  <c r="L358" i="10"/>
  <c r="M358" i="10"/>
  <c r="N358" i="10"/>
  <c r="O358" i="10"/>
  <c r="Q358" i="10"/>
  <c r="R358" i="10"/>
  <c r="U358" i="10"/>
  <c r="V358" i="10"/>
  <c r="X358" i="10"/>
  <c r="A359" i="10"/>
  <c r="B359" i="10"/>
  <c r="D359" i="10"/>
  <c r="E359" i="10"/>
  <c r="F359" i="10"/>
  <c r="G359" i="10"/>
  <c r="H359" i="10"/>
  <c r="K359" i="10"/>
  <c r="L359" i="10"/>
  <c r="M359" i="10"/>
  <c r="N359" i="10"/>
  <c r="R359" i="10" s="1"/>
  <c r="O359" i="10"/>
  <c r="Q359" i="10"/>
  <c r="U359" i="10"/>
  <c r="V359" i="10"/>
  <c r="X359" i="10"/>
  <c r="A360" i="10"/>
  <c r="B360" i="10"/>
  <c r="D360" i="10"/>
  <c r="E360" i="10"/>
  <c r="F360" i="10"/>
  <c r="G360" i="10"/>
  <c r="H360" i="10"/>
  <c r="K360" i="10"/>
  <c r="L360" i="10"/>
  <c r="M360" i="10"/>
  <c r="N360" i="10"/>
  <c r="R360" i="10" s="1"/>
  <c r="O360" i="10"/>
  <c r="Q360" i="10"/>
  <c r="U360" i="10"/>
  <c r="V360" i="10"/>
  <c r="X360" i="10"/>
  <c r="A361" i="10"/>
  <c r="B361" i="10"/>
  <c r="D361" i="10"/>
  <c r="E361" i="10"/>
  <c r="F361" i="10"/>
  <c r="G361" i="10"/>
  <c r="H361" i="10"/>
  <c r="K361" i="10"/>
  <c r="L361" i="10"/>
  <c r="M361" i="10"/>
  <c r="N361" i="10"/>
  <c r="R361" i="10" s="1"/>
  <c r="O361" i="10"/>
  <c r="Q361" i="10"/>
  <c r="U361" i="10"/>
  <c r="V361" i="10"/>
  <c r="X361" i="10"/>
  <c r="A362" i="10"/>
  <c r="B362" i="10"/>
  <c r="D362" i="10"/>
  <c r="E362" i="10"/>
  <c r="F362" i="10"/>
  <c r="G362" i="10"/>
  <c r="H362" i="10"/>
  <c r="K362" i="10"/>
  <c r="L362" i="10"/>
  <c r="M362" i="10"/>
  <c r="N362" i="10"/>
  <c r="O362" i="10"/>
  <c r="Q362" i="10"/>
  <c r="R362" i="10"/>
  <c r="U362" i="10"/>
  <c r="V362" i="10"/>
  <c r="X362" i="10"/>
  <c r="A363" i="10"/>
  <c r="B363" i="10"/>
  <c r="D363" i="10"/>
  <c r="E363" i="10"/>
  <c r="F363" i="10"/>
  <c r="G363" i="10"/>
  <c r="H363" i="10"/>
  <c r="K363" i="10"/>
  <c r="L363" i="10"/>
  <c r="M363" i="10"/>
  <c r="N363" i="10"/>
  <c r="O363" i="10"/>
  <c r="Q363" i="10"/>
  <c r="R363" i="10"/>
  <c r="U363" i="10"/>
  <c r="V363" i="10"/>
  <c r="X363" i="10"/>
  <c r="A364" i="10"/>
  <c r="B364" i="10"/>
  <c r="D364" i="10"/>
  <c r="E364" i="10"/>
  <c r="F364" i="10"/>
  <c r="G364" i="10"/>
  <c r="H364" i="10"/>
  <c r="K364" i="10"/>
  <c r="L364" i="10"/>
  <c r="M364" i="10"/>
  <c r="N364" i="10"/>
  <c r="O364" i="10"/>
  <c r="Q364" i="10"/>
  <c r="R364" i="10"/>
  <c r="U364" i="10"/>
  <c r="V364" i="10"/>
  <c r="X364" i="10"/>
  <c r="A365" i="10"/>
  <c r="B365" i="10"/>
  <c r="D365" i="10"/>
  <c r="E365" i="10"/>
  <c r="F365" i="10"/>
  <c r="G365" i="10"/>
  <c r="H365" i="10"/>
  <c r="K365" i="10"/>
  <c r="L365" i="10"/>
  <c r="M365" i="10"/>
  <c r="N365" i="10"/>
  <c r="R365" i="10" s="1"/>
  <c r="O365" i="10"/>
  <c r="Q365" i="10"/>
  <c r="U365" i="10"/>
  <c r="V365" i="10"/>
  <c r="X365" i="10"/>
  <c r="A366" i="10"/>
  <c r="B366" i="10"/>
  <c r="D366" i="10"/>
  <c r="E366" i="10"/>
  <c r="F366" i="10"/>
  <c r="G366" i="10"/>
  <c r="H366" i="10"/>
  <c r="K366" i="10"/>
  <c r="L366" i="10"/>
  <c r="M366" i="10"/>
  <c r="N366" i="10"/>
  <c r="O366" i="10"/>
  <c r="Q366" i="10"/>
  <c r="R366" i="10"/>
  <c r="U366" i="10"/>
  <c r="V366" i="10"/>
  <c r="X366" i="10"/>
  <c r="A367" i="10"/>
  <c r="B367" i="10"/>
  <c r="D367" i="10"/>
  <c r="E367" i="10"/>
  <c r="F367" i="10"/>
  <c r="G367" i="10"/>
  <c r="H367" i="10"/>
  <c r="K367" i="10"/>
  <c r="L367" i="10"/>
  <c r="M367" i="10"/>
  <c r="N367" i="10"/>
  <c r="R367" i="10" s="1"/>
  <c r="O367" i="10"/>
  <c r="Q367" i="10"/>
  <c r="U367" i="10"/>
  <c r="V367" i="10"/>
  <c r="X367" i="10"/>
  <c r="A368" i="10"/>
  <c r="B368" i="10"/>
  <c r="M368" i="10" s="1"/>
  <c r="D368" i="10"/>
  <c r="E368" i="10"/>
  <c r="F368" i="10"/>
  <c r="G368" i="10"/>
  <c r="H368" i="10"/>
  <c r="K368" i="10"/>
  <c r="L368" i="10"/>
  <c r="N368" i="10"/>
  <c r="R368" i="10" s="1"/>
  <c r="O368" i="10"/>
  <c r="Q368" i="10"/>
  <c r="U368" i="10"/>
  <c r="V368" i="10"/>
  <c r="X368" i="10"/>
  <c r="A369" i="10"/>
  <c r="B369" i="10"/>
  <c r="M369" i="10" s="1"/>
  <c r="D369" i="10"/>
  <c r="E369" i="10"/>
  <c r="F369" i="10"/>
  <c r="G369" i="10"/>
  <c r="H369" i="10"/>
  <c r="K369" i="10"/>
  <c r="L369" i="10"/>
  <c r="N369" i="10"/>
  <c r="R369" i="10" s="1"/>
  <c r="O369" i="10"/>
  <c r="Q369" i="10"/>
  <c r="U369" i="10"/>
  <c r="V369" i="10"/>
  <c r="X369" i="10"/>
  <c r="A370" i="10"/>
  <c r="B370" i="10"/>
  <c r="D370" i="10"/>
  <c r="E370" i="10"/>
  <c r="F370" i="10"/>
  <c r="G370" i="10"/>
  <c r="H370" i="10"/>
  <c r="K370" i="10"/>
  <c r="L370" i="10"/>
  <c r="M370" i="10"/>
  <c r="N370" i="10"/>
  <c r="O370" i="10"/>
  <c r="Q370" i="10"/>
  <c r="R370" i="10"/>
  <c r="U370" i="10"/>
  <c r="V370" i="10"/>
  <c r="X370" i="10"/>
  <c r="A371" i="10"/>
  <c r="B371" i="10"/>
  <c r="D371" i="10"/>
  <c r="E371" i="10"/>
  <c r="F371" i="10"/>
  <c r="G371" i="10"/>
  <c r="H371" i="10"/>
  <c r="K371" i="10"/>
  <c r="L371" i="10"/>
  <c r="M371" i="10"/>
  <c r="N371" i="10"/>
  <c r="O371" i="10"/>
  <c r="Q371" i="10"/>
  <c r="R371" i="10"/>
  <c r="U371" i="10"/>
  <c r="V371" i="10"/>
  <c r="X371" i="10"/>
  <c r="A372" i="10"/>
  <c r="B372" i="10"/>
  <c r="D372" i="10"/>
  <c r="E372" i="10"/>
  <c r="F372" i="10"/>
  <c r="G372" i="10"/>
  <c r="H372" i="10"/>
  <c r="K372" i="10"/>
  <c r="L372" i="10"/>
  <c r="M372" i="10"/>
  <c r="N372" i="10"/>
  <c r="O372" i="10"/>
  <c r="Q372" i="10"/>
  <c r="R372" i="10"/>
  <c r="U372" i="10"/>
  <c r="V372" i="10"/>
  <c r="X372" i="10"/>
  <c r="A373" i="10"/>
  <c r="B373" i="10"/>
  <c r="D373" i="10"/>
  <c r="E373" i="10"/>
  <c r="F373" i="10"/>
  <c r="G373" i="10"/>
  <c r="H373" i="10"/>
  <c r="K373" i="10"/>
  <c r="L373" i="10"/>
  <c r="M373" i="10"/>
  <c r="N373" i="10"/>
  <c r="R373" i="10" s="1"/>
  <c r="O373" i="10"/>
  <c r="Q373" i="10"/>
  <c r="U373" i="10"/>
  <c r="V373" i="10"/>
  <c r="X373" i="10"/>
  <c r="A374" i="10"/>
  <c r="B374" i="10"/>
  <c r="D374" i="10"/>
  <c r="E374" i="10"/>
  <c r="F374" i="10"/>
  <c r="G374" i="10"/>
  <c r="H374" i="10"/>
  <c r="K374" i="10"/>
  <c r="L374" i="10"/>
  <c r="M374" i="10"/>
  <c r="N374" i="10"/>
  <c r="O374" i="10"/>
  <c r="Q374" i="10"/>
  <c r="R374" i="10"/>
  <c r="U374" i="10"/>
  <c r="V374" i="10"/>
  <c r="X374" i="10"/>
  <c r="A375" i="10"/>
  <c r="B375" i="10"/>
  <c r="D375" i="10"/>
  <c r="E375" i="10"/>
  <c r="F375" i="10"/>
  <c r="G375" i="10"/>
  <c r="H375" i="10"/>
  <c r="K375" i="10"/>
  <c r="L375" i="10"/>
  <c r="M375" i="10"/>
  <c r="N375" i="10"/>
  <c r="R375" i="10" s="1"/>
  <c r="O375" i="10"/>
  <c r="Q375" i="10"/>
  <c r="U375" i="10"/>
  <c r="V375" i="10"/>
  <c r="X375" i="10"/>
  <c r="A376" i="10"/>
  <c r="B376" i="10"/>
  <c r="D376" i="10"/>
  <c r="E376" i="10"/>
  <c r="F376" i="10"/>
  <c r="G376" i="10"/>
  <c r="H376" i="10"/>
  <c r="K376" i="10"/>
  <c r="L376" i="10"/>
  <c r="M376" i="10"/>
  <c r="N376" i="10"/>
  <c r="R376" i="10" s="1"/>
  <c r="O376" i="10"/>
  <c r="Q376" i="10"/>
  <c r="U376" i="10"/>
  <c r="V376" i="10"/>
  <c r="X376" i="10"/>
  <c r="A377" i="10"/>
  <c r="B377" i="10"/>
  <c r="D377" i="10"/>
  <c r="E377" i="10"/>
  <c r="F377" i="10"/>
  <c r="G377" i="10"/>
  <c r="H377" i="10"/>
  <c r="K377" i="10"/>
  <c r="L377" i="10"/>
  <c r="M377" i="10"/>
  <c r="N377" i="10"/>
  <c r="R377" i="10" s="1"/>
  <c r="O377" i="10"/>
  <c r="Q377" i="10"/>
  <c r="U377" i="10"/>
  <c r="V377" i="10"/>
  <c r="X377" i="10"/>
  <c r="A378" i="10"/>
  <c r="B378" i="10"/>
  <c r="D378" i="10"/>
  <c r="E378" i="10"/>
  <c r="F378" i="10"/>
  <c r="G378" i="10"/>
  <c r="H378" i="10"/>
  <c r="K378" i="10"/>
  <c r="L378" i="10"/>
  <c r="M378" i="10"/>
  <c r="N378" i="10"/>
  <c r="R378" i="10" s="1"/>
  <c r="O378" i="10"/>
  <c r="Q378" i="10"/>
  <c r="U378" i="10"/>
  <c r="V378" i="10"/>
  <c r="X378" i="10"/>
  <c r="A379" i="10"/>
  <c r="B379" i="10"/>
  <c r="D379" i="10"/>
  <c r="E379" i="10"/>
  <c r="F379" i="10"/>
  <c r="G379" i="10"/>
  <c r="H379" i="10"/>
  <c r="K379" i="10"/>
  <c r="L379" i="10"/>
  <c r="M379" i="10"/>
  <c r="N379" i="10"/>
  <c r="O379" i="10"/>
  <c r="Q379" i="10"/>
  <c r="R379" i="10"/>
  <c r="U379" i="10"/>
  <c r="V379" i="10"/>
  <c r="X379" i="10"/>
  <c r="A380" i="10"/>
  <c r="B380" i="10"/>
  <c r="D380" i="10"/>
  <c r="E380" i="10"/>
  <c r="F380" i="10"/>
  <c r="G380" i="10"/>
  <c r="H380" i="10"/>
  <c r="K380" i="10"/>
  <c r="L380" i="10"/>
  <c r="M380" i="10"/>
  <c r="N380" i="10"/>
  <c r="O380" i="10"/>
  <c r="Q380" i="10"/>
  <c r="R380" i="10"/>
  <c r="U380" i="10"/>
  <c r="V380" i="10"/>
  <c r="X380" i="10"/>
  <c r="A381" i="10"/>
  <c r="B381" i="10"/>
  <c r="D381" i="10"/>
  <c r="E381" i="10"/>
  <c r="F381" i="10"/>
  <c r="G381" i="10"/>
  <c r="H381" i="10"/>
  <c r="K381" i="10"/>
  <c r="L381" i="10"/>
  <c r="M381" i="10"/>
  <c r="N381" i="10"/>
  <c r="R381" i="10" s="1"/>
  <c r="O381" i="10"/>
  <c r="Q381" i="10"/>
  <c r="U381" i="10"/>
  <c r="V381" i="10"/>
  <c r="X381" i="10"/>
  <c r="A382" i="10"/>
  <c r="B382" i="10"/>
  <c r="D382" i="10"/>
  <c r="E382" i="10"/>
  <c r="F382" i="10"/>
  <c r="G382" i="10"/>
  <c r="H382" i="10"/>
  <c r="K382" i="10"/>
  <c r="L382" i="10"/>
  <c r="M382" i="10"/>
  <c r="N382" i="10"/>
  <c r="O382" i="10"/>
  <c r="Q382" i="10"/>
  <c r="R382" i="10"/>
  <c r="U382" i="10"/>
  <c r="V382" i="10"/>
  <c r="X382" i="10"/>
  <c r="A383" i="10"/>
  <c r="B383" i="10"/>
  <c r="D383" i="10"/>
  <c r="E383" i="10"/>
  <c r="F383" i="10"/>
  <c r="G383" i="10"/>
  <c r="H383" i="10"/>
  <c r="K383" i="10"/>
  <c r="L383" i="10"/>
  <c r="M383" i="10"/>
  <c r="N383" i="10"/>
  <c r="O383" i="10"/>
  <c r="Q383" i="10"/>
  <c r="R383" i="10"/>
  <c r="U383" i="10"/>
  <c r="V383" i="10"/>
  <c r="X383" i="10"/>
  <c r="A384" i="10"/>
  <c r="B384" i="10"/>
  <c r="D384" i="10"/>
  <c r="E384" i="10"/>
  <c r="F384" i="10"/>
  <c r="G384" i="10"/>
  <c r="H384" i="10"/>
  <c r="K384" i="10"/>
  <c r="L384" i="10"/>
  <c r="M384" i="10"/>
  <c r="N384" i="10"/>
  <c r="R384" i="10" s="1"/>
  <c r="O384" i="10"/>
  <c r="Q384" i="10"/>
  <c r="U384" i="10"/>
  <c r="V384" i="10"/>
  <c r="X384" i="10"/>
  <c r="A385" i="10"/>
  <c r="B385" i="10"/>
  <c r="D385" i="10"/>
  <c r="E385" i="10"/>
  <c r="F385" i="10"/>
  <c r="G385" i="10"/>
  <c r="H385" i="10"/>
  <c r="K385" i="10"/>
  <c r="L385" i="10"/>
  <c r="M385" i="10"/>
  <c r="N385" i="10"/>
  <c r="R385" i="10" s="1"/>
  <c r="O385" i="10"/>
  <c r="Q385" i="10"/>
  <c r="U385" i="10"/>
  <c r="V385" i="10"/>
  <c r="X385" i="10"/>
  <c r="A386" i="10"/>
  <c r="B386" i="10"/>
  <c r="D386" i="10"/>
  <c r="E386" i="10"/>
  <c r="F386" i="10"/>
  <c r="G386" i="10"/>
  <c r="H386" i="10"/>
  <c r="K386" i="10"/>
  <c r="L386" i="10"/>
  <c r="M386" i="10"/>
  <c r="N386" i="10"/>
  <c r="O386" i="10"/>
  <c r="Q386" i="10"/>
  <c r="R386" i="10"/>
  <c r="U386" i="10"/>
  <c r="V386" i="10"/>
  <c r="X386" i="10"/>
  <c r="A387" i="10"/>
  <c r="B387" i="10"/>
  <c r="D387" i="10"/>
  <c r="E387" i="10"/>
  <c r="F387" i="10"/>
  <c r="G387" i="10"/>
  <c r="H387" i="10"/>
  <c r="K387" i="10"/>
  <c r="L387" i="10"/>
  <c r="M387" i="10"/>
  <c r="N387" i="10"/>
  <c r="O387" i="10"/>
  <c r="Q387" i="10"/>
  <c r="R387" i="10"/>
  <c r="U387" i="10"/>
  <c r="V387" i="10"/>
  <c r="X387" i="10"/>
  <c r="A388" i="10"/>
  <c r="B388" i="10"/>
  <c r="D388" i="10"/>
  <c r="E388" i="10"/>
  <c r="F388" i="10"/>
  <c r="G388" i="10"/>
  <c r="H388" i="10"/>
  <c r="K388" i="10"/>
  <c r="L388" i="10"/>
  <c r="M388" i="10"/>
  <c r="N388" i="10"/>
  <c r="O388" i="10"/>
  <c r="Q388" i="10"/>
  <c r="R388" i="10"/>
  <c r="U388" i="10"/>
  <c r="V388" i="10"/>
  <c r="X388" i="10"/>
  <c r="A389" i="10"/>
  <c r="B389" i="10"/>
  <c r="D389" i="10"/>
  <c r="E389" i="10"/>
  <c r="F389" i="10"/>
  <c r="G389" i="10"/>
  <c r="H389" i="10"/>
  <c r="K389" i="10"/>
  <c r="L389" i="10"/>
  <c r="M389" i="10"/>
  <c r="N389" i="10"/>
  <c r="R389" i="10" s="1"/>
  <c r="O389" i="10"/>
  <c r="Q389" i="10"/>
  <c r="U389" i="10"/>
  <c r="V389" i="10"/>
  <c r="X389" i="10"/>
  <c r="A390" i="10"/>
  <c r="B390" i="10"/>
  <c r="M390" i="10" s="1"/>
  <c r="D390" i="10"/>
  <c r="E390" i="10"/>
  <c r="F390" i="10"/>
  <c r="G390" i="10"/>
  <c r="H390" i="10"/>
  <c r="K390" i="10"/>
  <c r="L390" i="10"/>
  <c r="N390" i="10"/>
  <c r="O390" i="10"/>
  <c r="Q390" i="10"/>
  <c r="R390" i="10"/>
  <c r="U390" i="10"/>
  <c r="V390" i="10"/>
  <c r="X390" i="10"/>
  <c r="A391" i="10"/>
  <c r="B391" i="10"/>
  <c r="D391" i="10"/>
  <c r="E391" i="10"/>
  <c r="F391" i="10"/>
  <c r="G391" i="10"/>
  <c r="H391" i="10"/>
  <c r="K391" i="10"/>
  <c r="L391" i="10"/>
  <c r="M391" i="10"/>
  <c r="N391" i="10"/>
  <c r="R391" i="10" s="1"/>
  <c r="O391" i="10"/>
  <c r="Q391" i="10"/>
  <c r="U391" i="10"/>
  <c r="V391" i="10"/>
  <c r="X391" i="10"/>
  <c r="A392" i="10"/>
  <c r="B392" i="10"/>
  <c r="D392" i="10"/>
  <c r="E392" i="10"/>
  <c r="F392" i="10"/>
  <c r="G392" i="10"/>
  <c r="H392" i="10"/>
  <c r="K392" i="10"/>
  <c r="L392" i="10"/>
  <c r="M392" i="10"/>
  <c r="N392" i="10"/>
  <c r="R392" i="10" s="1"/>
  <c r="O392" i="10"/>
  <c r="Q392" i="10"/>
  <c r="U392" i="10"/>
  <c r="V392" i="10"/>
  <c r="X392" i="10"/>
  <c r="A393" i="10"/>
  <c r="B393" i="10"/>
  <c r="D393" i="10"/>
  <c r="E393" i="10"/>
  <c r="F393" i="10"/>
  <c r="G393" i="10"/>
  <c r="H393" i="10"/>
  <c r="K393" i="10"/>
  <c r="L393" i="10"/>
  <c r="M393" i="10"/>
  <c r="N393" i="10"/>
  <c r="R393" i="10" s="1"/>
  <c r="O393" i="10"/>
  <c r="Q393" i="10"/>
  <c r="U393" i="10"/>
  <c r="V393" i="10"/>
  <c r="X393" i="10"/>
  <c r="A394" i="10"/>
  <c r="B394" i="10"/>
  <c r="D394" i="10"/>
  <c r="E394" i="10"/>
  <c r="F394" i="10"/>
  <c r="G394" i="10"/>
  <c r="H394" i="10"/>
  <c r="K394" i="10"/>
  <c r="L394" i="10"/>
  <c r="M394" i="10"/>
  <c r="N394" i="10"/>
  <c r="O394" i="10"/>
  <c r="Q394" i="10"/>
  <c r="R394" i="10"/>
  <c r="U394" i="10"/>
  <c r="V394" i="10"/>
  <c r="X394" i="10"/>
  <c r="A395" i="10"/>
  <c r="B395" i="10"/>
  <c r="D395" i="10"/>
  <c r="E395" i="10"/>
  <c r="F395" i="10"/>
  <c r="G395" i="10"/>
  <c r="H395" i="10"/>
  <c r="K395" i="10"/>
  <c r="L395" i="10"/>
  <c r="M395" i="10"/>
  <c r="N395" i="10"/>
  <c r="O395" i="10"/>
  <c r="Q395" i="10"/>
  <c r="R395" i="10"/>
  <c r="U395" i="10"/>
  <c r="V395" i="10"/>
  <c r="X395" i="10"/>
  <c r="A396" i="10"/>
  <c r="B396" i="10"/>
  <c r="D396" i="10"/>
  <c r="E396" i="10"/>
  <c r="F396" i="10"/>
  <c r="G396" i="10"/>
  <c r="H396" i="10"/>
  <c r="K396" i="10"/>
  <c r="L396" i="10"/>
  <c r="M396" i="10"/>
  <c r="N396" i="10"/>
  <c r="O396" i="10"/>
  <c r="Q396" i="10"/>
  <c r="R396" i="10"/>
  <c r="U396" i="10"/>
  <c r="V396" i="10"/>
  <c r="X396" i="10"/>
  <c r="A397" i="10"/>
  <c r="B397" i="10"/>
  <c r="D397" i="10"/>
  <c r="E397" i="10"/>
  <c r="F397" i="10"/>
  <c r="G397" i="10"/>
  <c r="H397" i="10"/>
  <c r="K397" i="10"/>
  <c r="L397" i="10"/>
  <c r="M397" i="10"/>
  <c r="N397" i="10"/>
  <c r="R397" i="10" s="1"/>
  <c r="O397" i="10"/>
  <c r="Q397" i="10"/>
  <c r="U397" i="10"/>
  <c r="V397" i="10"/>
  <c r="X397" i="10"/>
  <c r="A398" i="10"/>
  <c r="B398" i="10"/>
  <c r="D398" i="10"/>
  <c r="E398" i="10"/>
  <c r="F398" i="10"/>
  <c r="G398" i="10"/>
  <c r="H398" i="10"/>
  <c r="K398" i="10"/>
  <c r="L398" i="10"/>
  <c r="M398" i="10"/>
  <c r="N398" i="10"/>
  <c r="O398" i="10"/>
  <c r="Q398" i="10"/>
  <c r="R398" i="10"/>
  <c r="U398" i="10"/>
  <c r="V398" i="10"/>
  <c r="X398" i="10"/>
  <c r="A399" i="10"/>
  <c r="B399" i="10"/>
  <c r="D399" i="10"/>
  <c r="E399" i="10"/>
  <c r="F399" i="10"/>
  <c r="G399" i="10"/>
  <c r="H399" i="10"/>
  <c r="K399" i="10"/>
  <c r="L399" i="10"/>
  <c r="M399" i="10"/>
  <c r="N399" i="10"/>
  <c r="R399" i="10" s="1"/>
  <c r="O399" i="10"/>
  <c r="Q399" i="10"/>
  <c r="U399" i="10"/>
  <c r="V399" i="10"/>
  <c r="X399" i="10"/>
  <c r="A400" i="10"/>
  <c r="B400" i="10"/>
  <c r="M400" i="10" s="1"/>
  <c r="D400" i="10"/>
  <c r="E400" i="10"/>
  <c r="F400" i="10"/>
  <c r="G400" i="10"/>
  <c r="H400" i="10"/>
  <c r="K400" i="10"/>
  <c r="L400" i="10"/>
  <c r="N400" i="10"/>
  <c r="R400" i="10" s="1"/>
  <c r="O400" i="10"/>
  <c r="Q400" i="10"/>
  <c r="U400" i="10"/>
  <c r="V400" i="10"/>
  <c r="X400" i="10"/>
  <c r="A401" i="10"/>
  <c r="B401" i="10"/>
  <c r="M401" i="10" s="1"/>
  <c r="D401" i="10"/>
  <c r="E401" i="10"/>
  <c r="F401" i="10"/>
  <c r="G401" i="10"/>
  <c r="H401" i="10"/>
  <c r="K401" i="10"/>
  <c r="L401" i="10"/>
  <c r="N401" i="10"/>
  <c r="R401" i="10" s="1"/>
  <c r="O401" i="10"/>
  <c r="Q401" i="10"/>
  <c r="U401" i="10"/>
  <c r="V401" i="10"/>
  <c r="X401" i="10"/>
  <c r="A402" i="10"/>
  <c r="B402" i="10"/>
  <c r="M402" i="10" s="1"/>
  <c r="D402" i="10"/>
  <c r="E402" i="10"/>
  <c r="F402" i="10"/>
  <c r="G402" i="10"/>
  <c r="H402" i="10"/>
  <c r="K402" i="10"/>
  <c r="L402" i="10"/>
  <c r="N402" i="10"/>
  <c r="O402" i="10"/>
  <c r="Q402" i="10"/>
  <c r="R402" i="10"/>
  <c r="U402" i="10"/>
  <c r="V402" i="10"/>
  <c r="X402" i="10"/>
  <c r="A403" i="10"/>
  <c r="B403" i="10"/>
  <c r="D403" i="10"/>
  <c r="E403" i="10"/>
  <c r="F403" i="10"/>
  <c r="G403" i="10"/>
  <c r="H403" i="10"/>
  <c r="K403" i="10"/>
  <c r="L403" i="10"/>
  <c r="M403" i="10"/>
  <c r="N403" i="10"/>
  <c r="O403" i="10"/>
  <c r="Q403" i="10"/>
  <c r="R403" i="10"/>
  <c r="U403" i="10"/>
  <c r="V403" i="10"/>
  <c r="X403" i="10"/>
  <c r="A404" i="10"/>
  <c r="B404" i="10"/>
  <c r="D404" i="10"/>
  <c r="E404" i="10"/>
  <c r="F404" i="10"/>
  <c r="G404" i="10"/>
  <c r="H404" i="10"/>
  <c r="K404" i="10"/>
  <c r="L404" i="10"/>
  <c r="M404" i="10"/>
  <c r="N404" i="10"/>
  <c r="O404" i="10"/>
  <c r="Q404" i="10"/>
  <c r="R404" i="10"/>
  <c r="U404" i="10"/>
  <c r="V404" i="10"/>
  <c r="X404" i="10"/>
  <c r="A405" i="10"/>
  <c r="B405" i="10"/>
  <c r="D405" i="10"/>
  <c r="E405" i="10"/>
  <c r="F405" i="10"/>
  <c r="G405" i="10"/>
  <c r="H405" i="10"/>
  <c r="K405" i="10"/>
  <c r="L405" i="10"/>
  <c r="M405" i="10"/>
  <c r="N405" i="10"/>
  <c r="O405" i="10"/>
  <c r="Q405" i="10"/>
  <c r="R405" i="10"/>
  <c r="U405" i="10"/>
  <c r="V405" i="10"/>
  <c r="X405" i="10"/>
  <c r="A406" i="10"/>
  <c r="B406" i="10"/>
  <c r="D406" i="10"/>
  <c r="E406" i="10"/>
  <c r="F406" i="10"/>
  <c r="G406" i="10"/>
  <c r="H406" i="10"/>
  <c r="K406" i="10"/>
  <c r="L406" i="10"/>
  <c r="M406" i="10"/>
  <c r="N406" i="10"/>
  <c r="O406" i="10"/>
  <c r="Q406" i="10"/>
  <c r="R406" i="10"/>
  <c r="U406" i="10"/>
  <c r="V406" i="10"/>
  <c r="X406" i="10"/>
  <c r="A407" i="10"/>
  <c r="B407" i="10"/>
  <c r="D407" i="10"/>
  <c r="E407" i="10"/>
  <c r="F407" i="10"/>
  <c r="G407" i="10"/>
  <c r="H407" i="10"/>
  <c r="K407" i="10"/>
  <c r="L407" i="10"/>
  <c r="M407" i="10"/>
  <c r="N407" i="10"/>
  <c r="R407" i="10" s="1"/>
  <c r="O407" i="10"/>
  <c r="Q407" i="10"/>
  <c r="U407" i="10"/>
  <c r="V407" i="10"/>
  <c r="X407" i="10"/>
  <c r="A408" i="10"/>
  <c r="B408" i="10"/>
  <c r="D408" i="10"/>
  <c r="E408" i="10"/>
  <c r="F408" i="10"/>
  <c r="G408" i="10"/>
  <c r="H408" i="10"/>
  <c r="K408" i="10"/>
  <c r="L408" i="10"/>
  <c r="M408" i="10"/>
  <c r="N408" i="10"/>
  <c r="R408" i="10" s="1"/>
  <c r="O408" i="10"/>
  <c r="Q408" i="10"/>
  <c r="U408" i="10"/>
  <c r="V408" i="10"/>
  <c r="X408" i="10"/>
  <c r="A409" i="10"/>
  <c r="B409" i="10"/>
  <c r="D409" i="10"/>
  <c r="E409" i="10"/>
  <c r="F409" i="10"/>
  <c r="G409" i="10"/>
  <c r="H409" i="10"/>
  <c r="K409" i="10"/>
  <c r="L409" i="10"/>
  <c r="M409" i="10"/>
  <c r="N409" i="10"/>
  <c r="R409" i="10" s="1"/>
  <c r="O409" i="10"/>
  <c r="Q409" i="10"/>
  <c r="U409" i="10"/>
  <c r="V409" i="10"/>
  <c r="X409" i="10"/>
  <c r="A410" i="10"/>
  <c r="B410" i="10"/>
  <c r="D410" i="10"/>
  <c r="E410" i="10"/>
  <c r="F410" i="10"/>
  <c r="G410" i="10"/>
  <c r="H410" i="10"/>
  <c r="K410" i="10"/>
  <c r="L410" i="10"/>
  <c r="M410" i="10"/>
  <c r="N410" i="10"/>
  <c r="R410" i="10" s="1"/>
  <c r="O410" i="10"/>
  <c r="Q410" i="10"/>
  <c r="U410" i="10"/>
  <c r="V410" i="10"/>
  <c r="X410" i="10"/>
  <c r="A411" i="10"/>
  <c r="B411" i="10"/>
  <c r="D411" i="10"/>
  <c r="E411" i="10"/>
  <c r="F411" i="10"/>
  <c r="G411" i="10"/>
  <c r="H411" i="10"/>
  <c r="K411" i="10"/>
  <c r="L411" i="10"/>
  <c r="M411" i="10"/>
  <c r="N411" i="10"/>
  <c r="O411" i="10"/>
  <c r="Q411" i="10"/>
  <c r="R411" i="10"/>
  <c r="U411" i="10"/>
  <c r="V411" i="10"/>
  <c r="X411" i="10"/>
  <c r="A412" i="10"/>
  <c r="B412" i="10"/>
  <c r="D412" i="10"/>
  <c r="E412" i="10"/>
  <c r="F412" i="10"/>
  <c r="G412" i="10"/>
  <c r="H412" i="10"/>
  <c r="K412" i="10"/>
  <c r="L412" i="10"/>
  <c r="M412" i="10"/>
  <c r="N412" i="10"/>
  <c r="O412" i="10"/>
  <c r="Q412" i="10"/>
  <c r="R412" i="10"/>
  <c r="U412" i="10"/>
  <c r="V412" i="10"/>
  <c r="X412" i="10"/>
  <c r="A413" i="10"/>
  <c r="B413" i="10"/>
  <c r="D413" i="10"/>
  <c r="E413" i="10"/>
  <c r="F413" i="10"/>
  <c r="G413" i="10"/>
  <c r="H413" i="10"/>
  <c r="K413" i="10"/>
  <c r="L413" i="10"/>
  <c r="M413" i="10"/>
  <c r="N413" i="10"/>
  <c r="R413" i="10" s="1"/>
  <c r="O413" i="10"/>
  <c r="Q413" i="10"/>
  <c r="U413" i="10"/>
  <c r="V413" i="10"/>
  <c r="X413" i="10"/>
  <c r="A414" i="10"/>
  <c r="B414" i="10"/>
  <c r="D414" i="10"/>
  <c r="E414" i="10"/>
  <c r="F414" i="10"/>
  <c r="G414" i="10"/>
  <c r="H414" i="10"/>
  <c r="K414" i="10"/>
  <c r="L414" i="10"/>
  <c r="M414" i="10"/>
  <c r="N414" i="10"/>
  <c r="O414" i="10"/>
  <c r="Q414" i="10"/>
  <c r="R414" i="10"/>
  <c r="U414" i="10"/>
  <c r="V414" i="10"/>
  <c r="X414" i="10"/>
  <c r="A415" i="10"/>
  <c r="B415" i="10"/>
  <c r="D415" i="10"/>
  <c r="E415" i="10"/>
  <c r="F415" i="10"/>
  <c r="G415" i="10"/>
  <c r="H415" i="10"/>
  <c r="K415" i="10"/>
  <c r="L415" i="10"/>
  <c r="M415" i="10"/>
  <c r="N415" i="10"/>
  <c r="O415" i="10"/>
  <c r="Q415" i="10"/>
  <c r="R415" i="10"/>
  <c r="U415" i="10"/>
  <c r="V415" i="10"/>
  <c r="X415" i="10"/>
  <c r="A416" i="10"/>
  <c r="B416" i="10"/>
  <c r="D416" i="10"/>
  <c r="E416" i="10"/>
  <c r="F416" i="10"/>
  <c r="G416" i="10"/>
  <c r="H416" i="10"/>
  <c r="K416" i="10"/>
  <c r="L416" i="10"/>
  <c r="M416" i="10"/>
  <c r="N416" i="10"/>
  <c r="R416" i="10" s="1"/>
  <c r="O416" i="10"/>
  <c r="Q416" i="10"/>
  <c r="U416" i="10"/>
  <c r="V416" i="10"/>
  <c r="X416" i="10"/>
  <c r="A417" i="10"/>
  <c r="B417" i="10"/>
  <c r="D417" i="10"/>
  <c r="E417" i="10"/>
  <c r="F417" i="10"/>
  <c r="G417" i="10"/>
  <c r="H417" i="10"/>
  <c r="K417" i="10"/>
  <c r="L417" i="10"/>
  <c r="M417" i="10"/>
  <c r="N417" i="10"/>
  <c r="R417" i="10" s="1"/>
  <c r="O417" i="10"/>
  <c r="Q417" i="10"/>
  <c r="U417" i="10"/>
  <c r="V417" i="10"/>
  <c r="X417" i="10"/>
  <c r="A418" i="10"/>
  <c r="B418" i="10"/>
  <c r="D418" i="10"/>
  <c r="E418" i="10"/>
  <c r="F418" i="10"/>
  <c r="G418" i="10"/>
  <c r="H418" i="10"/>
  <c r="K418" i="10"/>
  <c r="L418" i="10"/>
  <c r="M418" i="10"/>
  <c r="N418" i="10"/>
  <c r="O418" i="10"/>
  <c r="Q418" i="10"/>
  <c r="R418" i="10"/>
  <c r="U418" i="10"/>
  <c r="V418" i="10"/>
  <c r="X418" i="10"/>
  <c r="A419" i="10"/>
  <c r="B419" i="10"/>
  <c r="D419" i="10"/>
  <c r="E419" i="10"/>
  <c r="F419" i="10"/>
  <c r="G419" i="10"/>
  <c r="H419" i="10"/>
  <c r="K419" i="10"/>
  <c r="L419" i="10"/>
  <c r="M419" i="10"/>
  <c r="N419" i="10"/>
  <c r="O419" i="10"/>
  <c r="Q419" i="10"/>
  <c r="R419" i="10"/>
  <c r="U419" i="10"/>
  <c r="V419" i="10"/>
  <c r="X419" i="10"/>
  <c r="A420" i="10"/>
  <c r="B420" i="10"/>
  <c r="D420" i="10"/>
  <c r="E420" i="10"/>
  <c r="F420" i="10"/>
  <c r="G420" i="10"/>
  <c r="H420" i="10"/>
  <c r="K420" i="10"/>
  <c r="L420" i="10"/>
  <c r="M420" i="10"/>
  <c r="N420" i="10"/>
  <c r="O420" i="10"/>
  <c r="Q420" i="10"/>
  <c r="R420" i="10"/>
  <c r="U420" i="10"/>
  <c r="V420" i="10"/>
  <c r="X420" i="10"/>
  <c r="A421" i="10"/>
  <c r="B421" i="10"/>
  <c r="D421" i="10"/>
  <c r="E421" i="10"/>
  <c r="F421" i="10"/>
  <c r="G421" i="10"/>
  <c r="H421" i="10"/>
  <c r="K421" i="10"/>
  <c r="L421" i="10"/>
  <c r="M421" i="10"/>
  <c r="N421" i="10"/>
  <c r="R421" i="10" s="1"/>
  <c r="O421" i="10"/>
  <c r="Q421" i="10"/>
  <c r="U421" i="10"/>
  <c r="V421" i="10"/>
  <c r="X421" i="10"/>
  <c r="A422" i="10"/>
  <c r="B422" i="10"/>
  <c r="M422" i="10" s="1"/>
  <c r="D422" i="10"/>
  <c r="E422" i="10"/>
  <c r="F422" i="10"/>
  <c r="G422" i="10"/>
  <c r="H422" i="10"/>
  <c r="K422" i="10"/>
  <c r="L422" i="10"/>
  <c r="N422" i="10"/>
  <c r="O422" i="10"/>
  <c r="Q422" i="10"/>
  <c r="R422" i="10"/>
  <c r="U422" i="10"/>
  <c r="V422" i="10"/>
  <c r="X422" i="10"/>
  <c r="A423" i="10"/>
  <c r="B423" i="10"/>
  <c r="D423" i="10"/>
  <c r="E423" i="10"/>
  <c r="F423" i="10"/>
  <c r="G423" i="10"/>
  <c r="H423" i="10"/>
  <c r="K423" i="10"/>
  <c r="L423" i="10"/>
  <c r="M423" i="10"/>
  <c r="N423" i="10"/>
  <c r="R423" i="10" s="1"/>
  <c r="O423" i="10"/>
  <c r="Q423" i="10"/>
  <c r="U423" i="10"/>
  <c r="V423" i="10"/>
  <c r="X423" i="10"/>
  <c r="A424" i="10"/>
  <c r="B424" i="10"/>
  <c r="D424" i="10"/>
  <c r="E424" i="10"/>
  <c r="F424" i="10"/>
  <c r="G424" i="10"/>
  <c r="H424" i="10"/>
  <c r="K424" i="10"/>
  <c r="L424" i="10"/>
  <c r="M424" i="10"/>
  <c r="N424" i="10"/>
  <c r="R424" i="10" s="1"/>
  <c r="O424" i="10"/>
  <c r="Q424" i="10"/>
  <c r="U424" i="10"/>
  <c r="V424" i="10"/>
  <c r="X424" i="10"/>
  <c r="A425" i="10"/>
  <c r="B425" i="10"/>
  <c r="D425" i="10"/>
  <c r="E425" i="10"/>
  <c r="F425" i="10"/>
  <c r="G425" i="10"/>
  <c r="H425" i="10"/>
  <c r="K425" i="10"/>
  <c r="L425" i="10"/>
  <c r="M425" i="10"/>
  <c r="N425" i="10"/>
  <c r="R425" i="10" s="1"/>
  <c r="O425" i="10"/>
  <c r="Q425" i="10"/>
  <c r="U425" i="10"/>
  <c r="V425" i="10"/>
  <c r="X425" i="10"/>
  <c r="A426" i="10"/>
  <c r="B426" i="10"/>
  <c r="D426" i="10"/>
  <c r="E426" i="10"/>
  <c r="F426" i="10"/>
  <c r="G426" i="10"/>
  <c r="H426" i="10"/>
  <c r="K426" i="10"/>
  <c r="L426" i="10"/>
  <c r="M426" i="10"/>
  <c r="N426" i="10"/>
  <c r="O426" i="10"/>
  <c r="Q426" i="10"/>
  <c r="R426" i="10"/>
  <c r="U426" i="10"/>
  <c r="V426" i="10"/>
  <c r="X426" i="10"/>
  <c r="A427" i="10"/>
  <c r="B427" i="10"/>
  <c r="D427" i="10"/>
  <c r="E427" i="10"/>
  <c r="F427" i="10"/>
  <c r="G427" i="10"/>
  <c r="H427" i="10"/>
  <c r="K427" i="10"/>
  <c r="L427" i="10"/>
  <c r="M427" i="10"/>
  <c r="N427" i="10"/>
  <c r="O427" i="10"/>
  <c r="Q427" i="10"/>
  <c r="R427" i="10"/>
  <c r="U427" i="10"/>
  <c r="V427" i="10"/>
  <c r="X427" i="10"/>
  <c r="A428" i="10"/>
  <c r="B428" i="10"/>
  <c r="D428" i="10"/>
  <c r="E428" i="10"/>
  <c r="F428" i="10"/>
  <c r="G428" i="10"/>
  <c r="H428" i="10"/>
  <c r="K428" i="10"/>
  <c r="L428" i="10"/>
  <c r="M428" i="10"/>
  <c r="N428" i="10"/>
  <c r="O428" i="10"/>
  <c r="Q428" i="10"/>
  <c r="R428" i="10"/>
  <c r="U428" i="10"/>
  <c r="V428" i="10"/>
  <c r="X428" i="10"/>
  <c r="A429" i="10"/>
  <c r="B429" i="10"/>
  <c r="D429" i="10"/>
  <c r="E429" i="10"/>
  <c r="F429" i="10"/>
  <c r="G429" i="10"/>
  <c r="H429" i="10"/>
  <c r="K429" i="10"/>
  <c r="L429" i="10"/>
  <c r="M429" i="10"/>
  <c r="N429" i="10"/>
  <c r="R429" i="10" s="1"/>
  <c r="O429" i="10"/>
  <c r="Q429" i="10"/>
  <c r="U429" i="10"/>
  <c r="V429" i="10"/>
  <c r="X429" i="10"/>
  <c r="A430" i="10"/>
  <c r="B430" i="10"/>
  <c r="D430" i="10"/>
  <c r="E430" i="10"/>
  <c r="F430" i="10"/>
  <c r="G430" i="10"/>
  <c r="H430" i="10"/>
  <c r="K430" i="10"/>
  <c r="L430" i="10"/>
  <c r="M430" i="10"/>
  <c r="N430" i="10"/>
  <c r="O430" i="10"/>
  <c r="Q430" i="10"/>
  <c r="R430" i="10"/>
  <c r="U430" i="10"/>
  <c r="V430" i="10"/>
  <c r="X430" i="10"/>
  <c r="A431" i="10"/>
  <c r="B431" i="10"/>
  <c r="D431" i="10"/>
  <c r="E431" i="10"/>
  <c r="F431" i="10"/>
  <c r="G431" i="10"/>
  <c r="H431" i="10"/>
  <c r="K431" i="10"/>
  <c r="L431" i="10"/>
  <c r="M431" i="10"/>
  <c r="N431" i="10"/>
  <c r="R431" i="10" s="1"/>
  <c r="O431" i="10"/>
  <c r="Q431" i="10"/>
  <c r="U431" i="10"/>
  <c r="V431" i="10"/>
  <c r="X431" i="10"/>
  <c r="A432" i="10"/>
  <c r="B432" i="10"/>
  <c r="M432" i="10" s="1"/>
  <c r="D432" i="10"/>
  <c r="E432" i="10"/>
  <c r="F432" i="10"/>
  <c r="G432" i="10"/>
  <c r="H432" i="10"/>
  <c r="K432" i="10"/>
  <c r="L432" i="10"/>
  <c r="N432" i="10"/>
  <c r="R432" i="10" s="1"/>
  <c r="O432" i="10"/>
  <c r="Q432" i="10"/>
  <c r="U432" i="10"/>
  <c r="V432" i="10"/>
  <c r="X432" i="10"/>
  <c r="A433" i="10"/>
  <c r="B433" i="10"/>
  <c r="D433" i="10"/>
  <c r="E433" i="10"/>
  <c r="F433" i="10"/>
  <c r="G433" i="10"/>
  <c r="H433" i="10"/>
  <c r="K433" i="10"/>
  <c r="L433" i="10"/>
  <c r="M433" i="10"/>
  <c r="N433" i="10"/>
  <c r="R433" i="10" s="1"/>
  <c r="O433" i="10"/>
  <c r="Q433" i="10"/>
  <c r="U433" i="10"/>
  <c r="V433" i="10"/>
  <c r="X433" i="10"/>
  <c r="A434" i="10"/>
  <c r="B434" i="10"/>
  <c r="D434" i="10"/>
  <c r="E434" i="10"/>
  <c r="F434" i="10"/>
  <c r="G434" i="10"/>
  <c r="H434" i="10"/>
  <c r="K434" i="10"/>
  <c r="L434" i="10"/>
  <c r="M434" i="10"/>
  <c r="N434" i="10"/>
  <c r="O434" i="10"/>
  <c r="Q434" i="10"/>
  <c r="R434" i="10"/>
  <c r="U434" i="10"/>
  <c r="V434" i="10"/>
  <c r="X434" i="10"/>
  <c r="A435" i="10"/>
  <c r="B435" i="10"/>
  <c r="D435" i="10"/>
  <c r="E435" i="10"/>
  <c r="F435" i="10"/>
  <c r="G435" i="10"/>
  <c r="H435" i="10"/>
  <c r="K435" i="10"/>
  <c r="L435" i="10"/>
  <c r="M435" i="10"/>
  <c r="N435" i="10"/>
  <c r="O435" i="10"/>
  <c r="Q435" i="10"/>
  <c r="R435" i="10"/>
  <c r="U435" i="10"/>
  <c r="V435" i="10"/>
  <c r="X435" i="10"/>
  <c r="A436" i="10"/>
  <c r="B436" i="10"/>
  <c r="D436" i="10"/>
  <c r="E436" i="10"/>
  <c r="F436" i="10"/>
  <c r="G436" i="10"/>
  <c r="H436" i="10"/>
  <c r="K436" i="10"/>
  <c r="L436" i="10"/>
  <c r="M436" i="10"/>
  <c r="N436" i="10"/>
  <c r="O436" i="10"/>
  <c r="Q436" i="10"/>
  <c r="R436" i="10"/>
  <c r="U436" i="10"/>
  <c r="V436" i="10"/>
  <c r="X436" i="10"/>
  <c r="A437" i="10"/>
  <c r="B437" i="10"/>
  <c r="D437" i="10"/>
  <c r="E437" i="10"/>
  <c r="F437" i="10"/>
  <c r="G437" i="10"/>
  <c r="H437" i="10"/>
  <c r="K437" i="10"/>
  <c r="L437" i="10"/>
  <c r="M437" i="10"/>
  <c r="N437" i="10"/>
  <c r="O437" i="10"/>
  <c r="Q437" i="10"/>
  <c r="R437" i="10"/>
  <c r="U437" i="10"/>
  <c r="V437" i="10"/>
  <c r="X437" i="10"/>
  <c r="A438" i="10"/>
  <c r="B438" i="10"/>
  <c r="D438" i="10"/>
  <c r="E438" i="10"/>
  <c r="F438" i="10"/>
  <c r="G438" i="10"/>
  <c r="H438" i="10"/>
  <c r="K438" i="10"/>
  <c r="L438" i="10"/>
  <c r="M438" i="10"/>
  <c r="N438" i="10"/>
  <c r="O438" i="10"/>
  <c r="Q438" i="10"/>
  <c r="R438" i="10"/>
  <c r="U438" i="10"/>
  <c r="V438" i="10"/>
  <c r="X438" i="10"/>
  <c r="A439" i="10"/>
  <c r="B439" i="10"/>
  <c r="D439" i="10"/>
  <c r="E439" i="10"/>
  <c r="F439" i="10"/>
  <c r="G439" i="10"/>
  <c r="H439" i="10"/>
  <c r="K439" i="10"/>
  <c r="L439" i="10"/>
  <c r="M439" i="10"/>
  <c r="N439" i="10"/>
  <c r="R439" i="10" s="1"/>
  <c r="O439" i="10"/>
  <c r="Q439" i="10"/>
  <c r="U439" i="10"/>
  <c r="V439" i="10"/>
  <c r="X439" i="10"/>
  <c r="A440" i="10"/>
  <c r="B440" i="10"/>
  <c r="D440" i="10"/>
  <c r="E440" i="10"/>
  <c r="F440" i="10"/>
  <c r="G440" i="10"/>
  <c r="H440" i="10"/>
  <c r="K440" i="10"/>
  <c r="L440" i="10"/>
  <c r="M440" i="10"/>
  <c r="N440" i="10"/>
  <c r="R440" i="10" s="1"/>
  <c r="O440" i="10"/>
  <c r="Q440" i="10"/>
  <c r="U440" i="10"/>
  <c r="V440" i="10"/>
  <c r="X440" i="10"/>
  <c r="A441" i="10"/>
  <c r="B441" i="10"/>
  <c r="D441" i="10"/>
  <c r="E441" i="10"/>
  <c r="F441" i="10"/>
  <c r="G441" i="10"/>
  <c r="H441" i="10"/>
  <c r="K441" i="10"/>
  <c r="L441" i="10"/>
  <c r="M441" i="10"/>
  <c r="N441" i="10"/>
  <c r="R441" i="10" s="1"/>
  <c r="O441" i="10"/>
  <c r="Q441" i="10"/>
  <c r="U441" i="10"/>
  <c r="V441" i="10"/>
  <c r="X441" i="10"/>
  <c r="A442" i="10"/>
  <c r="B442" i="10"/>
  <c r="D442" i="10"/>
  <c r="E442" i="10"/>
  <c r="F442" i="10"/>
  <c r="G442" i="10"/>
  <c r="H442" i="10"/>
  <c r="K442" i="10"/>
  <c r="L442" i="10"/>
  <c r="M442" i="10"/>
  <c r="N442" i="10"/>
  <c r="R442" i="10" s="1"/>
  <c r="O442" i="10"/>
  <c r="Q442" i="10"/>
  <c r="U442" i="10"/>
  <c r="V442" i="10"/>
  <c r="X442" i="10"/>
  <c r="A443" i="10"/>
  <c r="B443" i="10"/>
  <c r="D443" i="10"/>
  <c r="E443" i="10"/>
  <c r="F443" i="10"/>
  <c r="G443" i="10"/>
  <c r="H443" i="10"/>
  <c r="K443" i="10"/>
  <c r="L443" i="10"/>
  <c r="M443" i="10"/>
  <c r="N443" i="10"/>
  <c r="O443" i="10"/>
  <c r="Q443" i="10"/>
  <c r="R443" i="10"/>
  <c r="U443" i="10"/>
  <c r="V443" i="10"/>
  <c r="X443" i="10"/>
  <c r="A444" i="10"/>
  <c r="B444" i="10"/>
  <c r="D444" i="10"/>
  <c r="E444" i="10"/>
  <c r="F444" i="10"/>
  <c r="G444" i="10"/>
  <c r="H444" i="10"/>
  <c r="K444" i="10"/>
  <c r="L444" i="10"/>
  <c r="M444" i="10"/>
  <c r="N444" i="10"/>
  <c r="O444" i="10"/>
  <c r="Q444" i="10"/>
  <c r="R444" i="10"/>
  <c r="U444" i="10"/>
  <c r="V444" i="10"/>
  <c r="X444" i="10"/>
  <c r="A445" i="10"/>
  <c r="B445" i="10"/>
  <c r="D445" i="10"/>
  <c r="E445" i="10"/>
  <c r="F445" i="10"/>
  <c r="G445" i="10"/>
  <c r="H445" i="10"/>
  <c r="K445" i="10"/>
  <c r="L445" i="10"/>
  <c r="M445" i="10"/>
  <c r="N445" i="10"/>
  <c r="R445" i="10" s="1"/>
  <c r="O445" i="10"/>
  <c r="Q445" i="10"/>
  <c r="U445" i="10"/>
  <c r="V445" i="10"/>
  <c r="X445" i="10"/>
  <c r="A446" i="10"/>
  <c r="B446" i="10"/>
  <c r="D446" i="10"/>
  <c r="E446" i="10"/>
  <c r="F446" i="10"/>
  <c r="G446" i="10"/>
  <c r="H446" i="10"/>
  <c r="K446" i="10"/>
  <c r="L446" i="10"/>
  <c r="M446" i="10"/>
  <c r="N446" i="10"/>
  <c r="O446" i="10"/>
  <c r="Q446" i="10"/>
  <c r="R446" i="10"/>
  <c r="U446" i="10"/>
  <c r="V446" i="10"/>
  <c r="X446" i="10"/>
  <c r="A447" i="10"/>
  <c r="B447" i="10"/>
  <c r="D447" i="10"/>
  <c r="E447" i="10"/>
  <c r="F447" i="10"/>
  <c r="G447" i="10"/>
  <c r="H447" i="10"/>
  <c r="K447" i="10"/>
  <c r="L447" i="10"/>
  <c r="M447" i="10"/>
  <c r="N447" i="10"/>
  <c r="O447" i="10"/>
  <c r="Q447" i="10"/>
  <c r="R447" i="10"/>
  <c r="U447" i="10"/>
  <c r="V447" i="10"/>
  <c r="X447" i="10"/>
  <c r="A448" i="10"/>
  <c r="B448" i="10"/>
  <c r="D448" i="10"/>
  <c r="E448" i="10"/>
  <c r="F448" i="10"/>
  <c r="G448" i="10"/>
  <c r="H448" i="10"/>
  <c r="K448" i="10"/>
  <c r="L448" i="10"/>
  <c r="M448" i="10"/>
  <c r="N448" i="10"/>
  <c r="R448" i="10" s="1"/>
  <c r="O448" i="10"/>
  <c r="Q448" i="10"/>
  <c r="U448" i="10"/>
  <c r="V448" i="10"/>
  <c r="X448" i="10"/>
  <c r="A449" i="10"/>
  <c r="B449" i="10"/>
  <c r="D449" i="10"/>
  <c r="E449" i="10"/>
  <c r="F449" i="10"/>
  <c r="G449" i="10"/>
  <c r="H449" i="10"/>
  <c r="K449" i="10"/>
  <c r="L449" i="10"/>
  <c r="M449" i="10"/>
  <c r="N449" i="10"/>
  <c r="R449" i="10" s="1"/>
  <c r="O449" i="10"/>
  <c r="Q449" i="10"/>
  <c r="U449" i="10"/>
  <c r="V449" i="10"/>
  <c r="X449" i="10"/>
  <c r="A450" i="10"/>
  <c r="B450" i="10"/>
  <c r="D450" i="10"/>
  <c r="E450" i="10"/>
  <c r="F450" i="10"/>
  <c r="G450" i="10"/>
  <c r="H450" i="10"/>
  <c r="K450" i="10"/>
  <c r="L450" i="10"/>
  <c r="M450" i="10"/>
  <c r="N450" i="10"/>
  <c r="O450" i="10"/>
  <c r="Q450" i="10"/>
  <c r="R450" i="10"/>
  <c r="U450" i="10"/>
  <c r="V450" i="10"/>
  <c r="X450" i="10"/>
  <c r="A451" i="10"/>
  <c r="B451" i="10"/>
  <c r="D451" i="10"/>
  <c r="E451" i="10"/>
  <c r="F451" i="10"/>
  <c r="G451" i="10"/>
  <c r="H451" i="10"/>
  <c r="K451" i="10"/>
  <c r="L451" i="10"/>
  <c r="M451" i="10"/>
  <c r="N451" i="10"/>
  <c r="O451" i="10"/>
  <c r="Q451" i="10"/>
  <c r="R451" i="10"/>
  <c r="U451" i="10"/>
  <c r="V451" i="10"/>
  <c r="X451" i="10"/>
  <c r="A452" i="10"/>
  <c r="B452" i="10"/>
  <c r="D452" i="10"/>
  <c r="E452" i="10"/>
  <c r="F452" i="10"/>
  <c r="G452" i="10"/>
  <c r="H452" i="10"/>
  <c r="K452" i="10"/>
  <c r="L452" i="10"/>
  <c r="M452" i="10"/>
  <c r="N452" i="10"/>
  <c r="O452" i="10"/>
  <c r="Q452" i="10"/>
  <c r="R452" i="10"/>
  <c r="U452" i="10"/>
  <c r="V452" i="10"/>
  <c r="X452" i="10"/>
  <c r="A453" i="10"/>
  <c r="B453" i="10"/>
  <c r="D453" i="10"/>
  <c r="E453" i="10"/>
  <c r="F453" i="10"/>
  <c r="G453" i="10"/>
  <c r="H453" i="10"/>
  <c r="K453" i="10"/>
  <c r="L453" i="10"/>
  <c r="M453" i="10"/>
  <c r="N453" i="10"/>
  <c r="R453" i="10" s="1"/>
  <c r="O453" i="10"/>
  <c r="Q453" i="10"/>
  <c r="U453" i="10"/>
  <c r="V453" i="10"/>
  <c r="X453" i="10"/>
  <c r="A454" i="10"/>
  <c r="B454" i="10"/>
  <c r="D454" i="10"/>
  <c r="E454" i="10"/>
  <c r="F454" i="10"/>
  <c r="G454" i="10"/>
  <c r="H454" i="10"/>
  <c r="K454" i="10"/>
  <c r="L454" i="10"/>
  <c r="M454" i="10"/>
  <c r="N454" i="10"/>
  <c r="O454" i="10"/>
  <c r="Q454" i="10"/>
  <c r="R454" i="10"/>
  <c r="U454" i="10"/>
  <c r="V454" i="10"/>
  <c r="X454" i="10"/>
  <c r="A455" i="10"/>
  <c r="B455" i="10"/>
  <c r="D455" i="10"/>
  <c r="E455" i="10"/>
  <c r="F455" i="10"/>
  <c r="G455" i="10"/>
  <c r="H455" i="10"/>
  <c r="K455" i="10"/>
  <c r="L455" i="10"/>
  <c r="M455" i="10"/>
  <c r="N455" i="10"/>
  <c r="R455" i="10" s="1"/>
  <c r="O455" i="10"/>
  <c r="Q455" i="10"/>
  <c r="U455" i="10"/>
  <c r="V455" i="10"/>
  <c r="X455" i="10"/>
  <c r="A456" i="10"/>
  <c r="B456" i="10"/>
  <c r="D456" i="10"/>
  <c r="E456" i="10"/>
  <c r="F456" i="10"/>
  <c r="G456" i="10"/>
  <c r="H456" i="10"/>
  <c r="K456" i="10"/>
  <c r="L456" i="10"/>
  <c r="M456" i="10"/>
  <c r="N456" i="10"/>
  <c r="R456" i="10" s="1"/>
  <c r="O456" i="10"/>
  <c r="Q456" i="10"/>
  <c r="U456" i="10"/>
  <c r="V456" i="10"/>
  <c r="X456" i="10"/>
  <c r="A457" i="10"/>
  <c r="B457" i="10"/>
  <c r="D457" i="10"/>
  <c r="E457" i="10"/>
  <c r="F457" i="10"/>
  <c r="G457" i="10"/>
  <c r="H457" i="10"/>
  <c r="K457" i="10"/>
  <c r="L457" i="10"/>
  <c r="M457" i="10"/>
  <c r="N457" i="10"/>
  <c r="R457" i="10" s="1"/>
  <c r="O457" i="10"/>
  <c r="Q457" i="10"/>
  <c r="U457" i="10"/>
  <c r="V457" i="10"/>
  <c r="X457" i="10"/>
  <c r="A458" i="10"/>
  <c r="B458" i="10"/>
  <c r="D458" i="10"/>
  <c r="E458" i="10"/>
  <c r="F458" i="10"/>
  <c r="G458" i="10"/>
  <c r="H458" i="10"/>
  <c r="K458" i="10"/>
  <c r="L458" i="10"/>
  <c r="M458" i="10"/>
  <c r="N458" i="10"/>
  <c r="R458" i="10" s="1"/>
  <c r="O458" i="10"/>
  <c r="Q458" i="10"/>
  <c r="U458" i="10"/>
  <c r="V458" i="10"/>
  <c r="X458" i="10"/>
  <c r="A459" i="10"/>
  <c r="B459" i="10"/>
  <c r="D459" i="10"/>
  <c r="E459" i="10"/>
  <c r="F459" i="10"/>
  <c r="G459" i="10"/>
  <c r="H459" i="10"/>
  <c r="K459" i="10"/>
  <c r="L459" i="10"/>
  <c r="M459" i="10"/>
  <c r="N459" i="10"/>
  <c r="O459" i="10"/>
  <c r="Q459" i="10"/>
  <c r="R459" i="10"/>
  <c r="U459" i="10"/>
  <c r="V459" i="10"/>
  <c r="X459" i="10"/>
  <c r="A460" i="10"/>
  <c r="B460" i="10"/>
  <c r="D460" i="10"/>
  <c r="E460" i="10"/>
  <c r="F460" i="10"/>
  <c r="G460" i="10"/>
  <c r="H460" i="10"/>
  <c r="K460" i="10"/>
  <c r="L460" i="10"/>
  <c r="M460" i="10"/>
  <c r="N460" i="10"/>
  <c r="O460" i="10"/>
  <c r="Q460" i="10"/>
  <c r="R460" i="10"/>
  <c r="U460" i="10"/>
  <c r="V460" i="10"/>
  <c r="X460" i="10"/>
  <c r="A461" i="10"/>
  <c r="B461" i="10"/>
  <c r="D461" i="10"/>
  <c r="E461" i="10"/>
  <c r="F461" i="10"/>
  <c r="G461" i="10"/>
  <c r="H461" i="10"/>
  <c r="K461" i="10"/>
  <c r="L461" i="10"/>
  <c r="M461" i="10"/>
  <c r="N461" i="10"/>
  <c r="R461" i="10" s="1"/>
  <c r="O461" i="10"/>
  <c r="Q461" i="10"/>
  <c r="U461" i="10"/>
  <c r="V461" i="10"/>
  <c r="X461" i="10"/>
  <c r="A462" i="10"/>
  <c r="B462" i="10"/>
  <c r="D462" i="10"/>
  <c r="E462" i="10"/>
  <c r="F462" i="10"/>
  <c r="G462" i="10"/>
  <c r="H462" i="10"/>
  <c r="K462" i="10"/>
  <c r="L462" i="10"/>
  <c r="M462" i="10"/>
  <c r="N462" i="10"/>
  <c r="R462" i="10" s="1"/>
  <c r="O462" i="10"/>
  <c r="Q462" i="10"/>
  <c r="U462" i="10"/>
  <c r="V462" i="10"/>
  <c r="X462" i="10"/>
  <c r="A463" i="10"/>
  <c r="B463" i="10"/>
  <c r="D463" i="10"/>
  <c r="E463" i="10"/>
  <c r="F463" i="10"/>
  <c r="G463" i="10"/>
  <c r="H463" i="10"/>
  <c r="K463" i="10"/>
  <c r="L463" i="10"/>
  <c r="M463" i="10"/>
  <c r="N463" i="10"/>
  <c r="R463" i="10" s="1"/>
  <c r="O463" i="10"/>
  <c r="Q463" i="10"/>
  <c r="U463" i="10"/>
  <c r="V463" i="10"/>
  <c r="X463" i="10"/>
  <c r="A464" i="10"/>
  <c r="B464" i="10"/>
  <c r="M464" i="10" s="1"/>
  <c r="D464" i="10"/>
  <c r="E464" i="10"/>
  <c r="F464" i="10"/>
  <c r="G464" i="10"/>
  <c r="H464" i="10"/>
  <c r="K464" i="10"/>
  <c r="L464" i="10"/>
  <c r="N464" i="10"/>
  <c r="R464" i="10" s="1"/>
  <c r="O464" i="10"/>
  <c r="Q464" i="10"/>
  <c r="U464" i="10"/>
  <c r="V464" i="10"/>
  <c r="X464" i="10"/>
  <c r="A465" i="10"/>
  <c r="B465" i="10"/>
  <c r="M465" i="10" s="1"/>
  <c r="D465" i="10"/>
  <c r="E465" i="10"/>
  <c r="F465" i="10"/>
  <c r="G465" i="10"/>
  <c r="H465" i="10"/>
  <c r="K465" i="10"/>
  <c r="L465" i="10"/>
  <c r="N465" i="10"/>
  <c r="R465" i="10" s="1"/>
  <c r="O465" i="10"/>
  <c r="Q465" i="10"/>
  <c r="U465" i="10"/>
  <c r="V465" i="10"/>
  <c r="X465" i="10"/>
  <c r="A466" i="10"/>
  <c r="B466" i="10"/>
  <c r="D466" i="10"/>
  <c r="E466" i="10"/>
  <c r="F466" i="10"/>
  <c r="G466" i="10"/>
  <c r="H466" i="10"/>
  <c r="K466" i="10"/>
  <c r="L466" i="10"/>
  <c r="M466" i="10"/>
  <c r="N466" i="10"/>
  <c r="O466" i="10"/>
  <c r="Q466" i="10"/>
  <c r="R466" i="10"/>
  <c r="U466" i="10"/>
  <c r="V466" i="10"/>
  <c r="X466" i="10"/>
  <c r="A467" i="10"/>
  <c r="B467" i="10"/>
  <c r="D467" i="10"/>
  <c r="E467" i="10"/>
  <c r="F467" i="10"/>
  <c r="G467" i="10"/>
  <c r="H467" i="10"/>
  <c r="K467" i="10"/>
  <c r="L467" i="10"/>
  <c r="M467" i="10"/>
  <c r="N467" i="10"/>
  <c r="O467" i="10"/>
  <c r="Q467" i="10"/>
  <c r="R467" i="10"/>
  <c r="U467" i="10"/>
  <c r="V467" i="10"/>
  <c r="X467" i="10"/>
  <c r="A468" i="10"/>
  <c r="B468" i="10"/>
  <c r="D468" i="10"/>
  <c r="E468" i="10"/>
  <c r="F468" i="10"/>
  <c r="G468" i="10"/>
  <c r="H468" i="10"/>
  <c r="K468" i="10"/>
  <c r="L468" i="10"/>
  <c r="M468" i="10"/>
  <c r="N468" i="10"/>
  <c r="O468" i="10"/>
  <c r="Q468" i="10"/>
  <c r="R468" i="10"/>
  <c r="U468" i="10"/>
  <c r="V468" i="10"/>
  <c r="X468" i="10"/>
  <c r="A469" i="10"/>
  <c r="B469" i="10"/>
  <c r="D469" i="10"/>
  <c r="E469" i="10"/>
  <c r="F469" i="10"/>
  <c r="G469" i="10"/>
  <c r="H469" i="10"/>
  <c r="K469" i="10"/>
  <c r="L469" i="10"/>
  <c r="M469" i="10"/>
  <c r="N469" i="10"/>
  <c r="O469" i="10"/>
  <c r="Q469" i="10"/>
  <c r="R469" i="10"/>
  <c r="U469" i="10"/>
  <c r="V469" i="10"/>
  <c r="X469" i="10"/>
  <c r="A470" i="10"/>
  <c r="B470" i="10"/>
  <c r="D470" i="10"/>
  <c r="E470" i="10"/>
  <c r="F470" i="10"/>
  <c r="G470" i="10"/>
  <c r="H470" i="10"/>
  <c r="K470" i="10"/>
  <c r="L470" i="10"/>
  <c r="M470" i="10"/>
  <c r="N470" i="10"/>
  <c r="O470" i="10"/>
  <c r="Q470" i="10"/>
  <c r="R470" i="10"/>
  <c r="U470" i="10"/>
  <c r="V470" i="10"/>
  <c r="X470" i="10"/>
  <c r="A471" i="10"/>
  <c r="B471" i="10"/>
  <c r="D471" i="10"/>
  <c r="E471" i="10"/>
  <c r="F471" i="10"/>
  <c r="G471" i="10"/>
  <c r="H471" i="10"/>
  <c r="K471" i="10"/>
  <c r="L471" i="10"/>
  <c r="M471" i="10"/>
  <c r="N471" i="10"/>
  <c r="R471" i="10" s="1"/>
  <c r="O471" i="10"/>
  <c r="Q471" i="10"/>
  <c r="U471" i="10"/>
  <c r="V471" i="10"/>
  <c r="X471" i="10"/>
  <c r="A472" i="10"/>
  <c r="B472" i="10"/>
  <c r="D472" i="10"/>
  <c r="E472" i="10"/>
  <c r="F472" i="10"/>
  <c r="G472" i="10"/>
  <c r="H472" i="10"/>
  <c r="K472" i="10"/>
  <c r="L472" i="10"/>
  <c r="M472" i="10"/>
  <c r="N472" i="10"/>
  <c r="R472" i="10" s="1"/>
  <c r="O472" i="10"/>
  <c r="Q472" i="10"/>
  <c r="U472" i="10"/>
  <c r="V472" i="10"/>
  <c r="X472" i="10"/>
  <c r="A473" i="10"/>
  <c r="B473" i="10"/>
  <c r="D473" i="10"/>
  <c r="E473" i="10"/>
  <c r="F473" i="10"/>
  <c r="G473" i="10"/>
  <c r="H473" i="10"/>
  <c r="K473" i="10"/>
  <c r="L473" i="10"/>
  <c r="M473" i="10"/>
  <c r="N473" i="10"/>
  <c r="R473" i="10" s="1"/>
  <c r="O473" i="10"/>
  <c r="Q473" i="10"/>
  <c r="U473" i="10"/>
  <c r="V473" i="10"/>
  <c r="X473" i="10"/>
  <c r="A474" i="10"/>
  <c r="B474" i="10"/>
  <c r="D474" i="10"/>
  <c r="E474" i="10"/>
  <c r="F474" i="10"/>
  <c r="G474" i="10"/>
  <c r="H474" i="10"/>
  <c r="K474" i="10"/>
  <c r="L474" i="10"/>
  <c r="M474" i="10"/>
  <c r="N474" i="10"/>
  <c r="R474" i="10" s="1"/>
  <c r="O474" i="10"/>
  <c r="Q474" i="10"/>
  <c r="U474" i="10"/>
  <c r="V474" i="10"/>
  <c r="X474" i="10"/>
  <c r="A475" i="10"/>
  <c r="B475" i="10"/>
  <c r="D475" i="10"/>
  <c r="E475" i="10"/>
  <c r="F475" i="10"/>
  <c r="G475" i="10"/>
  <c r="H475" i="10"/>
  <c r="K475" i="10"/>
  <c r="L475" i="10"/>
  <c r="M475" i="10"/>
  <c r="N475" i="10"/>
  <c r="O475" i="10"/>
  <c r="Q475" i="10"/>
  <c r="R475" i="10"/>
  <c r="U475" i="10"/>
  <c r="V475" i="10"/>
  <c r="X475" i="10"/>
  <c r="A476" i="10"/>
  <c r="B476" i="10"/>
  <c r="D476" i="10"/>
  <c r="E476" i="10"/>
  <c r="F476" i="10"/>
  <c r="G476" i="10"/>
  <c r="H476" i="10"/>
  <c r="K476" i="10"/>
  <c r="L476" i="10"/>
  <c r="M476" i="10"/>
  <c r="N476" i="10"/>
  <c r="O476" i="10"/>
  <c r="Q476" i="10"/>
  <c r="R476" i="10"/>
  <c r="U476" i="10"/>
  <c r="V476" i="10"/>
  <c r="X476" i="10"/>
  <c r="A477" i="10"/>
  <c r="B477" i="10"/>
  <c r="D477" i="10"/>
  <c r="E477" i="10"/>
  <c r="F477" i="10"/>
  <c r="G477" i="10"/>
  <c r="H477" i="10"/>
  <c r="K477" i="10"/>
  <c r="L477" i="10"/>
  <c r="M477" i="10"/>
  <c r="N477" i="10"/>
  <c r="R477" i="10" s="1"/>
  <c r="O477" i="10"/>
  <c r="Q477" i="10"/>
  <c r="U477" i="10"/>
  <c r="V477" i="10"/>
  <c r="X477" i="10"/>
  <c r="A478" i="10"/>
  <c r="B478" i="10"/>
  <c r="D478" i="10"/>
  <c r="E478" i="10"/>
  <c r="F478" i="10"/>
  <c r="G478" i="10"/>
  <c r="H478" i="10"/>
  <c r="K478" i="10"/>
  <c r="L478" i="10"/>
  <c r="M478" i="10"/>
  <c r="N478" i="10"/>
  <c r="R478" i="10" s="1"/>
  <c r="O478" i="10"/>
  <c r="Q478" i="10"/>
  <c r="U478" i="10"/>
  <c r="V478" i="10"/>
  <c r="X478" i="10"/>
  <c r="A479" i="10"/>
  <c r="B479" i="10"/>
  <c r="D479" i="10"/>
  <c r="E479" i="10"/>
  <c r="F479" i="10"/>
  <c r="G479" i="10"/>
  <c r="H479" i="10"/>
  <c r="K479" i="10"/>
  <c r="L479" i="10"/>
  <c r="M479" i="10"/>
  <c r="N479" i="10"/>
  <c r="O479" i="10"/>
  <c r="Q479" i="10"/>
  <c r="R479" i="10"/>
  <c r="U479" i="10"/>
  <c r="V479" i="10"/>
  <c r="X479" i="10"/>
  <c r="A480" i="10"/>
  <c r="B480" i="10"/>
  <c r="D480" i="10"/>
  <c r="E480" i="10"/>
  <c r="F480" i="10"/>
  <c r="G480" i="10"/>
  <c r="H480" i="10"/>
  <c r="K480" i="10"/>
  <c r="L480" i="10"/>
  <c r="M480" i="10"/>
  <c r="N480" i="10"/>
  <c r="R480" i="10" s="1"/>
  <c r="O480" i="10"/>
  <c r="Q480" i="10"/>
  <c r="U480" i="10"/>
  <c r="V480" i="10"/>
  <c r="X480" i="10"/>
  <c r="A481" i="10"/>
  <c r="B481" i="10"/>
  <c r="D481" i="10"/>
  <c r="E481" i="10"/>
  <c r="F481" i="10"/>
  <c r="G481" i="10"/>
  <c r="H481" i="10"/>
  <c r="K481" i="10"/>
  <c r="L481" i="10"/>
  <c r="M481" i="10"/>
  <c r="N481" i="10"/>
  <c r="R481" i="10" s="1"/>
  <c r="O481" i="10"/>
  <c r="Q481" i="10"/>
  <c r="U481" i="10"/>
  <c r="V481" i="10"/>
  <c r="X481" i="10"/>
  <c r="A482" i="10"/>
  <c r="B482" i="10"/>
  <c r="D482" i="10"/>
  <c r="E482" i="10"/>
  <c r="F482" i="10"/>
  <c r="G482" i="10"/>
  <c r="H482" i="10"/>
  <c r="K482" i="10"/>
  <c r="L482" i="10"/>
  <c r="M482" i="10"/>
  <c r="N482" i="10"/>
  <c r="O482" i="10"/>
  <c r="Q482" i="10"/>
  <c r="R482" i="10"/>
  <c r="U482" i="10"/>
  <c r="V482" i="10"/>
  <c r="X482" i="10"/>
  <c r="A483" i="10"/>
  <c r="B483" i="10"/>
  <c r="D483" i="10"/>
  <c r="E483" i="10"/>
  <c r="F483" i="10"/>
  <c r="G483" i="10"/>
  <c r="H483" i="10"/>
  <c r="K483" i="10"/>
  <c r="L483" i="10"/>
  <c r="M483" i="10"/>
  <c r="N483" i="10"/>
  <c r="O483" i="10"/>
  <c r="Q483" i="10"/>
  <c r="R483" i="10"/>
  <c r="U483" i="10"/>
  <c r="V483" i="10"/>
  <c r="X483" i="10"/>
  <c r="A484" i="10"/>
  <c r="B484" i="10"/>
  <c r="D484" i="10"/>
  <c r="E484" i="10"/>
  <c r="F484" i="10"/>
  <c r="G484" i="10"/>
  <c r="H484" i="10"/>
  <c r="K484" i="10"/>
  <c r="L484" i="10"/>
  <c r="M484" i="10"/>
  <c r="N484" i="10"/>
  <c r="O484" i="10"/>
  <c r="Q484" i="10"/>
  <c r="R484" i="10"/>
  <c r="U484" i="10"/>
  <c r="V484" i="10"/>
  <c r="X484" i="10"/>
  <c r="A485" i="10"/>
  <c r="B485" i="10"/>
  <c r="D485" i="10"/>
  <c r="E485" i="10"/>
  <c r="F485" i="10"/>
  <c r="G485" i="10"/>
  <c r="H485" i="10"/>
  <c r="K485" i="10"/>
  <c r="L485" i="10"/>
  <c r="M485" i="10"/>
  <c r="N485" i="10"/>
  <c r="R485" i="10" s="1"/>
  <c r="O485" i="10"/>
  <c r="Q485" i="10"/>
  <c r="U485" i="10"/>
  <c r="V485" i="10"/>
  <c r="X485" i="10"/>
  <c r="A486" i="10"/>
  <c r="B486" i="10"/>
  <c r="D486" i="10"/>
  <c r="E486" i="10"/>
  <c r="F486" i="10"/>
  <c r="G486" i="10"/>
  <c r="H486" i="10"/>
  <c r="K486" i="10"/>
  <c r="L486" i="10"/>
  <c r="M486" i="10"/>
  <c r="N486" i="10"/>
  <c r="O486" i="10"/>
  <c r="Q486" i="10"/>
  <c r="R486" i="10"/>
  <c r="U486" i="10"/>
  <c r="V486" i="10"/>
  <c r="X486" i="10"/>
  <c r="A487" i="10"/>
  <c r="B487" i="10"/>
  <c r="D487" i="10"/>
  <c r="E487" i="10"/>
  <c r="F487" i="10"/>
  <c r="G487" i="10"/>
  <c r="H487" i="10"/>
  <c r="K487" i="10"/>
  <c r="L487" i="10"/>
  <c r="M487" i="10"/>
  <c r="N487" i="10"/>
  <c r="R487" i="10" s="1"/>
  <c r="O487" i="10"/>
  <c r="Q487" i="10"/>
  <c r="U487" i="10"/>
  <c r="V487" i="10"/>
  <c r="X487" i="10"/>
  <c r="A488" i="10"/>
  <c r="B488" i="10"/>
  <c r="D488" i="10"/>
  <c r="E488" i="10"/>
  <c r="F488" i="10"/>
  <c r="G488" i="10"/>
  <c r="H488" i="10"/>
  <c r="K488" i="10"/>
  <c r="L488" i="10"/>
  <c r="M488" i="10"/>
  <c r="N488" i="10"/>
  <c r="R488" i="10" s="1"/>
  <c r="O488" i="10"/>
  <c r="Q488" i="10"/>
  <c r="U488" i="10"/>
  <c r="V488" i="10"/>
  <c r="X488" i="10"/>
  <c r="A489" i="10"/>
  <c r="B489" i="10"/>
  <c r="M489" i="10" s="1"/>
  <c r="D489" i="10"/>
  <c r="E489" i="10"/>
  <c r="F489" i="10"/>
  <c r="G489" i="10"/>
  <c r="H489" i="10"/>
  <c r="K489" i="10"/>
  <c r="L489" i="10"/>
  <c r="N489" i="10"/>
  <c r="R489" i="10" s="1"/>
  <c r="O489" i="10"/>
  <c r="Q489" i="10"/>
  <c r="U489" i="10"/>
  <c r="V489" i="10"/>
  <c r="X489" i="10"/>
  <c r="A490" i="10"/>
  <c r="B490" i="10"/>
  <c r="D490" i="10"/>
  <c r="E490" i="10"/>
  <c r="F490" i="10"/>
  <c r="G490" i="10"/>
  <c r="H490" i="10"/>
  <c r="K490" i="10"/>
  <c r="L490" i="10"/>
  <c r="M490" i="10"/>
  <c r="N490" i="10"/>
  <c r="R490" i="10" s="1"/>
  <c r="O490" i="10"/>
  <c r="Q490" i="10"/>
  <c r="U490" i="10"/>
  <c r="V490" i="10"/>
  <c r="X490" i="10"/>
  <c r="A491" i="10"/>
  <c r="B491" i="10"/>
  <c r="D491" i="10"/>
  <c r="E491" i="10"/>
  <c r="F491" i="10"/>
  <c r="G491" i="10"/>
  <c r="H491" i="10"/>
  <c r="K491" i="10"/>
  <c r="L491" i="10"/>
  <c r="M491" i="10"/>
  <c r="N491" i="10"/>
  <c r="O491" i="10"/>
  <c r="Q491" i="10"/>
  <c r="R491" i="10"/>
  <c r="U491" i="10"/>
  <c r="V491" i="10"/>
  <c r="X491" i="10"/>
  <c r="A492" i="10"/>
  <c r="B492" i="10"/>
  <c r="D492" i="10"/>
  <c r="E492" i="10"/>
  <c r="F492" i="10"/>
  <c r="G492" i="10"/>
  <c r="H492" i="10"/>
  <c r="K492" i="10"/>
  <c r="L492" i="10"/>
  <c r="M492" i="10"/>
  <c r="N492" i="10"/>
  <c r="O492" i="10"/>
  <c r="Q492" i="10"/>
  <c r="R492" i="10"/>
  <c r="U492" i="10"/>
  <c r="V492" i="10"/>
  <c r="X492" i="10"/>
  <c r="A493" i="10"/>
  <c r="B493" i="10"/>
  <c r="D493" i="10"/>
  <c r="E493" i="10"/>
  <c r="F493" i="10"/>
  <c r="G493" i="10"/>
  <c r="H493" i="10"/>
  <c r="K493" i="10"/>
  <c r="L493" i="10"/>
  <c r="M493" i="10"/>
  <c r="N493" i="10"/>
  <c r="R493" i="10" s="1"/>
  <c r="O493" i="10"/>
  <c r="Q493" i="10"/>
  <c r="U493" i="10"/>
  <c r="V493" i="10"/>
  <c r="X493" i="10"/>
  <c r="A494" i="10"/>
  <c r="B494" i="10"/>
  <c r="D494" i="10"/>
  <c r="E494" i="10"/>
  <c r="F494" i="10"/>
  <c r="G494" i="10"/>
  <c r="H494" i="10"/>
  <c r="K494" i="10"/>
  <c r="L494" i="10"/>
  <c r="M494" i="10"/>
  <c r="N494" i="10"/>
  <c r="R494" i="10" s="1"/>
  <c r="O494" i="10"/>
  <c r="Q494" i="10"/>
  <c r="U494" i="10"/>
  <c r="V494" i="10"/>
  <c r="X494" i="10"/>
  <c r="A495" i="10"/>
  <c r="B495" i="10"/>
  <c r="D495" i="10"/>
  <c r="E495" i="10"/>
  <c r="F495" i="10"/>
  <c r="G495" i="10"/>
  <c r="H495" i="10"/>
  <c r="K495" i="10"/>
  <c r="L495" i="10"/>
  <c r="M495" i="10"/>
  <c r="N495" i="10"/>
  <c r="R495" i="10" s="1"/>
  <c r="O495" i="10"/>
  <c r="Q495" i="10"/>
  <c r="U495" i="10"/>
  <c r="V495" i="10"/>
  <c r="X495" i="10"/>
  <c r="A496" i="10"/>
  <c r="B496" i="10"/>
  <c r="M496" i="10" s="1"/>
  <c r="D496" i="10"/>
  <c r="E496" i="10"/>
  <c r="F496" i="10"/>
  <c r="G496" i="10"/>
  <c r="H496" i="10"/>
  <c r="K496" i="10"/>
  <c r="L496" i="10"/>
  <c r="N496" i="10"/>
  <c r="R496" i="10" s="1"/>
  <c r="O496" i="10"/>
  <c r="Q496" i="10"/>
  <c r="U496" i="10"/>
  <c r="V496" i="10"/>
  <c r="X496" i="10"/>
  <c r="A497" i="10"/>
  <c r="B497" i="10"/>
  <c r="M497" i="10" s="1"/>
  <c r="D497" i="10"/>
  <c r="E497" i="10"/>
  <c r="F497" i="10"/>
  <c r="G497" i="10"/>
  <c r="H497" i="10"/>
  <c r="K497" i="10"/>
  <c r="L497" i="10"/>
  <c r="N497" i="10"/>
  <c r="R497" i="10" s="1"/>
  <c r="O497" i="10"/>
  <c r="Q497" i="10"/>
  <c r="U497" i="10"/>
  <c r="V497" i="10"/>
  <c r="X497" i="10"/>
  <c r="A498" i="10"/>
  <c r="B498" i="10"/>
  <c r="M498" i="10" s="1"/>
  <c r="D498" i="10"/>
  <c r="E498" i="10"/>
  <c r="F498" i="10"/>
  <c r="G498" i="10"/>
  <c r="H498" i="10"/>
  <c r="K498" i="10"/>
  <c r="L498" i="10"/>
  <c r="N498" i="10"/>
  <c r="O498" i="10"/>
  <c r="Q498" i="10"/>
  <c r="R498" i="10"/>
  <c r="U498" i="10"/>
  <c r="V498" i="10"/>
  <c r="X498" i="10"/>
  <c r="A499" i="10"/>
  <c r="B499" i="10"/>
  <c r="D499" i="10"/>
  <c r="E499" i="10"/>
  <c r="F499" i="10"/>
  <c r="G499" i="10"/>
  <c r="H499" i="10"/>
  <c r="K499" i="10"/>
  <c r="L499" i="10"/>
  <c r="M499" i="10"/>
  <c r="N499" i="10"/>
  <c r="O499" i="10"/>
  <c r="Q499" i="10"/>
  <c r="R499" i="10"/>
  <c r="U499" i="10"/>
  <c r="V499" i="10"/>
  <c r="X499" i="10"/>
  <c r="A500" i="10"/>
  <c r="B500" i="10"/>
  <c r="D500" i="10"/>
  <c r="E500" i="10"/>
  <c r="F500" i="10"/>
  <c r="G500" i="10"/>
  <c r="H500" i="10"/>
  <c r="K500" i="10"/>
  <c r="L500" i="10"/>
  <c r="M500" i="10"/>
  <c r="N500" i="10"/>
  <c r="O500" i="10"/>
  <c r="Q500" i="10"/>
  <c r="R500" i="10"/>
  <c r="U500" i="10"/>
  <c r="V500" i="10"/>
  <c r="X500" i="10"/>
  <c r="A501" i="10"/>
  <c r="B501" i="10"/>
  <c r="D501" i="10"/>
  <c r="E501" i="10"/>
  <c r="F501" i="10"/>
  <c r="G501" i="10"/>
  <c r="H501" i="10"/>
  <c r="K501" i="10"/>
  <c r="L501" i="10"/>
  <c r="M501" i="10"/>
  <c r="N501" i="10"/>
  <c r="O501" i="10"/>
  <c r="Q501" i="10"/>
  <c r="R501" i="10"/>
  <c r="U501" i="10"/>
  <c r="V501" i="10"/>
  <c r="X501" i="10"/>
  <c r="A502" i="10"/>
  <c r="B502" i="10"/>
  <c r="D502" i="10"/>
  <c r="E502" i="10"/>
  <c r="F502" i="10"/>
  <c r="G502" i="10"/>
  <c r="H502" i="10"/>
  <c r="K502" i="10"/>
  <c r="L502" i="10"/>
  <c r="M502" i="10"/>
  <c r="N502" i="10"/>
  <c r="O502" i="10"/>
  <c r="Q502" i="10"/>
  <c r="R502" i="10"/>
  <c r="U502" i="10"/>
  <c r="V502" i="10"/>
  <c r="X502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3" i="10"/>
  <c r="V4" i="10"/>
  <c r="V5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3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A3" i="10"/>
  <c r="B20" i="10"/>
  <c r="D20" i="10"/>
  <c r="F20" i="10"/>
  <c r="G20" i="10"/>
  <c r="H20" i="10"/>
  <c r="K20" i="10"/>
  <c r="L20" i="10"/>
  <c r="N20" i="10"/>
  <c r="O20" i="10"/>
  <c r="Q20" i="10"/>
  <c r="R20" i="10"/>
  <c r="U20" i="10"/>
  <c r="X20" i="10"/>
  <c r="B21" i="10"/>
  <c r="D21" i="10"/>
  <c r="F21" i="10"/>
  <c r="G21" i="10"/>
  <c r="H21" i="10"/>
  <c r="K21" i="10"/>
  <c r="L21" i="10"/>
  <c r="N21" i="10"/>
  <c r="O21" i="10"/>
  <c r="Q21" i="10"/>
  <c r="R21" i="10"/>
  <c r="U21" i="10"/>
  <c r="X21" i="10"/>
  <c r="B22" i="10"/>
  <c r="D22" i="10"/>
  <c r="F22" i="10"/>
  <c r="G22" i="10"/>
  <c r="H22" i="10"/>
  <c r="K22" i="10"/>
  <c r="L22" i="10"/>
  <c r="N22" i="10"/>
  <c r="O22" i="10"/>
  <c r="Q22" i="10"/>
  <c r="R22" i="10"/>
  <c r="U22" i="10"/>
  <c r="X22" i="10"/>
  <c r="B23" i="10"/>
  <c r="D23" i="10"/>
  <c r="F23" i="10"/>
  <c r="G23" i="10"/>
  <c r="H23" i="10"/>
  <c r="K23" i="10"/>
  <c r="L23" i="10"/>
  <c r="N23" i="10"/>
  <c r="O23" i="10"/>
  <c r="Q23" i="10"/>
  <c r="R23" i="10"/>
  <c r="U23" i="10"/>
  <c r="X23" i="10"/>
  <c r="B24" i="10"/>
  <c r="D24" i="10"/>
  <c r="F24" i="10"/>
  <c r="G24" i="10"/>
  <c r="H24" i="10"/>
  <c r="K24" i="10"/>
  <c r="L24" i="10"/>
  <c r="N24" i="10"/>
  <c r="O24" i="10"/>
  <c r="Q24" i="10"/>
  <c r="R24" i="10"/>
  <c r="U24" i="10"/>
  <c r="X24" i="10"/>
  <c r="B25" i="10"/>
  <c r="D25" i="10"/>
  <c r="F25" i="10"/>
  <c r="G25" i="10"/>
  <c r="H25" i="10"/>
  <c r="K25" i="10"/>
  <c r="L25" i="10"/>
  <c r="N25" i="10"/>
  <c r="O25" i="10"/>
  <c r="Q25" i="10"/>
  <c r="R25" i="10"/>
  <c r="U25" i="10"/>
  <c r="X25" i="10"/>
  <c r="B26" i="10"/>
  <c r="D26" i="10"/>
  <c r="F26" i="10"/>
  <c r="G26" i="10"/>
  <c r="H26" i="10"/>
  <c r="K26" i="10"/>
  <c r="L26" i="10"/>
  <c r="N26" i="10"/>
  <c r="O26" i="10"/>
  <c r="Q26" i="10"/>
  <c r="R26" i="10"/>
  <c r="U26" i="10"/>
  <c r="X26" i="10"/>
  <c r="B27" i="10"/>
  <c r="D27" i="10"/>
  <c r="F27" i="10"/>
  <c r="G27" i="10"/>
  <c r="H27" i="10"/>
  <c r="K27" i="10"/>
  <c r="L27" i="10"/>
  <c r="N27" i="10"/>
  <c r="O27" i="10"/>
  <c r="Q27" i="10"/>
  <c r="R27" i="10"/>
  <c r="U27" i="10"/>
  <c r="X27" i="10"/>
  <c r="B28" i="10"/>
  <c r="D28" i="10"/>
  <c r="F28" i="10"/>
  <c r="G28" i="10"/>
  <c r="H28" i="10"/>
  <c r="K28" i="10"/>
  <c r="L28" i="10"/>
  <c r="N28" i="10"/>
  <c r="O28" i="10"/>
  <c r="Q28" i="10"/>
  <c r="R28" i="10"/>
  <c r="U28" i="10"/>
  <c r="X28" i="10"/>
  <c r="B29" i="10"/>
  <c r="D29" i="10"/>
  <c r="F29" i="10"/>
  <c r="G29" i="10"/>
  <c r="H29" i="10"/>
  <c r="K29" i="10"/>
  <c r="L29" i="10"/>
  <c r="N29" i="10"/>
  <c r="O29" i="10"/>
  <c r="Q29" i="10"/>
  <c r="R29" i="10"/>
  <c r="U29" i="10"/>
  <c r="X29" i="10"/>
  <c r="B30" i="10"/>
  <c r="D30" i="10"/>
  <c r="F30" i="10"/>
  <c r="G30" i="10"/>
  <c r="H30" i="10"/>
  <c r="K30" i="10"/>
  <c r="L30" i="10"/>
  <c r="N30" i="10"/>
  <c r="O30" i="10"/>
  <c r="Q30" i="10"/>
  <c r="R30" i="10"/>
  <c r="U30" i="10"/>
  <c r="X30" i="10"/>
  <c r="B31" i="10"/>
  <c r="D31" i="10"/>
  <c r="F31" i="10"/>
  <c r="G31" i="10"/>
  <c r="H31" i="10"/>
  <c r="K31" i="10"/>
  <c r="L31" i="10"/>
  <c r="N31" i="10"/>
  <c r="O31" i="10"/>
  <c r="Q31" i="10"/>
  <c r="R31" i="10"/>
  <c r="U31" i="10"/>
  <c r="X31" i="10"/>
  <c r="B32" i="10"/>
  <c r="D32" i="10"/>
  <c r="F32" i="10"/>
  <c r="G32" i="10"/>
  <c r="H32" i="10"/>
  <c r="K32" i="10"/>
  <c r="L32" i="10"/>
  <c r="N32" i="10"/>
  <c r="O32" i="10"/>
  <c r="Q32" i="10"/>
  <c r="R32" i="10"/>
  <c r="U32" i="10"/>
  <c r="X32" i="10"/>
  <c r="B33" i="10"/>
  <c r="D33" i="10"/>
  <c r="F33" i="10"/>
  <c r="G33" i="10"/>
  <c r="H33" i="10"/>
  <c r="K33" i="10"/>
  <c r="L33" i="10"/>
  <c r="N33" i="10"/>
  <c r="O33" i="10"/>
  <c r="Q33" i="10"/>
  <c r="R33" i="10"/>
  <c r="U33" i="10"/>
  <c r="X33" i="10"/>
  <c r="B34" i="10"/>
  <c r="D34" i="10"/>
  <c r="F34" i="10"/>
  <c r="G34" i="10"/>
  <c r="H34" i="10"/>
  <c r="K34" i="10"/>
  <c r="L34" i="10"/>
  <c r="N34" i="10"/>
  <c r="O34" i="10"/>
  <c r="Q34" i="10"/>
  <c r="R34" i="10"/>
  <c r="U34" i="10"/>
  <c r="X34" i="10"/>
  <c r="B35" i="10"/>
  <c r="D35" i="10"/>
  <c r="F35" i="10"/>
  <c r="G35" i="10"/>
  <c r="H35" i="10"/>
  <c r="K35" i="10"/>
  <c r="L35" i="10"/>
  <c r="N35" i="10"/>
  <c r="O35" i="10"/>
  <c r="Q35" i="10"/>
  <c r="R35" i="10"/>
  <c r="U35" i="10"/>
  <c r="X35" i="10"/>
  <c r="B36" i="10"/>
  <c r="D36" i="10"/>
  <c r="F36" i="10"/>
  <c r="G36" i="10"/>
  <c r="H36" i="10"/>
  <c r="K36" i="10"/>
  <c r="L36" i="10"/>
  <c r="N36" i="10"/>
  <c r="O36" i="10"/>
  <c r="Q36" i="10"/>
  <c r="R36" i="10"/>
  <c r="U36" i="10"/>
  <c r="X36" i="10"/>
  <c r="B37" i="10"/>
  <c r="D37" i="10"/>
  <c r="F37" i="10"/>
  <c r="G37" i="10"/>
  <c r="H37" i="10"/>
  <c r="K37" i="10"/>
  <c r="L37" i="10"/>
  <c r="N37" i="10"/>
  <c r="O37" i="10"/>
  <c r="Q37" i="10"/>
  <c r="R37" i="10"/>
  <c r="U37" i="10"/>
  <c r="X37" i="10"/>
  <c r="B38" i="10"/>
  <c r="D38" i="10"/>
  <c r="F38" i="10"/>
  <c r="G38" i="10"/>
  <c r="H38" i="10"/>
  <c r="K38" i="10"/>
  <c r="L38" i="10"/>
  <c r="N38" i="10"/>
  <c r="O38" i="10"/>
  <c r="Q38" i="10"/>
  <c r="R38" i="10"/>
  <c r="U38" i="10"/>
  <c r="X38" i="10"/>
  <c r="B39" i="10"/>
  <c r="D39" i="10"/>
  <c r="F39" i="10"/>
  <c r="G39" i="10"/>
  <c r="H39" i="10"/>
  <c r="K39" i="10"/>
  <c r="L39" i="10"/>
  <c r="N39" i="10"/>
  <c r="O39" i="10"/>
  <c r="Q39" i="10"/>
  <c r="R39" i="10"/>
  <c r="U39" i="10"/>
  <c r="X39" i="10"/>
  <c r="B40" i="10"/>
  <c r="D40" i="10"/>
  <c r="F40" i="10"/>
  <c r="G40" i="10"/>
  <c r="H40" i="10"/>
  <c r="K40" i="10"/>
  <c r="L40" i="10"/>
  <c r="N40" i="10"/>
  <c r="O40" i="10"/>
  <c r="Q40" i="10"/>
  <c r="R40" i="10"/>
  <c r="U40" i="10"/>
  <c r="X40" i="10"/>
  <c r="B41" i="10"/>
  <c r="D41" i="10"/>
  <c r="F41" i="10"/>
  <c r="G41" i="10"/>
  <c r="H41" i="10"/>
  <c r="K41" i="10"/>
  <c r="L41" i="10"/>
  <c r="N41" i="10"/>
  <c r="O41" i="10"/>
  <c r="Q41" i="10"/>
  <c r="R41" i="10"/>
  <c r="U41" i="10"/>
  <c r="X41" i="10"/>
  <c r="B42" i="10"/>
  <c r="D42" i="10"/>
  <c r="F42" i="10"/>
  <c r="G42" i="10"/>
  <c r="H42" i="10"/>
  <c r="K42" i="10"/>
  <c r="L42" i="10"/>
  <c r="N42" i="10"/>
  <c r="O42" i="10"/>
  <c r="Q42" i="10"/>
  <c r="R42" i="10"/>
  <c r="U42" i="10"/>
  <c r="X42" i="10"/>
  <c r="B43" i="10"/>
  <c r="D43" i="10"/>
  <c r="F43" i="10"/>
  <c r="G43" i="10"/>
  <c r="H43" i="10"/>
  <c r="K43" i="10"/>
  <c r="L43" i="10"/>
  <c r="N43" i="10"/>
  <c r="O43" i="10"/>
  <c r="Q43" i="10"/>
  <c r="R43" i="10"/>
  <c r="U43" i="10"/>
  <c r="X43" i="10"/>
  <c r="B44" i="10"/>
  <c r="D44" i="10"/>
  <c r="F44" i="10"/>
  <c r="G44" i="10"/>
  <c r="H44" i="10"/>
  <c r="K44" i="10"/>
  <c r="L44" i="10"/>
  <c r="N44" i="10"/>
  <c r="O44" i="10"/>
  <c r="Q44" i="10"/>
  <c r="R44" i="10"/>
  <c r="U44" i="10"/>
  <c r="X44" i="10"/>
  <c r="B45" i="10"/>
  <c r="D45" i="10"/>
  <c r="F45" i="10"/>
  <c r="G45" i="10"/>
  <c r="H45" i="10"/>
  <c r="K45" i="10"/>
  <c r="L45" i="10"/>
  <c r="N45" i="10"/>
  <c r="O45" i="10"/>
  <c r="Q45" i="10"/>
  <c r="R45" i="10"/>
  <c r="U45" i="10"/>
  <c r="X45" i="10"/>
  <c r="B46" i="10"/>
  <c r="D46" i="10"/>
  <c r="F46" i="10"/>
  <c r="G46" i="10"/>
  <c r="H46" i="10"/>
  <c r="K46" i="10"/>
  <c r="L46" i="10"/>
  <c r="N46" i="10"/>
  <c r="O46" i="10"/>
  <c r="Q46" i="10"/>
  <c r="R46" i="10"/>
  <c r="U46" i="10"/>
  <c r="X46" i="10"/>
  <c r="B47" i="10"/>
  <c r="D47" i="10"/>
  <c r="F47" i="10"/>
  <c r="G47" i="10"/>
  <c r="H47" i="10"/>
  <c r="K47" i="10"/>
  <c r="L47" i="10"/>
  <c r="N47" i="10"/>
  <c r="O47" i="10"/>
  <c r="Q47" i="10"/>
  <c r="R47" i="10"/>
  <c r="U47" i="10"/>
  <c r="X47" i="10"/>
  <c r="B48" i="10"/>
  <c r="D48" i="10"/>
  <c r="F48" i="10"/>
  <c r="G48" i="10"/>
  <c r="H48" i="10"/>
  <c r="K48" i="10"/>
  <c r="L48" i="10"/>
  <c r="N48" i="10"/>
  <c r="O48" i="10"/>
  <c r="Q48" i="10"/>
  <c r="R48" i="10"/>
  <c r="U48" i="10"/>
  <c r="X48" i="10"/>
  <c r="B49" i="10"/>
  <c r="D49" i="10"/>
  <c r="F49" i="10"/>
  <c r="G49" i="10"/>
  <c r="H49" i="10"/>
  <c r="K49" i="10"/>
  <c r="L49" i="10"/>
  <c r="N49" i="10"/>
  <c r="O49" i="10"/>
  <c r="Q49" i="10"/>
  <c r="R49" i="10"/>
  <c r="U49" i="10"/>
  <c r="X49" i="10"/>
  <c r="B50" i="10"/>
  <c r="D50" i="10"/>
  <c r="F50" i="10"/>
  <c r="G50" i="10"/>
  <c r="H50" i="10"/>
  <c r="K50" i="10"/>
  <c r="L50" i="10"/>
  <c r="N50" i="10"/>
  <c r="O50" i="10"/>
  <c r="Q50" i="10"/>
  <c r="R50" i="10"/>
  <c r="U50" i="10"/>
  <c r="X50" i="10"/>
  <c r="B51" i="10"/>
  <c r="D51" i="10"/>
  <c r="F51" i="10"/>
  <c r="G51" i="10"/>
  <c r="H51" i="10"/>
  <c r="K51" i="10"/>
  <c r="L51" i="10"/>
  <c r="N51" i="10"/>
  <c r="O51" i="10"/>
  <c r="Q51" i="10"/>
  <c r="R51" i="10"/>
  <c r="U51" i="10"/>
  <c r="X51" i="10"/>
  <c r="B52" i="10"/>
  <c r="D52" i="10"/>
  <c r="F52" i="10"/>
  <c r="G52" i="10"/>
  <c r="H52" i="10"/>
  <c r="K52" i="10"/>
  <c r="L52" i="10"/>
  <c r="N52" i="10"/>
  <c r="O52" i="10"/>
  <c r="Q52" i="10"/>
  <c r="R52" i="10"/>
  <c r="U52" i="10"/>
  <c r="X52" i="10"/>
  <c r="B53" i="10"/>
  <c r="D53" i="10"/>
  <c r="F53" i="10"/>
  <c r="G53" i="10"/>
  <c r="H53" i="10"/>
  <c r="K53" i="10"/>
  <c r="L53" i="10"/>
  <c r="N53" i="10"/>
  <c r="O53" i="10"/>
  <c r="Q53" i="10"/>
  <c r="R53" i="10"/>
  <c r="U53" i="10"/>
  <c r="X53" i="10"/>
  <c r="B54" i="10"/>
  <c r="D54" i="10"/>
  <c r="F54" i="10"/>
  <c r="G54" i="10"/>
  <c r="H54" i="10"/>
  <c r="K54" i="10"/>
  <c r="L54" i="10"/>
  <c r="N54" i="10"/>
  <c r="O54" i="10"/>
  <c r="Q54" i="10"/>
  <c r="R54" i="10"/>
  <c r="U54" i="10"/>
  <c r="X54" i="10"/>
  <c r="B55" i="10"/>
  <c r="D55" i="10"/>
  <c r="F55" i="10"/>
  <c r="G55" i="10"/>
  <c r="H55" i="10"/>
  <c r="K55" i="10"/>
  <c r="L55" i="10"/>
  <c r="N55" i="10"/>
  <c r="O55" i="10"/>
  <c r="Q55" i="10"/>
  <c r="R55" i="10"/>
  <c r="U55" i="10"/>
  <c r="X55" i="10"/>
  <c r="B56" i="10"/>
  <c r="D56" i="10"/>
  <c r="F56" i="10"/>
  <c r="G56" i="10"/>
  <c r="H56" i="10"/>
  <c r="K56" i="10"/>
  <c r="L56" i="10"/>
  <c r="N56" i="10"/>
  <c r="O56" i="10"/>
  <c r="Q56" i="10"/>
  <c r="R56" i="10"/>
  <c r="U56" i="10"/>
  <c r="X56" i="10"/>
  <c r="B57" i="10"/>
  <c r="D57" i="10"/>
  <c r="F57" i="10"/>
  <c r="G57" i="10"/>
  <c r="H57" i="10"/>
  <c r="K57" i="10"/>
  <c r="L57" i="10"/>
  <c r="N57" i="10"/>
  <c r="O57" i="10"/>
  <c r="Q57" i="10"/>
  <c r="R57" i="10"/>
  <c r="U57" i="10"/>
  <c r="X57" i="10"/>
  <c r="B58" i="10"/>
  <c r="D58" i="10"/>
  <c r="F58" i="10"/>
  <c r="G58" i="10"/>
  <c r="H58" i="10"/>
  <c r="K58" i="10"/>
  <c r="L58" i="10"/>
  <c r="N58" i="10"/>
  <c r="O58" i="10"/>
  <c r="Q58" i="10"/>
  <c r="R58" i="10"/>
  <c r="U58" i="10"/>
  <c r="X58" i="10"/>
  <c r="B59" i="10"/>
  <c r="D59" i="10"/>
  <c r="F59" i="10"/>
  <c r="G59" i="10"/>
  <c r="H59" i="10"/>
  <c r="K59" i="10"/>
  <c r="L59" i="10"/>
  <c r="N59" i="10"/>
  <c r="O59" i="10"/>
  <c r="Q59" i="10"/>
  <c r="R59" i="10"/>
  <c r="U59" i="10"/>
  <c r="X59" i="10"/>
  <c r="B60" i="10"/>
  <c r="D60" i="10"/>
  <c r="F60" i="10"/>
  <c r="G60" i="10"/>
  <c r="H60" i="10"/>
  <c r="K60" i="10"/>
  <c r="L60" i="10"/>
  <c r="N60" i="10"/>
  <c r="O60" i="10"/>
  <c r="Q60" i="10"/>
  <c r="R60" i="10"/>
  <c r="U60" i="10"/>
  <c r="X60" i="10"/>
  <c r="B61" i="10"/>
  <c r="D61" i="10"/>
  <c r="F61" i="10"/>
  <c r="G61" i="10"/>
  <c r="H61" i="10"/>
  <c r="K61" i="10"/>
  <c r="L61" i="10"/>
  <c r="N61" i="10"/>
  <c r="O61" i="10"/>
  <c r="Q61" i="10"/>
  <c r="R61" i="10"/>
  <c r="U61" i="10"/>
  <c r="X61" i="10"/>
  <c r="B62" i="10"/>
  <c r="D62" i="10"/>
  <c r="F62" i="10"/>
  <c r="G62" i="10"/>
  <c r="H62" i="10"/>
  <c r="K62" i="10"/>
  <c r="L62" i="10"/>
  <c r="N62" i="10"/>
  <c r="O62" i="10"/>
  <c r="Q62" i="10"/>
  <c r="R62" i="10"/>
  <c r="U62" i="10"/>
  <c r="X62" i="10"/>
  <c r="B63" i="10"/>
  <c r="D63" i="10"/>
  <c r="F63" i="10"/>
  <c r="G63" i="10"/>
  <c r="H63" i="10"/>
  <c r="K63" i="10"/>
  <c r="L63" i="10"/>
  <c r="N63" i="10"/>
  <c r="O63" i="10"/>
  <c r="Q63" i="10"/>
  <c r="R63" i="10"/>
  <c r="U63" i="10"/>
  <c r="X63" i="10"/>
  <c r="B64" i="10"/>
  <c r="D64" i="10"/>
  <c r="F64" i="10"/>
  <c r="G64" i="10"/>
  <c r="H64" i="10"/>
  <c r="K64" i="10"/>
  <c r="L64" i="10"/>
  <c r="N64" i="10"/>
  <c r="O64" i="10"/>
  <c r="Q64" i="10"/>
  <c r="R64" i="10"/>
  <c r="U64" i="10"/>
  <c r="X64" i="10"/>
  <c r="B65" i="10"/>
  <c r="D65" i="10"/>
  <c r="F65" i="10"/>
  <c r="G65" i="10"/>
  <c r="H65" i="10"/>
  <c r="K65" i="10"/>
  <c r="L65" i="10"/>
  <c r="N65" i="10"/>
  <c r="O65" i="10"/>
  <c r="Q65" i="10"/>
  <c r="R65" i="10"/>
  <c r="U65" i="10"/>
  <c r="X65" i="10"/>
  <c r="B66" i="10"/>
  <c r="D66" i="10"/>
  <c r="F66" i="10"/>
  <c r="G66" i="10"/>
  <c r="H66" i="10"/>
  <c r="K66" i="10"/>
  <c r="L66" i="10"/>
  <c r="N66" i="10"/>
  <c r="O66" i="10"/>
  <c r="Q66" i="10"/>
  <c r="R66" i="10"/>
  <c r="U66" i="10"/>
  <c r="X66" i="10"/>
  <c r="B67" i="10"/>
  <c r="D67" i="10"/>
  <c r="F67" i="10"/>
  <c r="G67" i="10"/>
  <c r="H67" i="10"/>
  <c r="K67" i="10"/>
  <c r="L67" i="10"/>
  <c r="N67" i="10"/>
  <c r="O67" i="10"/>
  <c r="Q67" i="10"/>
  <c r="R67" i="10"/>
  <c r="U67" i="10"/>
  <c r="X67" i="10"/>
  <c r="B68" i="10"/>
  <c r="D68" i="10"/>
  <c r="F68" i="10"/>
  <c r="G68" i="10"/>
  <c r="H68" i="10"/>
  <c r="K68" i="10"/>
  <c r="L68" i="10"/>
  <c r="N68" i="10"/>
  <c r="O68" i="10"/>
  <c r="Q68" i="10"/>
  <c r="R68" i="10"/>
  <c r="U68" i="10"/>
  <c r="X68" i="10"/>
  <c r="B69" i="10"/>
  <c r="D69" i="10"/>
  <c r="F69" i="10"/>
  <c r="G69" i="10"/>
  <c r="H69" i="10"/>
  <c r="K69" i="10"/>
  <c r="L69" i="10"/>
  <c r="N69" i="10"/>
  <c r="O69" i="10"/>
  <c r="Q69" i="10"/>
  <c r="R69" i="10"/>
  <c r="U69" i="10"/>
  <c r="X69" i="10"/>
  <c r="B70" i="10"/>
  <c r="D70" i="10"/>
  <c r="F70" i="10"/>
  <c r="G70" i="10"/>
  <c r="H70" i="10"/>
  <c r="K70" i="10"/>
  <c r="L70" i="10"/>
  <c r="N70" i="10"/>
  <c r="O70" i="10"/>
  <c r="Q70" i="10"/>
  <c r="R70" i="10"/>
  <c r="U70" i="10"/>
  <c r="X70" i="10"/>
  <c r="B71" i="10"/>
  <c r="D71" i="10"/>
  <c r="F71" i="10"/>
  <c r="G71" i="10"/>
  <c r="H71" i="10"/>
  <c r="K71" i="10"/>
  <c r="L71" i="10"/>
  <c r="N71" i="10"/>
  <c r="O71" i="10"/>
  <c r="Q71" i="10"/>
  <c r="R71" i="10"/>
  <c r="U71" i="10"/>
  <c r="X71" i="10"/>
  <c r="B72" i="10"/>
  <c r="D72" i="10"/>
  <c r="F72" i="10"/>
  <c r="G72" i="10"/>
  <c r="H72" i="10"/>
  <c r="K72" i="10"/>
  <c r="L72" i="10"/>
  <c r="N72" i="10"/>
  <c r="O72" i="10"/>
  <c r="Q72" i="10"/>
  <c r="R72" i="10"/>
  <c r="U72" i="10"/>
  <c r="X72" i="10"/>
  <c r="B73" i="10"/>
  <c r="D73" i="10"/>
  <c r="F73" i="10"/>
  <c r="G73" i="10"/>
  <c r="H73" i="10"/>
  <c r="K73" i="10"/>
  <c r="L73" i="10"/>
  <c r="N73" i="10"/>
  <c r="O73" i="10"/>
  <c r="Q73" i="10"/>
  <c r="R73" i="10"/>
  <c r="U73" i="10"/>
  <c r="X73" i="10"/>
  <c r="B74" i="10"/>
  <c r="D74" i="10"/>
  <c r="F74" i="10"/>
  <c r="G74" i="10"/>
  <c r="H74" i="10"/>
  <c r="K74" i="10"/>
  <c r="L74" i="10"/>
  <c r="N74" i="10"/>
  <c r="O74" i="10"/>
  <c r="Q74" i="10"/>
  <c r="R74" i="10"/>
  <c r="U74" i="10"/>
  <c r="X74" i="10"/>
  <c r="B75" i="10"/>
  <c r="D75" i="10"/>
  <c r="F75" i="10"/>
  <c r="G75" i="10"/>
  <c r="H75" i="10"/>
  <c r="K75" i="10"/>
  <c r="L75" i="10"/>
  <c r="N75" i="10"/>
  <c r="O75" i="10"/>
  <c r="Q75" i="10"/>
  <c r="R75" i="10"/>
  <c r="U75" i="10"/>
  <c r="X75" i="10"/>
  <c r="B76" i="10"/>
  <c r="D76" i="10"/>
  <c r="F76" i="10"/>
  <c r="G76" i="10"/>
  <c r="H76" i="10"/>
  <c r="K76" i="10"/>
  <c r="L76" i="10"/>
  <c r="N76" i="10"/>
  <c r="O76" i="10"/>
  <c r="Q76" i="10"/>
  <c r="R76" i="10"/>
  <c r="U76" i="10"/>
  <c r="X76" i="10"/>
  <c r="B77" i="10"/>
  <c r="D77" i="10"/>
  <c r="F77" i="10"/>
  <c r="G77" i="10"/>
  <c r="H77" i="10"/>
  <c r="K77" i="10"/>
  <c r="L77" i="10"/>
  <c r="N77" i="10"/>
  <c r="O77" i="10"/>
  <c r="Q77" i="10"/>
  <c r="R77" i="10"/>
  <c r="U77" i="10"/>
  <c r="X77" i="10"/>
  <c r="B78" i="10"/>
  <c r="D78" i="10"/>
  <c r="F78" i="10"/>
  <c r="G78" i="10"/>
  <c r="H78" i="10"/>
  <c r="K78" i="10"/>
  <c r="L78" i="10"/>
  <c r="N78" i="10"/>
  <c r="O78" i="10"/>
  <c r="Q78" i="10"/>
  <c r="R78" i="10"/>
  <c r="U78" i="10"/>
  <c r="X78" i="10"/>
  <c r="B79" i="10"/>
  <c r="D79" i="10"/>
  <c r="F79" i="10"/>
  <c r="G79" i="10"/>
  <c r="H79" i="10"/>
  <c r="K79" i="10"/>
  <c r="L79" i="10"/>
  <c r="N79" i="10"/>
  <c r="O79" i="10"/>
  <c r="Q79" i="10"/>
  <c r="R79" i="10"/>
  <c r="U79" i="10"/>
  <c r="X79" i="10"/>
  <c r="B80" i="10"/>
  <c r="D80" i="10"/>
  <c r="F80" i="10"/>
  <c r="G80" i="10"/>
  <c r="H80" i="10"/>
  <c r="K80" i="10"/>
  <c r="L80" i="10"/>
  <c r="N80" i="10"/>
  <c r="O80" i="10"/>
  <c r="Q80" i="10"/>
  <c r="R80" i="10"/>
  <c r="U80" i="10"/>
  <c r="X80" i="10"/>
  <c r="B81" i="10"/>
  <c r="D81" i="10"/>
  <c r="F81" i="10"/>
  <c r="G81" i="10"/>
  <c r="H81" i="10"/>
  <c r="K81" i="10"/>
  <c r="L81" i="10"/>
  <c r="N81" i="10"/>
  <c r="O81" i="10"/>
  <c r="Q81" i="10"/>
  <c r="R81" i="10"/>
  <c r="U81" i="10"/>
  <c r="X81" i="10"/>
  <c r="B82" i="10"/>
  <c r="D82" i="10"/>
  <c r="F82" i="10"/>
  <c r="G82" i="10"/>
  <c r="H82" i="10"/>
  <c r="K82" i="10"/>
  <c r="L82" i="10"/>
  <c r="N82" i="10"/>
  <c r="O82" i="10"/>
  <c r="Q82" i="10"/>
  <c r="R82" i="10"/>
  <c r="U82" i="10"/>
  <c r="X82" i="10"/>
  <c r="B83" i="10"/>
  <c r="D83" i="10"/>
  <c r="F83" i="10"/>
  <c r="G83" i="10"/>
  <c r="H83" i="10"/>
  <c r="K83" i="10"/>
  <c r="L83" i="10"/>
  <c r="N83" i="10"/>
  <c r="O83" i="10"/>
  <c r="Q83" i="10"/>
  <c r="R83" i="10"/>
  <c r="U83" i="10"/>
  <c r="X83" i="10"/>
  <c r="B84" i="10"/>
  <c r="D84" i="10"/>
  <c r="F84" i="10"/>
  <c r="G84" i="10"/>
  <c r="H84" i="10"/>
  <c r="K84" i="10"/>
  <c r="L84" i="10"/>
  <c r="N84" i="10"/>
  <c r="O84" i="10"/>
  <c r="Q84" i="10"/>
  <c r="R84" i="10"/>
  <c r="U84" i="10"/>
  <c r="X84" i="10"/>
  <c r="B85" i="10"/>
  <c r="D85" i="10"/>
  <c r="F85" i="10"/>
  <c r="G85" i="10"/>
  <c r="H85" i="10"/>
  <c r="K85" i="10"/>
  <c r="L85" i="10"/>
  <c r="N85" i="10"/>
  <c r="O85" i="10"/>
  <c r="Q85" i="10"/>
  <c r="R85" i="10"/>
  <c r="U85" i="10"/>
  <c r="X85" i="10"/>
  <c r="B86" i="10"/>
  <c r="D86" i="10"/>
  <c r="F86" i="10"/>
  <c r="G86" i="10"/>
  <c r="H86" i="10"/>
  <c r="K86" i="10"/>
  <c r="L86" i="10"/>
  <c r="N86" i="10"/>
  <c r="O86" i="10"/>
  <c r="Q86" i="10"/>
  <c r="R86" i="10"/>
  <c r="U86" i="10"/>
  <c r="X86" i="10"/>
  <c r="B87" i="10"/>
  <c r="D87" i="10"/>
  <c r="F87" i="10"/>
  <c r="G87" i="10"/>
  <c r="H87" i="10"/>
  <c r="K87" i="10"/>
  <c r="L87" i="10"/>
  <c r="N87" i="10"/>
  <c r="O87" i="10"/>
  <c r="Q87" i="10"/>
  <c r="R87" i="10"/>
  <c r="U87" i="10"/>
  <c r="X87" i="10"/>
  <c r="B88" i="10"/>
  <c r="D88" i="10"/>
  <c r="F88" i="10"/>
  <c r="G88" i="10"/>
  <c r="H88" i="10"/>
  <c r="K88" i="10"/>
  <c r="L88" i="10"/>
  <c r="N88" i="10"/>
  <c r="O88" i="10"/>
  <c r="Q88" i="10"/>
  <c r="R88" i="10"/>
  <c r="U88" i="10"/>
  <c r="X88" i="10"/>
  <c r="B89" i="10"/>
  <c r="D89" i="10"/>
  <c r="F89" i="10"/>
  <c r="G89" i="10"/>
  <c r="H89" i="10"/>
  <c r="K89" i="10"/>
  <c r="L89" i="10"/>
  <c r="N89" i="10"/>
  <c r="O89" i="10"/>
  <c r="Q89" i="10"/>
  <c r="R89" i="10"/>
  <c r="U89" i="10"/>
  <c r="X89" i="10"/>
  <c r="B90" i="10"/>
  <c r="D90" i="10"/>
  <c r="F90" i="10"/>
  <c r="G90" i="10"/>
  <c r="H90" i="10"/>
  <c r="K90" i="10"/>
  <c r="L90" i="10"/>
  <c r="N90" i="10"/>
  <c r="O90" i="10"/>
  <c r="Q90" i="10"/>
  <c r="R90" i="10"/>
  <c r="U90" i="10"/>
  <c r="X90" i="10"/>
  <c r="B91" i="10"/>
  <c r="D91" i="10"/>
  <c r="F91" i="10"/>
  <c r="G91" i="10"/>
  <c r="H91" i="10"/>
  <c r="K91" i="10"/>
  <c r="L91" i="10"/>
  <c r="N91" i="10"/>
  <c r="O91" i="10"/>
  <c r="Q91" i="10"/>
  <c r="R91" i="10"/>
  <c r="U91" i="10"/>
  <c r="X91" i="10"/>
  <c r="B92" i="10"/>
  <c r="D92" i="10"/>
  <c r="F92" i="10"/>
  <c r="G92" i="10"/>
  <c r="H92" i="10"/>
  <c r="K92" i="10"/>
  <c r="L92" i="10"/>
  <c r="N92" i="10"/>
  <c r="O92" i="10"/>
  <c r="Q92" i="10"/>
  <c r="R92" i="10"/>
  <c r="U92" i="10"/>
  <c r="X92" i="10"/>
  <c r="B93" i="10"/>
  <c r="D93" i="10"/>
  <c r="F93" i="10"/>
  <c r="G93" i="10"/>
  <c r="H93" i="10"/>
  <c r="K93" i="10"/>
  <c r="L93" i="10"/>
  <c r="N93" i="10"/>
  <c r="O93" i="10"/>
  <c r="Q93" i="10"/>
  <c r="R93" i="10"/>
  <c r="U93" i="10"/>
  <c r="X93" i="10"/>
  <c r="B94" i="10"/>
  <c r="D94" i="10"/>
  <c r="F94" i="10"/>
  <c r="G94" i="10"/>
  <c r="H94" i="10"/>
  <c r="K94" i="10"/>
  <c r="L94" i="10"/>
  <c r="N94" i="10"/>
  <c r="O94" i="10"/>
  <c r="Q94" i="10"/>
  <c r="R94" i="10"/>
  <c r="U94" i="10"/>
  <c r="X94" i="10"/>
  <c r="B95" i="10"/>
  <c r="D95" i="10"/>
  <c r="F95" i="10"/>
  <c r="G95" i="10"/>
  <c r="H95" i="10"/>
  <c r="K95" i="10"/>
  <c r="L95" i="10"/>
  <c r="N95" i="10"/>
  <c r="O95" i="10"/>
  <c r="Q95" i="10"/>
  <c r="R95" i="10"/>
  <c r="U95" i="10"/>
  <c r="X95" i="10"/>
  <c r="B96" i="10"/>
  <c r="D96" i="10"/>
  <c r="F96" i="10"/>
  <c r="G96" i="10"/>
  <c r="H96" i="10"/>
  <c r="K96" i="10"/>
  <c r="L96" i="10"/>
  <c r="N96" i="10"/>
  <c r="O96" i="10"/>
  <c r="Q96" i="10"/>
  <c r="R96" i="10"/>
  <c r="U96" i="10"/>
  <c r="X96" i="10"/>
  <c r="B97" i="10"/>
  <c r="D97" i="10"/>
  <c r="F97" i="10"/>
  <c r="G97" i="10"/>
  <c r="H97" i="10"/>
  <c r="K97" i="10"/>
  <c r="L97" i="10"/>
  <c r="N97" i="10"/>
  <c r="O97" i="10"/>
  <c r="Q97" i="10"/>
  <c r="R97" i="10"/>
  <c r="U97" i="10"/>
  <c r="X97" i="10"/>
  <c r="B98" i="10"/>
  <c r="D98" i="10"/>
  <c r="F98" i="10"/>
  <c r="G98" i="10"/>
  <c r="H98" i="10"/>
  <c r="K98" i="10"/>
  <c r="L98" i="10"/>
  <c r="N98" i="10"/>
  <c r="O98" i="10"/>
  <c r="Q98" i="10"/>
  <c r="R98" i="10"/>
  <c r="U98" i="10"/>
  <c r="X98" i="10"/>
  <c r="B99" i="10"/>
  <c r="D99" i="10"/>
  <c r="F99" i="10"/>
  <c r="G99" i="10"/>
  <c r="H99" i="10"/>
  <c r="K99" i="10"/>
  <c r="L99" i="10"/>
  <c r="N99" i="10"/>
  <c r="O99" i="10"/>
  <c r="Q99" i="10"/>
  <c r="R99" i="10"/>
  <c r="U99" i="10"/>
  <c r="X99" i="10"/>
  <c r="B100" i="10"/>
  <c r="D100" i="10"/>
  <c r="F100" i="10"/>
  <c r="G100" i="10"/>
  <c r="H100" i="10"/>
  <c r="K100" i="10"/>
  <c r="L100" i="10"/>
  <c r="N100" i="10"/>
  <c r="O100" i="10"/>
  <c r="Q100" i="10"/>
  <c r="R100" i="10"/>
  <c r="U100" i="10"/>
  <c r="X100" i="10"/>
  <c r="B101" i="10"/>
  <c r="D101" i="10"/>
  <c r="F101" i="10"/>
  <c r="G101" i="10"/>
  <c r="H101" i="10"/>
  <c r="K101" i="10"/>
  <c r="L101" i="10"/>
  <c r="N101" i="10"/>
  <c r="O101" i="10"/>
  <c r="Q101" i="10"/>
  <c r="R101" i="10"/>
  <c r="U101" i="10"/>
  <c r="X101" i="10"/>
  <c r="B102" i="10"/>
  <c r="D102" i="10"/>
  <c r="F102" i="10"/>
  <c r="G102" i="10"/>
  <c r="H102" i="10"/>
  <c r="K102" i="10"/>
  <c r="L102" i="10"/>
  <c r="N102" i="10"/>
  <c r="O102" i="10"/>
  <c r="Q102" i="10"/>
  <c r="R102" i="10"/>
  <c r="U102" i="10"/>
  <c r="X102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20" i="10"/>
  <c r="B5" i="10" l="1"/>
  <c r="M5" i="10" s="1"/>
  <c r="Q4" i="10" l="1"/>
  <c r="A7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3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3" i="10"/>
  <c r="N4" i="10"/>
  <c r="R4" i="10" s="1"/>
  <c r="N5" i="10"/>
  <c r="R5" i="10" s="1"/>
  <c r="N6" i="10"/>
  <c r="R6" i="10" s="1"/>
  <c r="N7" i="10"/>
  <c r="R7" i="10" s="1"/>
  <c r="N8" i="10"/>
  <c r="R8" i="10" s="1"/>
  <c r="N9" i="10"/>
  <c r="R9" i="10" s="1"/>
  <c r="N10" i="10"/>
  <c r="R10" i="10" s="1"/>
  <c r="N11" i="10"/>
  <c r="R11" i="10" s="1"/>
  <c r="N12" i="10"/>
  <c r="R12" i="10" s="1"/>
  <c r="N13" i="10"/>
  <c r="R13" i="10" s="1"/>
  <c r="N14" i="10"/>
  <c r="R14" i="10" s="1"/>
  <c r="N15" i="10"/>
  <c r="R15" i="10" s="1"/>
  <c r="N16" i="10"/>
  <c r="R16" i="10" s="1"/>
  <c r="N17" i="10"/>
  <c r="R17" i="10" s="1"/>
  <c r="N18" i="10"/>
  <c r="R18" i="10" s="1"/>
  <c r="N19" i="10"/>
  <c r="R19" i="10" s="1"/>
  <c r="N3" i="10"/>
  <c r="R3" i="10" s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3" i="10"/>
  <c r="B4" i="10"/>
  <c r="M4" i="10" s="1"/>
  <c r="B6" i="10"/>
  <c r="M6" i="10" s="1"/>
  <c r="B7" i="10"/>
  <c r="M7" i="10" s="1"/>
  <c r="B8" i="10"/>
  <c r="M8" i="10" s="1"/>
  <c r="B9" i="10"/>
  <c r="M9" i="10" s="1"/>
  <c r="B10" i="10"/>
  <c r="M10" i="10" s="1"/>
  <c r="B11" i="10"/>
  <c r="B12" i="10"/>
  <c r="B13" i="10"/>
  <c r="B14" i="10"/>
  <c r="B15" i="10"/>
  <c r="B16" i="10"/>
  <c r="B17" i="10"/>
  <c r="B18" i="10"/>
  <c r="B19" i="10"/>
  <c r="B3" i="10"/>
  <c r="M3" i="10" s="1"/>
  <c r="A4" i="10"/>
  <c r="A5" i="10"/>
  <c r="A6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O2" i="11" l="1"/>
  <c r="O3" i="11" s="1"/>
  <c r="O4" i="11" s="1"/>
  <c r="O5" i="11" s="1"/>
</calcChain>
</file>

<file path=xl/sharedStrings.xml><?xml version="1.0" encoding="utf-8"?>
<sst xmlns="http://schemas.openxmlformats.org/spreadsheetml/2006/main" count="52046" uniqueCount="5739">
  <si>
    <t>Is Virtual</t>
  </si>
  <si>
    <t>Windows</t>
  </si>
  <si>
    <t>server</t>
  </si>
  <si>
    <t>VMware</t>
  </si>
  <si>
    <t>no</t>
  </si>
  <si>
    <t>Other</t>
  </si>
  <si>
    <t>Linux</t>
  </si>
  <si>
    <t>AIX</t>
  </si>
  <si>
    <t>Click Here &gt;</t>
  </si>
  <si>
    <t>Impact</t>
  </si>
  <si>
    <t>OS Class</t>
  </si>
  <si>
    <t>System Description</t>
  </si>
  <si>
    <t>Serial Number</t>
  </si>
  <si>
    <t>1 - Enterprise</t>
  </si>
  <si>
    <t/>
  </si>
  <si>
    <t>Yes</t>
  </si>
  <si>
    <t>2 - Site/Dept</t>
  </si>
  <si>
    <t>yes</t>
  </si>
  <si>
    <t>Salt Lake City</t>
  </si>
  <si>
    <t>4 - User</t>
  </si>
  <si>
    <t>Findlay</t>
  </si>
  <si>
    <t>slcafe</t>
  </si>
  <si>
    <t>VMware-42 0c fe 2f af 46 9d d8-78 83 f4 fb 3a f3 76 4b</t>
  </si>
  <si>
    <t>Lebanon</t>
  </si>
  <si>
    <t>Alpharetta</t>
  </si>
  <si>
    <t>Lenel OnGuard</t>
  </si>
  <si>
    <t>mds2660</t>
  </si>
  <si>
    <t>mds2660.mgroupnet.com</t>
  </si>
  <si>
    <t>mds2661</t>
  </si>
  <si>
    <t>mds2661.mgroupnet.com</t>
  </si>
  <si>
    <t>mds2662</t>
  </si>
  <si>
    <t>mds2662.mgroupnet.com</t>
  </si>
  <si>
    <t>mds2663</t>
  </si>
  <si>
    <t>mds2663.mgroupnet.com</t>
  </si>
  <si>
    <t>mds2664</t>
  </si>
  <si>
    <t>mds2664.mgroupnet.com</t>
  </si>
  <si>
    <t>mds2665</t>
  </si>
  <si>
    <t>mds2665.mgroupnet.com</t>
  </si>
  <si>
    <t>mds2666</t>
  </si>
  <si>
    <t>mds2666.mgroupnet.com</t>
  </si>
  <si>
    <t>Hyperion</t>
  </si>
  <si>
    <t>TMW</t>
  </si>
  <si>
    <t>mds2870</t>
  </si>
  <si>
    <t>mds2870.mgroupnet.com</t>
  </si>
  <si>
    <t>mds3018</t>
  </si>
  <si>
    <t>mds3018.mgroupnet.com</t>
  </si>
  <si>
    <t>mds3019</t>
  </si>
  <si>
    <t>mds3019.mgroupnet.com</t>
  </si>
  <si>
    <t>mds3055</t>
  </si>
  <si>
    <t>mds3055.mgroupnet.com</t>
  </si>
  <si>
    <t>KMS</t>
  </si>
  <si>
    <t>mds3088</t>
  </si>
  <si>
    <t>mds3088.mgroupnet.com</t>
  </si>
  <si>
    <t>mds3108</t>
  </si>
  <si>
    <t>mds3108.mgroupnet.com</t>
  </si>
  <si>
    <t>mds3109</t>
  </si>
  <si>
    <t>mds3109.mgroupnet.com</t>
  </si>
  <si>
    <t>mds3306</t>
  </si>
  <si>
    <t>mds3306.mgroupnet.com</t>
  </si>
  <si>
    <t>Allocation Manager</t>
  </si>
  <si>
    <t>Tableau</t>
  </si>
  <si>
    <t>Primavera</t>
  </si>
  <si>
    <t>mds3500</t>
  </si>
  <si>
    <t>mds3503</t>
  </si>
  <si>
    <t>mds3503.mgroupnet.com</t>
  </si>
  <si>
    <t>0000-0000-4089-7225-4166-9927-50</t>
  </si>
  <si>
    <t>FieldCycle</t>
  </si>
  <si>
    <t>mds3652</t>
  </si>
  <si>
    <t>mds3652.mgroupnet.com</t>
  </si>
  <si>
    <t>SAP ECC</t>
  </si>
  <si>
    <t>SAP Business Objects</t>
  </si>
  <si>
    <t>SAP Data Services</t>
  </si>
  <si>
    <t>eLynx</t>
  </si>
  <si>
    <t>RightAngle - MPC</t>
  </si>
  <si>
    <t>mds6540</t>
  </si>
  <si>
    <t>mds6540.mgroupnet.com</t>
  </si>
  <si>
    <t>Transaction Upload</t>
  </si>
  <si>
    <t>TMT</t>
  </si>
  <si>
    <t>Dell Boomi</t>
  </si>
  <si>
    <t>Maxavera</t>
  </si>
  <si>
    <t>MPCConnect</t>
  </si>
  <si>
    <t>mds7312</t>
  </si>
  <si>
    <t>mds7312.mgroupnet.com</t>
  </si>
  <si>
    <t>mds7313</t>
  </si>
  <si>
    <t>mds7313.mgroupnet.com</t>
  </si>
  <si>
    <t>mds7314</t>
  </si>
  <si>
    <t>mds7314.mgroupnet.com</t>
  </si>
  <si>
    <t>mds7350</t>
  </si>
  <si>
    <t>mds7350.mgroupnet.com</t>
  </si>
  <si>
    <t>mds7356</t>
  </si>
  <si>
    <t>mds7356.mgroupnet.com</t>
  </si>
  <si>
    <t>mds7357</t>
  </si>
  <si>
    <t>mds7357.mgroupnet.com</t>
  </si>
  <si>
    <t>mds7359</t>
  </si>
  <si>
    <t>mds7359.mgroupnet.com</t>
  </si>
  <si>
    <t>mds7392</t>
  </si>
  <si>
    <t>mds7392.mgroupnet.com</t>
  </si>
  <si>
    <t>mds7433</t>
  </si>
  <si>
    <t>mds7433.mgroupnet.com</t>
  </si>
  <si>
    <t>mds7434</t>
  </si>
  <si>
    <t>mds7434.mgroupnet.com</t>
  </si>
  <si>
    <t>mds7453</t>
  </si>
  <si>
    <t>mds7453.mgroupnet.com</t>
  </si>
  <si>
    <t>mds7454</t>
  </si>
  <si>
    <t>mds7454.mgroupnet.com</t>
  </si>
  <si>
    <t>mds7455</t>
  </si>
  <si>
    <t>mds7455.mgroupnet.com</t>
  </si>
  <si>
    <t>mds7460</t>
  </si>
  <si>
    <t>mds7460.mgroupnet.com</t>
  </si>
  <si>
    <t>mds7462</t>
  </si>
  <si>
    <t>mds7462.mgroupnet.com</t>
  </si>
  <si>
    <t>mds7463</t>
  </si>
  <si>
    <t>mds7463.mgroupnet.com</t>
  </si>
  <si>
    <t>mds7464</t>
  </si>
  <si>
    <t>mds7464.mgroupnet.com</t>
  </si>
  <si>
    <t>mds7465</t>
  </si>
  <si>
    <t>mds7465.mgroupnet.com</t>
  </si>
  <si>
    <t>mds7466</t>
  </si>
  <si>
    <t>mds7466.mgroupnet.com</t>
  </si>
  <si>
    <t>mds7467</t>
  </si>
  <si>
    <t>mds7467.mgroupnet.com</t>
  </si>
  <si>
    <t>mds7468</t>
  </si>
  <si>
    <t>mds7468.mgroupnet.com</t>
  </si>
  <si>
    <t>mds7469</t>
  </si>
  <si>
    <t>mds7469.mgroupnet.com</t>
  </si>
  <si>
    <t>mds7470</t>
  </si>
  <si>
    <t>mds7470.mgroupnet.com</t>
  </si>
  <si>
    <t>mds7471</t>
  </si>
  <si>
    <t>mds7471.mgroupnet.com</t>
  </si>
  <si>
    <t>mds7474</t>
  </si>
  <si>
    <t>mds7474.mgroupnet.com</t>
  </si>
  <si>
    <t>mds7477</t>
  </si>
  <si>
    <t>mds7477.mgroupnet.com</t>
  </si>
  <si>
    <t>mds7484</t>
  </si>
  <si>
    <t>mds7484.mgroupnet.com</t>
  </si>
  <si>
    <t>mds7488</t>
  </si>
  <si>
    <t>mds7488.mtestnet.com</t>
  </si>
  <si>
    <t>mds7489</t>
  </si>
  <si>
    <t>mds7489.mtestnet.com</t>
  </si>
  <si>
    <t>mds7490</t>
  </si>
  <si>
    <t>mds7490.mgroupnet.com</t>
  </si>
  <si>
    <t>mps2303</t>
  </si>
  <si>
    <t>mps2303.mgroupnet.com</t>
  </si>
  <si>
    <t>mps2311</t>
  </si>
  <si>
    <t>mps2311.mgroupnet.com</t>
  </si>
  <si>
    <t>mps2312</t>
  </si>
  <si>
    <t>mps2312.mgroupnet.com</t>
  </si>
  <si>
    <t>mps2325</t>
  </si>
  <si>
    <t>mps2325.mgroupnet.com</t>
  </si>
  <si>
    <t>mps2327</t>
  </si>
  <si>
    <t>mps2327.mgroupnet.com</t>
  </si>
  <si>
    <t>mps2328</t>
  </si>
  <si>
    <t>mps2328.mgroupnet.com</t>
  </si>
  <si>
    <t>mps2512</t>
  </si>
  <si>
    <t>mps2512.mgroupnet.com</t>
  </si>
  <si>
    <t>mps2513</t>
  </si>
  <si>
    <t>mps2513.mgroupnet.com</t>
  </si>
  <si>
    <t>mps2514</t>
  </si>
  <si>
    <t>mps2514.mgroupnet.com</t>
  </si>
  <si>
    <t>mps2515</t>
  </si>
  <si>
    <t>mps2515.mgroupnet.com</t>
  </si>
  <si>
    <t>mps2516</t>
  </si>
  <si>
    <t>mps2516.mgroupnet.com</t>
  </si>
  <si>
    <t>mps2517</t>
  </si>
  <si>
    <t>mps2517.mgroupnet.com</t>
  </si>
  <si>
    <t>mps2518</t>
  </si>
  <si>
    <t>mps2518.mgroupnet.com</t>
  </si>
  <si>
    <t>mps2519</t>
  </si>
  <si>
    <t>mps2519.mgroupnet.com</t>
  </si>
  <si>
    <t>mps2520</t>
  </si>
  <si>
    <t>mps2520.mgroupnet.com</t>
  </si>
  <si>
    <t>mps2521</t>
  </si>
  <si>
    <t>mps2521.mgroupnet.com</t>
  </si>
  <si>
    <t>mps2565</t>
  </si>
  <si>
    <t>mps2565.mgroupnet.com</t>
  </si>
  <si>
    <t>Universal Tag Locator (UTL)</t>
  </si>
  <si>
    <t>mps2569</t>
  </si>
  <si>
    <t>mps2569.mgroupnet.com</t>
  </si>
  <si>
    <t>mps2596</t>
  </si>
  <si>
    <t>mps2596.mgroupnet.com</t>
  </si>
  <si>
    <t>mps2607</t>
  </si>
  <si>
    <t>mps2607.mgroupnet.com</t>
  </si>
  <si>
    <t>mps2608</t>
  </si>
  <si>
    <t>mps2608.mgroupnet.com</t>
  </si>
  <si>
    <t>mps2609</t>
  </si>
  <si>
    <t>mps2609.mgroupnet.com</t>
  </si>
  <si>
    <t>mps2610</t>
  </si>
  <si>
    <t>mps2610.mgroupnet.com</t>
  </si>
  <si>
    <t>mps2649</t>
  </si>
  <si>
    <t>mps2649.mgroupnet.com</t>
  </si>
  <si>
    <t>mps2660</t>
  </si>
  <si>
    <t>mps2660.mgroupnet.com</t>
  </si>
  <si>
    <t>mps2661</t>
  </si>
  <si>
    <t>mps2661.mgroupnet.com</t>
  </si>
  <si>
    <t>mps2662</t>
  </si>
  <si>
    <t>mps2662.mgroupnet.com</t>
  </si>
  <si>
    <t>mps2663</t>
  </si>
  <si>
    <t>mps2663.mgroupnet.com</t>
  </si>
  <si>
    <t>mps2664</t>
  </si>
  <si>
    <t>mps2664.mgroupnet.com</t>
  </si>
  <si>
    <t>mps2665</t>
  </si>
  <si>
    <t>mps2665.mgroupnet.com</t>
  </si>
  <si>
    <t>mps2666</t>
  </si>
  <si>
    <t>mps2666.mgroupnet.com</t>
  </si>
  <si>
    <t>mps2669</t>
  </si>
  <si>
    <t>mps2669.mgroupnet.com</t>
  </si>
  <si>
    <t>mps2683</t>
  </si>
  <si>
    <t>mps2683.mgroupnet.com</t>
  </si>
  <si>
    <t>mps2684</t>
  </si>
  <si>
    <t>mps2684.mgroupnet.com</t>
  </si>
  <si>
    <t>mps2685</t>
  </si>
  <si>
    <t>mps2685.mgroupnet.com</t>
  </si>
  <si>
    <t>mps2686</t>
  </si>
  <si>
    <t>mps2686.mgroupnet.com</t>
  </si>
  <si>
    <t>mps2687</t>
  </si>
  <si>
    <t>mps2687.mgroupnet.com</t>
  </si>
  <si>
    <t>mps2688</t>
  </si>
  <si>
    <t>mps2688.mgroupnet.com</t>
  </si>
  <si>
    <t>mps2689</t>
  </si>
  <si>
    <t>mps2689.mgroupnet.com</t>
  </si>
  <si>
    <t>mps2690</t>
  </si>
  <si>
    <t>mps2690.mgroupnet.com</t>
  </si>
  <si>
    <t>mps2691</t>
  </si>
  <si>
    <t>mps2691.mgroupnet.com</t>
  </si>
  <si>
    <t>mps2692</t>
  </si>
  <si>
    <t>mps2692.mgroupnet.com</t>
  </si>
  <si>
    <t>mps2693</t>
  </si>
  <si>
    <t>mps2693.mgroupnet.com</t>
  </si>
  <si>
    <t>mps2694</t>
  </si>
  <si>
    <t>mps2694.mgroupnet.com</t>
  </si>
  <si>
    <t>mps2695</t>
  </si>
  <si>
    <t>mps2695.mgroupnet.com</t>
  </si>
  <si>
    <t>mps2696</t>
  </si>
  <si>
    <t>mps2696.mgroupnet.com</t>
  </si>
  <si>
    <t>mps2697</t>
  </si>
  <si>
    <t>mps2697.mgroupnet.com</t>
  </si>
  <si>
    <t>mps2698</t>
  </si>
  <si>
    <t>mps2698.mgroupnet.com</t>
  </si>
  <si>
    <t>mps2699</t>
  </si>
  <si>
    <t>mps2699.mgroupnet.com</t>
  </si>
  <si>
    <t>mps2700</t>
  </si>
  <si>
    <t>mps2700.mgroupnet.com</t>
  </si>
  <si>
    <t>mps2701</t>
  </si>
  <si>
    <t>mps2701.mgroupnet.com</t>
  </si>
  <si>
    <t>mps2702</t>
  </si>
  <si>
    <t>mps2702.mgroupnet.com</t>
  </si>
  <si>
    <t>mps2703</t>
  </si>
  <si>
    <t>mps2703.mgroupnet.com</t>
  </si>
  <si>
    <t>mps2704</t>
  </si>
  <si>
    <t>mps2704.mgroupnet.com</t>
  </si>
  <si>
    <t>mps2705</t>
  </si>
  <si>
    <t>mps2705.mgroupnet.com</t>
  </si>
  <si>
    <t>mps2706</t>
  </si>
  <si>
    <t>mps2706.mgroupnet.com</t>
  </si>
  <si>
    <t>mps2707</t>
  </si>
  <si>
    <t>mps2707.mgroupnet.com</t>
  </si>
  <si>
    <t>mps2708</t>
  </si>
  <si>
    <t>mps2708.mgroupnet.com</t>
  </si>
  <si>
    <t>mps2709</t>
  </si>
  <si>
    <t>mps2709.mgroupnet.com</t>
  </si>
  <si>
    <t>mps2710</t>
  </si>
  <si>
    <t>mps2710.mgroupnet.com</t>
  </si>
  <si>
    <t>mps2711</t>
  </si>
  <si>
    <t>mps2711.mgroupnet.com</t>
  </si>
  <si>
    <t>mps2712</t>
  </si>
  <si>
    <t>mps2712.mgroupnet.com</t>
  </si>
  <si>
    <t>mps2713</t>
  </si>
  <si>
    <t>mps2713.mgroupnet.com</t>
  </si>
  <si>
    <t>mps2714</t>
  </si>
  <si>
    <t>mps2714.mgroupnet.com</t>
  </si>
  <si>
    <t>mps2715</t>
  </si>
  <si>
    <t>mps2715.mgroupnet.com</t>
  </si>
  <si>
    <t>mps2716</t>
  </si>
  <si>
    <t>mps2716.mgroupnet.com</t>
  </si>
  <si>
    <t>mps2717</t>
  </si>
  <si>
    <t>mps2717.mgroupnet.com</t>
  </si>
  <si>
    <t>mps2718</t>
  </si>
  <si>
    <t>mps2718.mgroupnet.com</t>
  </si>
  <si>
    <t>mps2719</t>
  </si>
  <si>
    <t>mps2719.mgroupnet.com</t>
  </si>
  <si>
    <t>mps2720</t>
  </si>
  <si>
    <t>mps2720.mgroupnet.com</t>
  </si>
  <si>
    <t>mps2721</t>
  </si>
  <si>
    <t>mps2721.mgroupnet.com</t>
  </si>
  <si>
    <t>mps2722</t>
  </si>
  <si>
    <t>mps2722.mgroupnet.com</t>
  </si>
  <si>
    <t>mps2723</t>
  </si>
  <si>
    <t>mps2723.mgroupnet.com</t>
  </si>
  <si>
    <t>mps2724</t>
  </si>
  <si>
    <t>mps2724.mgroupnet.com</t>
  </si>
  <si>
    <t>mps2725</t>
  </si>
  <si>
    <t>mps2725.mgroupnet.com</t>
  </si>
  <si>
    <t>mps2726</t>
  </si>
  <si>
    <t>mps2726.mgroupnet.com</t>
  </si>
  <si>
    <t>mps2727</t>
  </si>
  <si>
    <t>mps2727.mgroupnet.com</t>
  </si>
  <si>
    <t>mps2728</t>
  </si>
  <si>
    <t>mps2728.mgroupnet.com</t>
  </si>
  <si>
    <t>mps2729</t>
  </si>
  <si>
    <t>mps2729.mgroupnet.com</t>
  </si>
  <si>
    <t>mps2730</t>
  </si>
  <si>
    <t>mps2730.mgroupnet.com</t>
  </si>
  <si>
    <t>mps2731</t>
  </si>
  <si>
    <t>mps2731.mgroupnet.com</t>
  </si>
  <si>
    <t>mps2732</t>
  </si>
  <si>
    <t>mps2732.mgroupnet.com</t>
  </si>
  <si>
    <t>AMS</t>
  </si>
  <si>
    <t>mps2869</t>
  </si>
  <si>
    <t>mps2869.mgroupnet.com</t>
  </si>
  <si>
    <t>mps2870</t>
  </si>
  <si>
    <t>mps2870.mgroupnet.com</t>
  </si>
  <si>
    <t>mps2872</t>
  </si>
  <si>
    <t>mps2872.mgroupnet.com</t>
  </si>
  <si>
    <t>mps2900</t>
  </si>
  <si>
    <t>mps2900.mgroupnet.com</t>
  </si>
  <si>
    <t>mps2905</t>
  </si>
  <si>
    <t>mps2905.mgroupnet.com</t>
  </si>
  <si>
    <t>mps2916</t>
  </si>
  <si>
    <t>mps2916.mgroupnet.com</t>
  </si>
  <si>
    <t>mps2935</t>
  </si>
  <si>
    <t>mps2935.mgroupnet.com</t>
  </si>
  <si>
    <t>mps2938</t>
  </si>
  <si>
    <t>mps2938.mgroupnet.com</t>
  </si>
  <si>
    <t>mps2939</t>
  </si>
  <si>
    <t>mps2939.mgroupnet.com</t>
  </si>
  <si>
    <t>mps2940</t>
  </si>
  <si>
    <t>mps2940.mgroupnet.com</t>
  </si>
  <si>
    <t>mps2941</t>
  </si>
  <si>
    <t>mps2941.mgroupnet.com</t>
  </si>
  <si>
    <t>mps3009</t>
  </si>
  <si>
    <t>mps3009.mgroupnet.com</t>
  </si>
  <si>
    <t>mps3019</t>
  </si>
  <si>
    <t>mps3019.mgroupnet.com</t>
  </si>
  <si>
    <t>mps3021</t>
  </si>
  <si>
    <t>mps3021.mgroupnet.com</t>
  </si>
  <si>
    <t>mps3027</t>
  </si>
  <si>
    <t>mps3027.mgroupnet.com</t>
  </si>
  <si>
    <t>mps3028</t>
  </si>
  <si>
    <t>mps3028.mgroupnet.com</t>
  </si>
  <si>
    <t>mps3029</t>
  </si>
  <si>
    <t>mps3029.mgroupnet.com</t>
  </si>
  <si>
    <t>mps3030</t>
  </si>
  <si>
    <t>mps3030.mgroupnet.com</t>
  </si>
  <si>
    <t>mps3042</t>
  </si>
  <si>
    <t>mps3042.mgroupnet.com</t>
  </si>
  <si>
    <t>0000-0013-9783-7393-9950-9972-75</t>
  </si>
  <si>
    <t>mps3050</t>
  </si>
  <si>
    <t>mps3050.mgroupnet.com</t>
  </si>
  <si>
    <t>mps3051</t>
  </si>
  <si>
    <t>mps3051.mgroupnet.com</t>
  </si>
  <si>
    <t>mps3052</t>
  </si>
  <si>
    <t>mps3052.mgroupnet.com</t>
  </si>
  <si>
    <t>mps3055</t>
  </si>
  <si>
    <t>mps3055.mgroupnet.com</t>
  </si>
  <si>
    <t>mps3058</t>
  </si>
  <si>
    <t>mps3058.mgroupnet.com</t>
  </si>
  <si>
    <t>ETAP</t>
  </si>
  <si>
    <t>mps3064</t>
  </si>
  <si>
    <t>mps3064.mgroupnet.com</t>
  </si>
  <si>
    <t>mps3067</t>
  </si>
  <si>
    <t>mps3067.mgroupnet.com</t>
  </si>
  <si>
    <t>mps3080</t>
  </si>
  <si>
    <t>mps3080.mgroupnet.com</t>
  </si>
  <si>
    <t>mps3081</t>
  </si>
  <si>
    <t>mps3081.mgroupnet.com</t>
  </si>
  <si>
    <t>mps3088</t>
  </si>
  <si>
    <t>mps3088.mgroupnet.com</t>
  </si>
  <si>
    <t>mps3090</t>
  </si>
  <si>
    <t>mps3090.mgroupnet.com</t>
  </si>
  <si>
    <t>mps3097</t>
  </si>
  <si>
    <t>mps3097.mgroupnet.com</t>
  </si>
  <si>
    <t>mps3099</t>
  </si>
  <si>
    <t>mps3099.mgroupnet.com</t>
  </si>
  <si>
    <t>mps3102</t>
  </si>
  <si>
    <t>mps3102.mgroupnet.com</t>
  </si>
  <si>
    <t>mps3120</t>
  </si>
  <si>
    <t>mps3120.mgroupnet.com</t>
  </si>
  <si>
    <t>mps3121</t>
  </si>
  <si>
    <t>mps3121.mgroupnet.com</t>
  </si>
  <si>
    <t>mps3122</t>
  </si>
  <si>
    <t>mps3122.mgroupnet.com</t>
  </si>
  <si>
    <t>mps3123</t>
  </si>
  <si>
    <t>mps3123.mgroupnet.com</t>
  </si>
  <si>
    <t>mps3127</t>
  </si>
  <si>
    <t>mps3127.mgroupnet.com</t>
  </si>
  <si>
    <t>mps3129</t>
  </si>
  <si>
    <t>mps3129.mgroupnet.com</t>
  </si>
  <si>
    <t>mps3135</t>
  </si>
  <si>
    <t>mps3135.mgroupnet.com</t>
  </si>
  <si>
    <t>mps3144</t>
  </si>
  <si>
    <t>mps3144.mgroupnet.com</t>
  </si>
  <si>
    <t>mps3146</t>
  </si>
  <si>
    <t>mps3146.mgroupnet.com</t>
  </si>
  <si>
    <t>mps3147</t>
  </si>
  <si>
    <t>mps3147.mgroupnet.com</t>
  </si>
  <si>
    <t>mps3148</t>
  </si>
  <si>
    <t>mps3148.mgroupnet.com</t>
  </si>
  <si>
    <t>mps3149</t>
  </si>
  <si>
    <t>mps3149.mgroupnet.com</t>
  </si>
  <si>
    <t>mps3151</t>
  </si>
  <si>
    <t>mps3151.mgroupnet.com</t>
  </si>
  <si>
    <t>mps3154</t>
  </si>
  <si>
    <t>mps3154.mgroupnet.com</t>
  </si>
  <si>
    <t>mps3155</t>
  </si>
  <si>
    <t>mps3155.mgroupnet.com</t>
  </si>
  <si>
    <t>mps3169</t>
  </si>
  <si>
    <t>mps3169.mgroupnet.com</t>
  </si>
  <si>
    <t>mps3178</t>
  </si>
  <si>
    <t>mps3178.mgroupnet.com</t>
  </si>
  <si>
    <t>mps3179</t>
  </si>
  <si>
    <t>mps3179.mgroupnet.com</t>
  </si>
  <si>
    <t>mps3180</t>
  </si>
  <si>
    <t>mps3180.mgroupnet.com</t>
  </si>
  <si>
    <t>mps3181</t>
  </si>
  <si>
    <t>mps3181.mgroupnet.com</t>
  </si>
  <si>
    <t>mps3182</t>
  </si>
  <si>
    <t>mps3199</t>
  </si>
  <si>
    <t>mps3199.mgroupnet.com</t>
  </si>
  <si>
    <t>mps3204</t>
  </si>
  <si>
    <t>mps3204.mgroupnet.com</t>
  </si>
  <si>
    <t>Visual Command Center</t>
  </si>
  <si>
    <t>mps3205</t>
  </si>
  <si>
    <t>mps3205.mgroupnet.com</t>
  </si>
  <si>
    <t>mps3206</t>
  </si>
  <si>
    <t>mps3206.mgroupnet.com</t>
  </si>
  <si>
    <t>mps3207</t>
  </si>
  <si>
    <t>mps3207.mgroupnet.com</t>
  </si>
  <si>
    <t>mps3208</t>
  </si>
  <si>
    <t>mps3208.mgroupnet.com</t>
  </si>
  <si>
    <t>mps3209</t>
  </si>
  <si>
    <t>mps3209.mgroupnet.com</t>
  </si>
  <si>
    <t>mps3213</t>
  </si>
  <si>
    <t>mps3213.mgroupnet.com</t>
  </si>
  <si>
    <t>mps3219</t>
  </si>
  <si>
    <t>mps3219.mgroupnet.com</t>
  </si>
  <si>
    <t>mps3226</t>
  </si>
  <si>
    <t>mps3226.mgroupnet.com</t>
  </si>
  <si>
    <t>mps3259</t>
  </si>
  <si>
    <t>mps3259.mgroupnet.com</t>
  </si>
  <si>
    <t>mps3263</t>
  </si>
  <si>
    <t>mps3263.mgroupnet.com</t>
  </si>
  <si>
    <t>mps3278</t>
  </si>
  <si>
    <t>mps3278.mgroupnet.com</t>
  </si>
  <si>
    <t>mps3279</t>
  </si>
  <si>
    <t>mps3279.mgroupnet.com</t>
  </si>
  <si>
    <t>mps3280</t>
  </si>
  <si>
    <t>mps3280.mgroupnet.com</t>
  </si>
  <si>
    <t>mps3284</t>
  </si>
  <si>
    <t>mps3284.mgroupnet.com</t>
  </si>
  <si>
    <t>mps3285</t>
  </si>
  <si>
    <t>mps3285.mgroupnet.com</t>
  </si>
  <si>
    <t>mps3286</t>
  </si>
  <si>
    <t>mps3286.mgroupnet.com</t>
  </si>
  <si>
    <t>mps3287</t>
  </si>
  <si>
    <t>mps3287.mgroupnet.com</t>
  </si>
  <si>
    <t>mps3290</t>
  </si>
  <si>
    <t>mps3290.mgroupnet.com</t>
  </si>
  <si>
    <t>mps3304</t>
  </si>
  <si>
    <t>mps3304.mgroupnet.com</t>
  </si>
  <si>
    <t>mps3305</t>
  </si>
  <si>
    <t>mps3305.mgroupnet.com</t>
  </si>
  <si>
    <t>mps3306</t>
  </si>
  <si>
    <t>mps3306.mgroupnet.com</t>
  </si>
  <si>
    <t>mps3307</t>
  </si>
  <si>
    <t>mps3307.mgroupnet.com</t>
  </si>
  <si>
    <t>mps3308</t>
  </si>
  <si>
    <t>mps3308.mgroupnet.com</t>
  </si>
  <si>
    <t>mps3309</t>
  </si>
  <si>
    <t>mps3309.mgroupnet.com</t>
  </si>
  <si>
    <t>mps3310</t>
  </si>
  <si>
    <t>mps3310.mgroupnet.com</t>
  </si>
  <si>
    <t>mps3314</t>
  </si>
  <si>
    <t>mps3314.mgroupnet.com</t>
  </si>
  <si>
    <t>mps3315</t>
  </si>
  <si>
    <t>mps3315.mgroupnet.com</t>
  </si>
  <si>
    <t>mps3316</t>
  </si>
  <si>
    <t>mps3316.mgroupnet.com</t>
  </si>
  <si>
    <t>mps3318</t>
  </si>
  <si>
    <t>mps3318.mgroupnet.com</t>
  </si>
  <si>
    <t>mps3330</t>
  </si>
  <si>
    <t>mps3330.mgroupnet.com</t>
  </si>
  <si>
    <t>mps3332</t>
  </si>
  <si>
    <t>mps3332.mgroupnet.com</t>
  </si>
  <si>
    <t>mps3333</t>
  </si>
  <si>
    <t>mps3333.mgroupnet.com</t>
  </si>
  <si>
    <t>mps3336</t>
  </si>
  <si>
    <t>mps3336.mgroupnet.com</t>
  </si>
  <si>
    <t>mps3342</t>
  </si>
  <si>
    <t>mps3342.mgroupnet.com</t>
  </si>
  <si>
    <t>mps3368</t>
  </si>
  <si>
    <t>mps3368.mgroupnet.com</t>
  </si>
  <si>
    <t>mps3378</t>
  </si>
  <si>
    <t>mps3378.mgroupnet.com</t>
  </si>
  <si>
    <t>mps3381</t>
  </si>
  <si>
    <t>mps3381.mgroupnet.com</t>
  </si>
  <si>
    <t>mps3382</t>
  </si>
  <si>
    <t>mps3382.mgroupnet.com</t>
  </si>
  <si>
    <t>mps3384</t>
  </si>
  <si>
    <t>mps3387</t>
  </si>
  <si>
    <t>mps3387.mgroupnet.com</t>
  </si>
  <si>
    <t>mps3392</t>
  </si>
  <si>
    <t>mps3392.mgroupnet.com</t>
  </si>
  <si>
    <t>mps3396</t>
  </si>
  <si>
    <t>mps3396.mgroupnet.com</t>
  </si>
  <si>
    <t>mps3397</t>
  </si>
  <si>
    <t>mps3397.mgroupnet.com</t>
  </si>
  <si>
    <t>mps3401</t>
  </si>
  <si>
    <t>mps3401.mgroupnet.com</t>
  </si>
  <si>
    <t>mps3402</t>
  </si>
  <si>
    <t>mps3402.mgroupnet.com</t>
  </si>
  <si>
    <t>mps3404</t>
  </si>
  <si>
    <t>mps3404.mgroupnet.com</t>
  </si>
  <si>
    <t>mps3405</t>
  </si>
  <si>
    <t>mps3405.mgroupnet.com</t>
  </si>
  <si>
    <t>mps3406</t>
  </si>
  <si>
    <t>mps3406.mgroupnet.com</t>
  </si>
  <si>
    <t>mps3407</t>
  </si>
  <si>
    <t>mps3407.mgroupnet.com</t>
  </si>
  <si>
    <t>mps3408</t>
  </si>
  <si>
    <t>mps3408.mgroupnet.com</t>
  </si>
  <si>
    <t>mps3409</t>
  </si>
  <si>
    <t>mps3409.mgroupnet.com</t>
  </si>
  <si>
    <t>mps3412</t>
  </si>
  <si>
    <t>mps3412.mgroupnet.com</t>
  </si>
  <si>
    <t>mps3424</t>
  </si>
  <si>
    <t>mps3426</t>
  </si>
  <si>
    <t>mps3426.mgroupnet.com</t>
  </si>
  <si>
    <t>mps3427</t>
  </si>
  <si>
    <t>mps3427.mgroupnet.com</t>
  </si>
  <si>
    <t>mps3429</t>
  </si>
  <si>
    <t>mps3429.mgroupnet.com</t>
  </si>
  <si>
    <t>mps3449</t>
  </si>
  <si>
    <t>mps3449.mgroupnet.com</t>
  </si>
  <si>
    <t>mps3457</t>
  </si>
  <si>
    <t>mps3457.mgroupnet.com</t>
  </si>
  <si>
    <t>mps3458</t>
  </si>
  <si>
    <t>mps3458.mgroupnet.com</t>
  </si>
  <si>
    <t>mps3474</t>
  </si>
  <si>
    <t>mps3474.mgroupnet.com</t>
  </si>
  <si>
    <t>mps3479</t>
  </si>
  <si>
    <t>mps3479.mgroupnet.com</t>
  </si>
  <si>
    <t>mps3480</t>
  </si>
  <si>
    <t>mps3480.mgroupnet.com</t>
  </si>
  <si>
    <t>mps3481</t>
  </si>
  <si>
    <t>mps3481.mgroupnet.com</t>
  </si>
  <si>
    <t>mps3482</t>
  </si>
  <si>
    <t>mps3482.mgroupnet.com</t>
  </si>
  <si>
    <t>mps3484</t>
  </si>
  <si>
    <t>mps3484.mgroupnet.com</t>
  </si>
  <si>
    <t>mps3485</t>
  </si>
  <si>
    <t>mps3485.mgroupnet.com</t>
  </si>
  <si>
    <t>mps3493</t>
  </si>
  <si>
    <t>mps3493.mgroupnet.com</t>
  </si>
  <si>
    <t>mps3494</t>
  </si>
  <si>
    <t>mps3494.mgroupnet.com</t>
  </si>
  <si>
    <t>mps3495</t>
  </si>
  <si>
    <t>mps3495.mgroupnet.com</t>
  </si>
  <si>
    <t>mps3496</t>
  </si>
  <si>
    <t>mps3496.mgroupnet.com</t>
  </si>
  <si>
    <t>mps3501</t>
  </si>
  <si>
    <t>mps3501.mgroupnet.com</t>
  </si>
  <si>
    <t>0000-0014-5852-3268-1648-0818-68</t>
  </si>
  <si>
    <t>mps3502</t>
  </si>
  <si>
    <t>mps3502.mgroupnet.com</t>
  </si>
  <si>
    <t>0000-0009-1585-4491-6496-1400-40</t>
  </si>
  <si>
    <t>mps3522</t>
  </si>
  <si>
    <t>mps3522.mgroupnet.com</t>
  </si>
  <si>
    <t>mps3524</t>
  </si>
  <si>
    <t>mps3524.mgroupnet.com</t>
  </si>
  <si>
    <t>mps3525</t>
  </si>
  <si>
    <t>mps3525.mgroupnet.com</t>
  </si>
  <si>
    <t>mps3526</t>
  </si>
  <si>
    <t>mps3526.mgroupnet.com</t>
  </si>
  <si>
    <t>mps3527</t>
  </si>
  <si>
    <t>mps3527.mgroupnet.com</t>
  </si>
  <si>
    <t>mps3528</t>
  </si>
  <si>
    <t>mps3528.mgroupnet.com</t>
  </si>
  <si>
    <t>mps3529</t>
  </si>
  <si>
    <t>mps3529.mgroupnet.com</t>
  </si>
  <si>
    <t>mps3562</t>
  </si>
  <si>
    <t>mps3562.mgroupnet.com</t>
  </si>
  <si>
    <t>mps3567</t>
  </si>
  <si>
    <t>mps3567.mgroupnet.com</t>
  </si>
  <si>
    <t>mps3580</t>
  </si>
  <si>
    <t>mps3580.mgroupnet.com</t>
  </si>
  <si>
    <t>mps3581</t>
  </si>
  <si>
    <t>mps3581.mgroupnet.com</t>
  </si>
  <si>
    <t>mps3586</t>
  </si>
  <si>
    <t>mps3586.mgroupnet.com</t>
  </si>
  <si>
    <t>mps3617</t>
  </si>
  <si>
    <t>mps3617.mgroupnet.com</t>
  </si>
  <si>
    <t>mps3622</t>
  </si>
  <si>
    <t>mps3622.mgroupnet.com</t>
  </si>
  <si>
    <t>mps3627</t>
  </si>
  <si>
    <t>mps3627.mgroupnet.com</t>
  </si>
  <si>
    <t>mps3629</t>
  </si>
  <si>
    <t>mps3629.mgroupnet.com</t>
  </si>
  <si>
    <t>mps3651</t>
  </si>
  <si>
    <t>mps3651.mgroupnet.com</t>
  </si>
  <si>
    <t>mps3652</t>
  </si>
  <si>
    <t>mps3652.mgroupnet.com</t>
  </si>
  <si>
    <t>mps3653</t>
  </si>
  <si>
    <t>mps3653.mgroupnet.com</t>
  </si>
  <si>
    <t>mps3658</t>
  </si>
  <si>
    <t>mps3658.mgroupnet.com</t>
  </si>
  <si>
    <t>mps3659</t>
  </si>
  <si>
    <t>mps3659.mgroupnet.com</t>
  </si>
  <si>
    <t>mps3688</t>
  </si>
  <si>
    <t>mps3688.mgroupnet.com</t>
  </si>
  <si>
    <t>mps3689</t>
  </si>
  <si>
    <t>mps3689.mgroupnet.com</t>
  </si>
  <si>
    <t>mps3690</t>
  </si>
  <si>
    <t>mps3690.mgroupnet.com</t>
  </si>
  <si>
    <t>Bentley ProjectWise</t>
  </si>
  <si>
    <t>mps3692</t>
  </si>
  <si>
    <t>mps3692.mgroupnet.com</t>
  </si>
  <si>
    <t>mps3693</t>
  </si>
  <si>
    <t>mps3693.mgroupnet.com</t>
  </si>
  <si>
    <t>mps3694</t>
  </si>
  <si>
    <t>mps3694.mgroupnet.com</t>
  </si>
  <si>
    <t>mps3695</t>
  </si>
  <si>
    <t>mps3695.mgroupnet.com</t>
  </si>
  <si>
    <t>mps3696</t>
  </si>
  <si>
    <t>mps3696.mgroupnet.com</t>
  </si>
  <si>
    <t>RightFax</t>
  </si>
  <si>
    <t>mps3700</t>
  </si>
  <si>
    <t>mps3700.mgroupnet.com</t>
  </si>
  <si>
    <t>mps3726</t>
  </si>
  <si>
    <t>mps3730</t>
  </si>
  <si>
    <t>mps3730.mgroupnet.com</t>
  </si>
  <si>
    <t>mps3731</t>
  </si>
  <si>
    <t>mps3731.mgroupnet.com</t>
  </si>
  <si>
    <t>mps3732</t>
  </si>
  <si>
    <t>mps3732.mgroupnet.com</t>
  </si>
  <si>
    <t>mps3735</t>
  </si>
  <si>
    <t>mps3735.mgroupnet.com</t>
  </si>
  <si>
    <t>mps4010</t>
  </si>
  <si>
    <t>mps4010.mgroupnet.com</t>
  </si>
  <si>
    <t>mps4011</t>
  </si>
  <si>
    <t>mps4011.mgroupnet.com</t>
  </si>
  <si>
    <t>mps5700</t>
  </si>
  <si>
    <t>mps5700.mgroupnet.com</t>
  </si>
  <si>
    <t>mps5701</t>
  </si>
  <si>
    <t>mps5702</t>
  </si>
  <si>
    <t>mps5702.mgroupnet.com</t>
  </si>
  <si>
    <t>mps5730</t>
  </si>
  <si>
    <t>mps5730.mgroupnet.com</t>
  </si>
  <si>
    <t>mps5731</t>
  </si>
  <si>
    <t>mps5732</t>
  </si>
  <si>
    <t>mps5733</t>
  </si>
  <si>
    <t>mps5734</t>
  </si>
  <si>
    <t>mps5735</t>
  </si>
  <si>
    <t>mps5736</t>
  </si>
  <si>
    <t>mps5736.mgroupnet.com</t>
  </si>
  <si>
    <t>mps5737</t>
  </si>
  <si>
    <t>mps5737.mgroupnet.com</t>
  </si>
  <si>
    <t>mps5756</t>
  </si>
  <si>
    <t>mps5771</t>
  </si>
  <si>
    <t>mps5771.mgroupnet.com</t>
  </si>
  <si>
    <t>mps5773</t>
  </si>
  <si>
    <t>mps5773.mgroupnet.com</t>
  </si>
  <si>
    <t>mps5774</t>
  </si>
  <si>
    <t>mps5774.mgroupnet.com</t>
  </si>
  <si>
    <t>mps5775</t>
  </si>
  <si>
    <t>mps5775.mgroupnet.com</t>
  </si>
  <si>
    <t>mps5780</t>
  </si>
  <si>
    <t>mps5781</t>
  </si>
  <si>
    <t>mps5782</t>
  </si>
  <si>
    <t>mps5783</t>
  </si>
  <si>
    <t>mps5783.mgroupnet.com</t>
  </si>
  <si>
    <t>mps5784</t>
  </si>
  <si>
    <t>mps5785</t>
  </si>
  <si>
    <t>mps5786</t>
  </si>
  <si>
    <t>mps5786.mgroupnet.com</t>
  </si>
  <si>
    <t>mps5790</t>
  </si>
  <si>
    <t>mps5790.mgroupnet.com</t>
  </si>
  <si>
    <t>mps5791</t>
  </si>
  <si>
    <t>mps5791.mgroupnet.com</t>
  </si>
  <si>
    <t>mps5792</t>
  </si>
  <si>
    <t>mps5792.mgroupnet.com</t>
  </si>
  <si>
    <t>mps5793</t>
  </si>
  <si>
    <t>mps5793.mgroupnet.com</t>
  </si>
  <si>
    <t>mps5794</t>
  </si>
  <si>
    <t>mps5794.mgroupnet.com</t>
  </si>
  <si>
    <t>mps5795</t>
  </si>
  <si>
    <t>mps5795.mgroupnet.com</t>
  </si>
  <si>
    <t>mps5813</t>
  </si>
  <si>
    <t>mps5813.mgroupnet.com</t>
  </si>
  <si>
    <t>mps5814</t>
  </si>
  <si>
    <t>mps5814.mgroupnet.com</t>
  </si>
  <si>
    <t>mps5815</t>
  </si>
  <si>
    <t>mps5815.mgroupnet.com</t>
  </si>
  <si>
    <t>mps5816</t>
  </si>
  <si>
    <t>mps5816.mgroupnet.com</t>
  </si>
  <si>
    <t>mps5832</t>
  </si>
  <si>
    <t>mps5832.mgroupnet.com</t>
  </si>
  <si>
    <t>mps5833</t>
  </si>
  <si>
    <t>mps5833.mgroupnet.com</t>
  </si>
  <si>
    <t>mps5834</t>
  </si>
  <si>
    <t>mps5834.mgroupnet.com</t>
  </si>
  <si>
    <t>mps5835</t>
  </si>
  <si>
    <t>mps5835.mgroupnet.com</t>
  </si>
  <si>
    <t>mps5843</t>
  </si>
  <si>
    <t>mps5843.mgroupnet.com</t>
  </si>
  <si>
    <t>mps5845</t>
  </si>
  <si>
    <t>mps5845.mgroupnet.com</t>
  </si>
  <si>
    <t>mps5850</t>
  </si>
  <si>
    <t>mps5850.mgroupnet.com</t>
  </si>
  <si>
    <t>mps5851</t>
  </si>
  <si>
    <t>mps5851.mgroupnet.com</t>
  </si>
  <si>
    <t>mps5852</t>
  </si>
  <si>
    <t>mps5852.mgroupnet.com</t>
  </si>
  <si>
    <t>mps5853</t>
  </si>
  <si>
    <t>mps5853.mgroupnet.com</t>
  </si>
  <si>
    <t>mps5854</t>
  </si>
  <si>
    <t>mps5854.mgroupnet.com</t>
  </si>
  <si>
    <t>mps5855</t>
  </si>
  <si>
    <t>mps5855.mgroupnet.com</t>
  </si>
  <si>
    <t>mps5856</t>
  </si>
  <si>
    <t>mps5856.mgroupnet.com</t>
  </si>
  <si>
    <t>mps5857</t>
  </si>
  <si>
    <t>mps5857.mgroupnet.com</t>
  </si>
  <si>
    <t>mps5860</t>
  </si>
  <si>
    <t>mps5860.mgroupnet.com</t>
  </si>
  <si>
    <t>mps5861</t>
  </si>
  <si>
    <t>mps5862</t>
  </si>
  <si>
    <t>mps5863</t>
  </si>
  <si>
    <t>mps5863.mgroupnet.com</t>
  </si>
  <si>
    <t>mps5890</t>
  </si>
  <si>
    <t>mps5890.mgroupnet.com</t>
  </si>
  <si>
    <t>mps5894</t>
  </si>
  <si>
    <t>mps5894.mgroupnet.com</t>
  </si>
  <si>
    <t>mps5895</t>
  </si>
  <si>
    <t>mps5895.mgroupnet.com</t>
  </si>
  <si>
    <t>mps5970</t>
  </si>
  <si>
    <t>mps5970.mgroupnet.com</t>
  </si>
  <si>
    <t>mps5971</t>
  </si>
  <si>
    <t>mps5971.mgroupnet.com</t>
  </si>
  <si>
    <t>mps5984</t>
  </si>
  <si>
    <t>mps5984.mgroupnet.com</t>
  </si>
  <si>
    <t>mps5986</t>
  </si>
  <si>
    <t>mps6212</t>
  </si>
  <si>
    <t>mps6212.mgroupnet.com</t>
  </si>
  <si>
    <t>mps6293</t>
  </si>
  <si>
    <t>mps6293.mgroupnet.com</t>
  </si>
  <si>
    <t>mps6302</t>
  </si>
  <si>
    <t>mps6302.mgroupnet.com</t>
  </si>
  <si>
    <t>mps6303</t>
  </si>
  <si>
    <t>mps6303.mgroupnet.com</t>
  </si>
  <si>
    <t>mps6310</t>
  </si>
  <si>
    <t>mps6310.mgroupnet.com</t>
  </si>
  <si>
    <t>mps6311</t>
  </si>
  <si>
    <t>mps6311.mgroupnet.com</t>
  </si>
  <si>
    <t>mps6312</t>
  </si>
  <si>
    <t>mps6312.mgroupnet.com</t>
  </si>
  <si>
    <t>mps6313</t>
  </si>
  <si>
    <t>mps6313.mgroupnet.com</t>
  </si>
  <si>
    <t>mps6365</t>
  </si>
  <si>
    <t>mps6365.mgroupnet.com</t>
  </si>
  <si>
    <t>mps6382</t>
  </si>
  <si>
    <t>mps6382.mgroupnet.com</t>
  </si>
  <si>
    <t>CISPro</t>
  </si>
  <si>
    <t>mps6385</t>
  </si>
  <si>
    <t>mps6385.mgroupnet.com</t>
  </si>
  <si>
    <t>mps6386</t>
  </si>
  <si>
    <t>mps6386.mgroupnet.com</t>
  </si>
  <si>
    <t>mps6520</t>
  </si>
  <si>
    <t>mps6520.mgroupnet.com</t>
  </si>
  <si>
    <t>mps6521</t>
  </si>
  <si>
    <t>mps6521.mgroupnet.com</t>
  </si>
  <si>
    <t>mps6522</t>
  </si>
  <si>
    <t>mps6522.mgroupnet.com</t>
  </si>
  <si>
    <t>mps6533</t>
  </si>
  <si>
    <t>mps6533.mgroupnet.com</t>
  </si>
  <si>
    <t>mps6534</t>
  </si>
  <si>
    <t>mps6534.mgroupnet.com</t>
  </si>
  <si>
    <t>mps6535</t>
  </si>
  <si>
    <t>mps6535.mgroupnet.com</t>
  </si>
  <si>
    <t>mps6536</t>
  </si>
  <si>
    <t>mps6536.mgroupnet.com</t>
  </si>
  <si>
    <t>mps6537</t>
  </si>
  <si>
    <t>mps6537.mgroupnet.com</t>
  </si>
  <si>
    <t>mps6538</t>
  </si>
  <si>
    <t>mps6538.mgroupnet.com</t>
  </si>
  <si>
    <t>CA Performance Center</t>
  </si>
  <si>
    <t>mps6576</t>
  </si>
  <si>
    <t>mps6576.mgroupnet.com</t>
  </si>
  <si>
    <t>mps6586</t>
  </si>
  <si>
    <t>mps6586.mgroupnet.com</t>
  </si>
  <si>
    <t>mps6587</t>
  </si>
  <si>
    <t>mps6587.mgroupnet.com</t>
  </si>
  <si>
    <t>mps6588</t>
  </si>
  <si>
    <t>mps6588.mgroupnet.com</t>
  </si>
  <si>
    <t>mps6589</t>
  </si>
  <si>
    <t>mps6589.mgroupnet.com</t>
  </si>
  <si>
    <t>mps6592</t>
  </si>
  <si>
    <t>mps6592.mgroupnet.com</t>
  </si>
  <si>
    <t>mps6605</t>
  </si>
  <si>
    <t>mps6605.mgroupnet.com</t>
  </si>
  <si>
    <t>mps6621</t>
  </si>
  <si>
    <t>mps6621.mgroupnet.com</t>
  </si>
  <si>
    <t>mps6628</t>
  </si>
  <si>
    <t>mps6628.mgroupnet.com</t>
  </si>
  <si>
    <t>Kofax</t>
  </si>
  <si>
    <t>mps6629</t>
  </si>
  <si>
    <t>mps6629.mgroupnet.com</t>
  </si>
  <si>
    <t>mps6638</t>
  </si>
  <si>
    <t>mps6638.mgroupnet.com</t>
  </si>
  <si>
    <t>mps6653</t>
  </si>
  <si>
    <t>mps6653.mgroupnet.com</t>
  </si>
  <si>
    <t>mps6654</t>
  </si>
  <si>
    <t>mps6654.mgroupnet.com</t>
  </si>
  <si>
    <t>mps6655</t>
  </si>
  <si>
    <t>mps6655.mgroupnet.com</t>
  </si>
  <si>
    <t>mps6656</t>
  </si>
  <si>
    <t>mps6656.mgroupnet.com</t>
  </si>
  <si>
    <t>ArcGIS</t>
  </si>
  <si>
    <t>mps6670</t>
  </si>
  <si>
    <t>mps6670.mgroupnet.com</t>
  </si>
  <si>
    <t>mps6684</t>
  </si>
  <si>
    <t>mps6684.mgroupnet.com</t>
  </si>
  <si>
    <t>mps6685</t>
  </si>
  <si>
    <t>mps6685.mgroupnet.com</t>
  </si>
  <si>
    <t>mps6687</t>
  </si>
  <si>
    <t>mps6687.mgroupnet.com</t>
  </si>
  <si>
    <t>mps6694</t>
  </si>
  <si>
    <t>mps6694.mgroupnet.com</t>
  </si>
  <si>
    <t>mps6695</t>
  </si>
  <si>
    <t>mps6695.mgroupnet.com</t>
  </si>
  <si>
    <t>mps6723</t>
  </si>
  <si>
    <t>mps6725</t>
  </si>
  <si>
    <t>mps6725.mgroupnet.com</t>
  </si>
  <si>
    <t>mps6727</t>
  </si>
  <si>
    <t>mps6727.mgroupnet.com</t>
  </si>
  <si>
    <t>mps6749</t>
  </si>
  <si>
    <t>mps6749.mgroupnet.com</t>
  </si>
  <si>
    <t>mps6757</t>
  </si>
  <si>
    <t>mps6757.mgroupnet.com</t>
  </si>
  <si>
    <t>mps6758</t>
  </si>
  <si>
    <t>mps6758.mgroupnet.com</t>
  </si>
  <si>
    <t>mps6759</t>
  </si>
  <si>
    <t>mps6759.mgroupnet.com</t>
  </si>
  <si>
    <t>mps6760</t>
  </si>
  <si>
    <t>mps6760.mgroupnet.com</t>
  </si>
  <si>
    <t>eCounsel</t>
  </si>
  <si>
    <t>mps6766</t>
  </si>
  <si>
    <t>mps6766.mgroupnet.com</t>
  </si>
  <si>
    <t>mps6797</t>
  </si>
  <si>
    <t>mps6797.mgroupnet.com</t>
  </si>
  <si>
    <t>mps6798</t>
  </si>
  <si>
    <t>mps6798.mgroupnet.com</t>
  </si>
  <si>
    <t>mps6800</t>
  </si>
  <si>
    <t>mps6800.mgroupnet.com</t>
  </si>
  <si>
    <t>mps6804</t>
  </si>
  <si>
    <t>mps6804.mgroupnet.com</t>
  </si>
  <si>
    <t>mps6805</t>
  </si>
  <si>
    <t>mps6805.mgroupnet.com</t>
  </si>
  <si>
    <t>mps6806</t>
  </si>
  <si>
    <t>mps6806.mgroupnet.com</t>
  </si>
  <si>
    <t>mps6818</t>
  </si>
  <si>
    <t>mps6818.mgroupnet.com</t>
  </si>
  <si>
    <t>mps6824</t>
  </si>
  <si>
    <t>mps6824.mgroupnet.com</t>
  </si>
  <si>
    <t>mps6830</t>
  </si>
  <si>
    <t>mps6830.mgroupnet.com</t>
  </si>
  <si>
    <t>mps6831</t>
  </si>
  <si>
    <t>mps6831.mgroupnet.com</t>
  </si>
  <si>
    <t>mps6832</t>
  </si>
  <si>
    <t>mps6832.mgroupnet.com</t>
  </si>
  <si>
    <t>mps6842</t>
  </si>
  <si>
    <t>mps6842.mgroupnet.com</t>
  </si>
  <si>
    <t>mps6856</t>
  </si>
  <si>
    <t>mps6856.mgroupnet.com</t>
  </si>
  <si>
    <t>mps6859</t>
  </si>
  <si>
    <t>mps6859.mgroupnet.com</t>
  </si>
  <si>
    <t>mps6860</t>
  </si>
  <si>
    <t>mps6860.mgroupnet.com</t>
  </si>
  <si>
    <t>mps6861</t>
  </si>
  <si>
    <t>mps6861.mgroupnet.com</t>
  </si>
  <si>
    <t>mps6862</t>
  </si>
  <si>
    <t>mps6862.mgroupnet.com</t>
  </si>
  <si>
    <t>mps6863</t>
  </si>
  <si>
    <t>mps6863.mgroupnet.com</t>
  </si>
  <si>
    <t>mps6864</t>
  </si>
  <si>
    <t>mps6864.mgroupnet.com</t>
  </si>
  <si>
    <t>mps6870</t>
  </si>
  <si>
    <t>mps6870.mgroupnet.com</t>
  </si>
  <si>
    <t>mps6871</t>
  </si>
  <si>
    <t>mps6871.mgroupnet.com</t>
  </si>
  <si>
    <t>mps6872</t>
  </si>
  <si>
    <t>mps6872.mgroupnet.com</t>
  </si>
  <si>
    <t>mps6873</t>
  </si>
  <si>
    <t>mps6873.mgroupnet.com</t>
  </si>
  <si>
    <t>mps6877</t>
  </si>
  <si>
    <t>mps6877.mgroupnet.com</t>
  </si>
  <si>
    <t>mps6878</t>
  </si>
  <si>
    <t>mps6878.mgroupnet.com</t>
  </si>
  <si>
    <t>mps6879</t>
  </si>
  <si>
    <t>mps6879.mgroupnet.com</t>
  </si>
  <si>
    <t>mps6880</t>
  </si>
  <si>
    <t>mps6880.mgroupnet.com</t>
  </si>
  <si>
    <t>mps6883</t>
  </si>
  <si>
    <t>mps6883.mgroupnet.com</t>
  </si>
  <si>
    <t>mps6885</t>
  </si>
  <si>
    <t>mps6885.mgroupnet.com</t>
  </si>
  <si>
    <t>mps6886</t>
  </si>
  <si>
    <t>mps6886.mgroupnet.com</t>
  </si>
  <si>
    <t>mps6887</t>
  </si>
  <si>
    <t>mps6887.mgroupnet.com</t>
  </si>
  <si>
    <t>mps6902</t>
  </si>
  <si>
    <t>mps6902.mgroupnet.com</t>
  </si>
  <si>
    <t>Machinery Health Manager</t>
  </si>
  <si>
    <t>mps6952</t>
  </si>
  <si>
    <t>mps6953</t>
  </si>
  <si>
    <t>mps7029</t>
  </si>
  <si>
    <t>mps7029.mgroupnet.com</t>
  </si>
  <si>
    <t>mps7034</t>
  </si>
  <si>
    <t>mps7034.mgroupnet.com</t>
  </si>
  <si>
    <t>mps7035</t>
  </si>
  <si>
    <t>mps7035.mgroupnet.com</t>
  </si>
  <si>
    <t>mps7036</t>
  </si>
  <si>
    <t>mps7036.mgroupnet.com</t>
  </si>
  <si>
    <t>mps7071</t>
  </si>
  <si>
    <t>mps7071.mgroupnet.com</t>
  </si>
  <si>
    <t>mps7081</t>
  </si>
  <si>
    <t>mps7081.mgroupnet.com</t>
  </si>
  <si>
    <t>mps7082</t>
  </si>
  <si>
    <t>mps7082.mgroupnet.com</t>
  </si>
  <si>
    <t>mps7213</t>
  </si>
  <si>
    <t>mps7213.mgroupnet.com</t>
  </si>
  <si>
    <t>mps7214</t>
  </si>
  <si>
    <t>mps7214.mgroupnet.com</t>
  </si>
  <si>
    <t>mps7215</t>
  </si>
  <si>
    <t>mps7215.mgroupnet.com</t>
  </si>
  <si>
    <t>mps7216</t>
  </si>
  <si>
    <t>mps7216.mgroupnet.com</t>
  </si>
  <si>
    <t>mps7300</t>
  </si>
  <si>
    <t>mps7300.mgroupnet.com</t>
  </si>
  <si>
    <t>mps7301</t>
  </si>
  <si>
    <t>mps7301.mgroupnet.com</t>
  </si>
  <si>
    <t>mps7302</t>
  </si>
  <si>
    <t>mps7302.mgroupnet.com</t>
  </si>
  <si>
    <t>mps7303</t>
  </si>
  <si>
    <t>mps7303.mgroupnet.com</t>
  </si>
  <si>
    <t>mps7304</t>
  </si>
  <si>
    <t>mps7304.mgroupnet.com</t>
  </si>
  <si>
    <t>mps7305</t>
  </si>
  <si>
    <t>mps7305.mgroupnet.com</t>
  </si>
  <si>
    <t>mps7306</t>
  </si>
  <si>
    <t>mps7306.mgroupnet.com</t>
  </si>
  <si>
    <t>mps7307</t>
  </si>
  <si>
    <t>mps7307.mgroupnet.com</t>
  </si>
  <si>
    <t>mps7309</t>
  </si>
  <si>
    <t>mps7309.mgroupnet.com</t>
  </si>
  <si>
    <t>mps7310</t>
  </si>
  <si>
    <t>mps7310.mgroupnet.com</t>
  </si>
  <si>
    <t>mps7311</t>
  </si>
  <si>
    <t>mps7311.mgroupnet.com</t>
  </si>
  <si>
    <t>mps7312</t>
  </si>
  <si>
    <t>mps7312.mgroupnet.com</t>
  </si>
  <si>
    <t>mps7313</t>
  </si>
  <si>
    <t>mps7313.mgroupnet.com</t>
  </si>
  <si>
    <t>mps7392</t>
  </si>
  <si>
    <t>mps7392.mgroupnet.com</t>
  </si>
  <si>
    <t>mps7426</t>
  </si>
  <si>
    <t>mps7426.mgroupnet.com</t>
  </si>
  <si>
    <t>mps7427</t>
  </si>
  <si>
    <t>mps7427.mgroupnet.com</t>
  </si>
  <si>
    <t>mps7435</t>
  </si>
  <si>
    <t>mps7435.mgroupnet.com</t>
  </si>
  <si>
    <t>mps7436</t>
  </si>
  <si>
    <t>mps7436.mgroupnet.com</t>
  </si>
  <si>
    <t>mps7437</t>
  </si>
  <si>
    <t>mps7437.mgroupnet.com</t>
  </si>
  <si>
    <t>mps7438</t>
  </si>
  <si>
    <t>mps7438.mgroupnet.com</t>
  </si>
  <si>
    <t>mps7439</t>
  </si>
  <si>
    <t>mps7439.mgroupnet.com</t>
  </si>
  <si>
    <t>mps7440</t>
  </si>
  <si>
    <t>mps7440.mgroupnet.com</t>
  </si>
  <si>
    <t>mps7441</t>
  </si>
  <si>
    <t>mps7441.mgroupnet.com</t>
  </si>
  <si>
    <t>mps7442</t>
  </si>
  <si>
    <t>mps7442.mgroupnet.com</t>
  </si>
  <si>
    <t>mps7448</t>
  </si>
  <si>
    <t>mps7448.mgroupnet.com</t>
  </si>
  <si>
    <t>mps7450</t>
  </si>
  <si>
    <t>mps7450.mgroupnet.com</t>
  </si>
  <si>
    <t>mps7451</t>
  </si>
  <si>
    <t>mps7451.mgroupnet.com</t>
  </si>
  <si>
    <t>mps7452</t>
  </si>
  <si>
    <t>mps7452.mgroupnet.com</t>
  </si>
  <si>
    <t>mps7460</t>
  </si>
  <si>
    <t>mps7460.mgroupnet.com</t>
  </si>
  <si>
    <t>mps7461</t>
  </si>
  <si>
    <t>mps7461.mgroupnet.com</t>
  </si>
  <si>
    <t>mps7462.mgroupnet.com</t>
  </si>
  <si>
    <t>mps7463</t>
  </si>
  <si>
    <t>mps7463.mgroupnet.com</t>
  </si>
  <si>
    <t>mps7464</t>
  </si>
  <si>
    <t>mps7464.mgroupnet.com</t>
  </si>
  <si>
    <t>mps7465</t>
  </si>
  <si>
    <t>mps7465.mgroupnet.com</t>
  </si>
  <si>
    <t>mps7466</t>
  </si>
  <si>
    <t>mps7466.mgroupnet.com</t>
  </si>
  <si>
    <t>mps7467</t>
  </si>
  <si>
    <t>mps7467.mgroupnet.com</t>
  </si>
  <si>
    <t>mps7468</t>
  </si>
  <si>
    <t>mps7468.mgroupnet.com</t>
  </si>
  <si>
    <t>mps7469</t>
  </si>
  <si>
    <t>mps7469.mgroupnet.com</t>
  </si>
  <si>
    <t>mps7470</t>
  </si>
  <si>
    <t>mps7470.mgroupnet.com</t>
  </si>
  <si>
    <t>mps7471</t>
  </si>
  <si>
    <t>mps7471.mgroupnet.com</t>
  </si>
  <si>
    <t>mps7472</t>
  </si>
  <si>
    <t>mps7472.mgroupnet.com</t>
  </si>
  <si>
    <t>mps7473</t>
  </si>
  <si>
    <t>mps7473.mgroupnet.com</t>
  </si>
  <si>
    <t>mps7477</t>
  </si>
  <si>
    <t>mps7477.mgroupnet.com</t>
  </si>
  <si>
    <t>mps7478</t>
  </si>
  <si>
    <t>mps7478.mgroupnet.com</t>
  </si>
  <si>
    <t>mps7479</t>
  </si>
  <si>
    <t>mps7479.mgroupnet.com</t>
  </si>
  <si>
    <t>mps7480</t>
  </si>
  <si>
    <t>mps7480.mgroupnet.com</t>
  </si>
  <si>
    <t>mps7481</t>
  </si>
  <si>
    <t>mps7481.mgroupnet.com</t>
  </si>
  <si>
    <t>mps7484</t>
  </si>
  <si>
    <t>mps7484.mgroupnet.com</t>
  </si>
  <si>
    <t>mps7485</t>
  </si>
  <si>
    <t>mps7485.mgroupnet.com</t>
  </si>
  <si>
    <t>mps7486</t>
  </si>
  <si>
    <t>mps7486.mgroupnet.com</t>
  </si>
  <si>
    <t>mps7487</t>
  </si>
  <si>
    <t>mps7487.mgroupnet.com</t>
  </si>
  <si>
    <t>mps7490</t>
  </si>
  <si>
    <t>mps7490.mgroupnet.com</t>
  </si>
  <si>
    <t>mps7491</t>
  </si>
  <si>
    <t>mps7491.mgroupnet.com</t>
  </si>
  <si>
    <t>mps7566</t>
  </si>
  <si>
    <t>mps7566.mgroupnet.com</t>
  </si>
  <si>
    <t>mps7640</t>
  </si>
  <si>
    <t>mps7640.mgroupnet.com</t>
  </si>
  <si>
    <t>mps7641</t>
  </si>
  <si>
    <t>mps7641.mgroupnet.com</t>
  </si>
  <si>
    <t>mps7650</t>
  </si>
  <si>
    <t>mps7651</t>
  </si>
  <si>
    <t>mps7651.mgroupnet.com</t>
  </si>
  <si>
    <t>mps7652</t>
  </si>
  <si>
    <t>mps7652.mgroupnet.com</t>
  </si>
  <si>
    <t>mps7653</t>
  </si>
  <si>
    <t>mps7653.mgroupnet.com</t>
  </si>
  <si>
    <t>mps7660</t>
  </si>
  <si>
    <t>mps7660.mgroupnet.com</t>
  </si>
  <si>
    <t>mps7661</t>
  </si>
  <si>
    <t>mps7661.mgroupnet.com</t>
  </si>
  <si>
    <t>mps7740</t>
  </si>
  <si>
    <t>mps7740.mgroupnet.com</t>
  </si>
  <si>
    <t>mps7741</t>
  </si>
  <si>
    <t>mps7741.mgroupnet.com</t>
  </si>
  <si>
    <t>mps7750</t>
  </si>
  <si>
    <t>mps7750.mgroupnet.com</t>
  </si>
  <si>
    <t>mps7751</t>
  </si>
  <si>
    <t>mps7751.mgroupnet.com</t>
  </si>
  <si>
    <t>mps7752</t>
  </si>
  <si>
    <t>mps7752.mgroupnet.com</t>
  </si>
  <si>
    <t>mps7753</t>
  </si>
  <si>
    <t>mps7753.mgroupnet.com</t>
  </si>
  <si>
    <t>mps7760</t>
  </si>
  <si>
    <t>mps7760.mgroupnet.com</t>
  </si>
  <si>
    <t>mpt3802</t>
  </si>
  <si>
    <t>mpt3802.mgroupnet.com</t>
  </si>
  <si>
    <t>mpt3803</t>
  </si>
  <si>
    <t>mpt3803.mgroupnet.com</t>
  </si>
  <si>
    <t>mpt3864</t>
  </si>
  <si>
    <t>mpt3864.mgroupnet.com</t>
  </si>
  <si>
    <t>mpt3865</t>
  </si>
  <si>
    <t>mpt3865.mgroupnet.com</t>
  </si>
  <si>
    <t>mpt3866</t>
  </si>
  <si>
    <t>mpt3866.mgroupnet.com</t>
  </si>
  <si>
    <t>mpt3871</t>
  </si>
  <si>
    <t>mpt3871.mgroupnet.com</t>
  </si>
  <si>
    <t>mpt3872</t>
  </si>
  <si>
    <t>mpt3872.mgroupnet.com</t>
  </si>
  <si>
    <t>mpt3902</t>
  </si>
  <si>
    <t>mpt3902.mgroupnet.com</t>
  </si>
  <si>
    <t>mpt3903</t>
  </si>
  <si>
    <t>mpt3903.mgroupnet.com</t>
  </si>
  <si>
    <t>mpt3962</t>
  </si>
  <si>
    <t>mpt3962.mgroupnet.com</t>
  </si>
  <si>
    <t>mpt3963</t>
  </si>
  <si>
    <t>mpt3963.mgroupnet.com</t>
  </si>
  <si>
    <t>mpt3964</t>
  </si>
  <si>
    <t>mpt3964.mgroupnet.com</t>
  </si>
  <si>
    <t>mpt3965</t>
  </si>
  <si>
    <t>mpt3965.mgroupnet.com</t>
  </si>
  <si>
    <t>mpt3966</t>
  </si>
  <si>
    <t>mpt3966.mgroupnet.com</t>
  </si>
  <si>
    <t>mpt3999</t>
  </si>
  <si>
    <t>mpt3999.mgroupnet.com</t>
  </si>
  <si>
    <t>mpt4619</t>
  </si>
  <si>
    <t>mpt4621</t>
  </si>
  <si>
    <t>mpt4621.mgroupnet.com</t>
  </si>
  <si>
    <t>mpt4622</t>
  </si>
  <si>
    <t>mpt4622.mgroupnet.com</t>
  </si>
  <si>
    <t>mpt4623</t>
  </si>
  <si>
    <t>mpt4623.mgroupnet.com</t>
  </si>
  <si>
    <t>mpt4624</t>
  </si>
  <si>
    <t>mpt4624.mgroupnet.com</t>
  </si>
  <si>
    <t>mpt4625</t>
  </si>
  <si>
    <t>mpt4625.mgroupnet.com</t>
  </si>
  <si>
    <t>mpt4626</t>
  </si>
  <si>
    <t>mpt4626.mgroupnet.com</t>
  </si>
  <si>
    <t>mpt4627</t>
  </si>
  <si>
    <t>mpt4627.mgroupnet.com</t>
  </si>
  <si>
    <t>mpt4628</t>
  </si>
  <si>
    <t>mpt4628.mgroupnet.com</t>
  </si>
  <si>
    <t>mpt4629</t>
  </si>
  <si>
    <t>mpt4629.mgroupnet.com</t>
  </si>
  <si>
    <t>mpt4630</t>
  </si>
  <si>
    <t>mpt4630.mgroupnet.com</t>
  </si>
  <si>
    <t>mpt4646</t>
  </si>
  <si>
    <t>mpt4646.mgroupnet.com</t>
  </si>
  <si>
    <t>mpt4697</t>
  </si>
  <si>
    <t>mpt4697.mgroupnet.com</t>
  </si>
  <si>
    <t>mpt4698</t>
  </si>
  <si>
    <t>mpt4698.mgroupnet.com</t>
  </si>
  <si>
    <t>mpt4821</t>
  </si>
  <si>
    <t>mpt4821.mgroupnet.com</t>
  </si>
  <si>
    <t>mpt4822</t>
  </si>
  <si>
    <t>mpt4822.mgroupnet.com</t>
  </si>
  <si>
    <t>mpt4823</t>
  </si>
  <si>
    <t>mpt4823.mgroupnet.com</t>
  </si>
  <si>
    <t>mpt4824</t>
  </si>
  <si>
    <t>mpt4824.mgroupnet.com</t>
  </si>
  <si>
    <t>mpt4825</t>
  </si>
  <si>
    <t>mpt4825.mgroupnet.com</t>
  </si>
  <si>
    <t>mpt4826</t>
  </si>
  <si>
    <t>mpt4826.mgroupnet.com</t>
  </si>
  <si>
    <t>mpt4827</t>
  </si>
  <si>
    <t>mpt4827.mgroupnet.com</t>
  </si>
  <si>
    <t>mpt4828</t>
  </si>
  <si>
    <t>mpt4828.mgroupnet.com</t>
  </si>
  <si>
    <t>mpt4829</t>
  </si>
  <si>
    <t>mpt4829.mgroupnet.com</t>
  </si>
  <si>
    <t>mpt4830</t>
  </si>
  <si>
    <t>mpt4830.mgroupnet.com</t>
  </si>
  <si>
    <t>mpt4831</t>
  </si>
  <si>
    <t>mpt4831.mgroupnet.com</t>
  </si>
  <si>
    <t>mpt4832</t>
  </si>
  <si>
    <t>mpt4832.mgroupnet.com</t>
  </si>
  <si>
    <t>mpt4833</t>
  </si>
  <si>
    <t>mpt4833.mgroupnet.com</t>
  </si>
  <si>
    <t>mpt4834</t>
  </si>
  <si>
    <t>mpt4834.mgroupnet.com</t>
  </si>
  <si>
    <t>mpt4835</t>
  </si>
  <si>
    <t>mpt4835.mgroupnet.com</t>
  </si>
  <si>
    <t>mpt4862</t>
  </si>
  <si>
    <t>mpt4862.mgroupnet.com</t>
  </si>
  <si>
    <t>mpt4863</t>
  </si>
  <si>
    <t>mpt4863.mgroupnet.com</t>
  </si>
  <si>
    <t>mpt4864</t>
  </si>
  <si>
    <t>mpt4864.mgroupnet.com</t>
  </si>
  <si>
    <t>mpt4865</t>
  </si>
  <si>
    <t>mpt4865.mgroupnet.com</t>
  </si>
  <si>
    <t>mpt4866</t>
  </si>
  <si>
    <t>mpt4866.mgroupnet.com</t>
  </si>
  <si>
    <t>mpt4867</t>
  </si>
  <si>
    <t>mpt4867.mgroupnet.com</t>
  </si>
  <si>
    <t>mpt4868</t>
  </si>
  <si>
    <t>mpt4868.mgroupnet.com</t>
  </si>
  <si>
    <t>mpt4869</t>
  </si>
  <si>
    <t>mpt4869.mgroupnet.com</t>
  </si>
  <si>
    <t>mpt4870</t>
  </si>
  <si>
    <t>mpt4870.mgroupnet.com</t>
  </si>
  <si>
    <t>mpt4871</t>
  </si>
  <si>
    <t>mpt4871.mgroupnet.com</t>
  </si>
  <si>
    <t>mpt4872</t>
  </si>
  <si>
    <t>mpt4872.mgroupnet.com</t>
  </si>
  <si>
    <t>mpt4873</t>
  </si>
  <si>
    <t>mpt4873.mgroupnet.com</t>
  </si>
  <si>
    <t>mpt4874</t>
  </si>
  <si>
    <t>mpt4874.mgroupnet.com</t>
  </si>
  <si>
    <t>mpt4875</t>
  </si>
  <si>
    <t>mpt4875.mgroupnet.com</t>
  </si>
  <si>
    <t>mpt4876</t>
  </si>
  <si>
    <t>mpt4876.mgroupnet.com</t>
  </si>
  <si>
    <t>mpt4877</t>
  </si>
  <si>
    <t>mpt4877.mgroupnet.com</t>
  </si>
  <si>
    <t>mpt4878</t>
  </si>
  <si>
    <t>mpt4878.mgroupnet.com</t>
  </si>
  <si>
    <t>mpt4879</t>
  </si>
  <si>
    <t>mpt4879.mgroupnet.com</t>
  </si>
  <si>
    <t>mpt4880</t>
  </si>
  <si>
    <t>mpt4880.mgroupnet.com</t>
  </si>
  <si>
    <t>mpt4881</t>
  </si>
  <si>
    <t>mpt4881.mgroupnet.com</t>
  </si>
  <si>
    <t>mpt4882</t>
  </si>
  <si>
    <t>mpt4882.mgroupnet.com</t>
  </si>
  <si>
    <t>mpt4883</t>
  </si>
  <si>
    <t>mpt4883.mgroupnet.com</t>
  </si>
  <si>
    <t>mpt4884</t>
  </si>
  <si>
    <t>mpt4884.mgroupnet.com</t>
  </si>
  <si>
    <t>mpt4885</t>
  </si>
  <si>
    <t>mpt4885.mgroupnet.com</t>
  </si>
  <si>
    <t>mpt4886</t>
  </si>
  <si>
    <t>mpt4886.mgroupnet.com</t>
  </si>
  <si>
    <t>mpt4887</t>
  </si>
  <si>
    <t>mpt4887.mgroupnet.com</t>
  </si>
  <si>
    <t>mpt4888</t>
  </si>
  <si>
    <t>mpt4888.mgroupnet.com</t>
  </si>
  <si>
    <t>mpt4897</t>
  </si>
  <si>
    <t>mpt4897.mgroupnet.com</t>
  </si>
  <si>
    <t>mpt4898</t>
  </si>
  <si>
    <t>mpt4898.mgroupnet.com</t>
  </si>
  <si>
    <t>mpt4901</t>
  </si>
  <si>
    <t>mpt4901.mgroupnet.com</t>
  </si>
  <si>
    <t>mpt4902</t>
  </si>
  <si>
    <t>mpt4902.mgroupnet.com</t>
  </si>
  <si>
    <t>mpt4903</t>
  </si>
  <si>
    <t>mpt4903.mgroupnet.com</t>
  </si>
  <si>
    <t>mpt4904</t>
  </si>
  <si>
    <t>mpt4904.mgroupnet.com</t>
  </si>
  <si>
    <t>mpt4905</t>
  </si>
  <si>
    <t>mpt4905.mgroupnet.com</t>
  </si>
  <si>
    <t>mpt4906</t>
  </si>
  <si>
    <t>mpt4906.mgroupnet.com</t>
  </si>
  <si>
    <t>mpt4907</t>
  </si>
  <si>
    <t>mpt4907.mgroupnet.com</t>
  </si>
  <si>
    <t>mpt4908</t>
  </si>
  <si>
    <t>mpt4908.mgroupnet.com</t>
  </si>
  <si>
    <t>mpt4909</t>
  </si>
  <si>
    <t>mpt4909.mgroupnet.com</t>
  </si>
  <si>
    <t>mpt4910</t>
  </si>
  <si>
    <t>mpt4910.mgroupnet.com</t>
  </si>
  <si>
    <t>mpt4911</t>
  </si>
  <si>
    <t>mpt4911.mgroupnet.com</t>
  </si>
  <si>
    <t>mpt4912</t>
  </si>
  <si>
    <t>mpt4912.mgroupnet.com</t>
  </si>
  <si>
    <t>mpt4913</t>
  </si>
  <si>
    <t>mpt4913.mgroupnet.com</t>
  </si>
  <si>
    <t>mpt4914</t>
  </si>
  <si>
    <t>mpt4914.mgroupnet.com</t>
  </si>
  <si>
    <t>mpt4915</t>
  </si>
  <si>
    <t>mpt4915.mgroupnet.com</t>
  </si>
  <si>
    <t>mpt4916</t>
  </si>
  <si>
    <t>mpt4916.mgroupnet.com</t>
  </si>
  <si>
    <t>mpt4917</t>
  </si>
  <si>
    <t>mpt4917.mgroupnet.com</t>
  </si>
  <si>
    <t>mpt4918</t>
  </si>
  <si>
    <t>mpt4918.mgroupnet.com</t>
  </si>
  <si>
    <t>mpt4919</t>
  </si>
  <si>
    <t>mpt4919.mgroupnet.com</t>
  </si>
  <si>
    <t>mpt4920</t>
  </si>
  <si>
    <t>mpt4920.mgroupnet.com</t>
  </si>
  <si>
    <t>mpt4921</t>
  </si>
  <si>
    <t>mpt4921.mgroupnet.com</t>
  </si>
  <si>
    <t>mpt4922</t>
  </si>
  <si>
    <t>mpt4922.mgroupnet.com</t>
  </si>
  <si>
    <t>mpt4923</t>
  </si>
  <si>
    <t>mpt4923.mgroupnet.com</t>
  </si>
  <si>
    <t>mpt4924</t>
  </si>
  <si>
    <t>mpt4924.mgroupnet.com</t>
  </si>
  <si>
    <t>mpt4925</t>
  </si>
  <si>
    <t>mpt4925.mgroupnet.com</t>
  </si>
  <si>
    <t>mpt4926</t>
  </si>
  <si>
    <t>mpt4926.mgroupnet.com</t>
  </si>
  <si>
    <t>mpt4927</t>
  </si>
  <si>
    <t>mpt4927.mgroupnet.com</t>
  </si>
  <si>
    <t>mpt4928</t>
  </si>
  <si>
    <t>mpt4928.mgroupnet.com</t>
  </si>
  <si>
    <t>mpt4929</t>
  </si>
  <si>
    <t>mpt4929.mgroupnet.com</t>
  </si>
  <si>
    <t>mpt4930</t>
  </si>
  <si>
    <t>mpt4930.mgroupnet.com</t>
  </si>
  <si>
    <t>mpt4931</t>
  </si>
  <si>
    <t>mpt4931.mgroupnet.com</t>
  </si>
  <si>
    <t>mpt4932</t>
  </si>
  <si>
    <t>mpt4932.mgroupnet.com</t>
  </si>
  <si>
    <t>mpt4933</t>
  </si>
  <si>
    <t>mpt4933.mgroupnet.com</t>
  </si>
  <si>
    <t>mpt4934</t>
  </si>
  <si>
    <t>mpt4934.mgroupnet.com</t>
  </si>
  <si>
    <t>mpt4935</t>
  </si>
  <si>
    <t>mpt4935.mgroupnet.com</t>
  </si>
  <si>
    <t>mpt4936</t>
  </si>
  <si>
    <t>mpt4936.mgroupnet.com</t>
  </si>
  <si>
    <t>mpt4937</t>
  </si>
  <si>
    <t>mpt4937.mgroupnet.com</t>
  </si>
  <si>
    <t>mpt4938</t>
  </si>
  <si>
    <t>mpt4938.mgroupnet.com</t>
  </si>
  <si>
    <t>mpt4939</t>
  </si>
  <si>
    <t>mpt4939.mgroupnet.com</t>
  </si>
  <si>
    <t>mpt4940</t>
  </si>
  <si>
    <t>mpt4940.mgroupnet.com</t>
  </si>
  <si>
    <t>mpt4941</t>
  </si>
  <si>
    <t>mpt4941.mgroupnet.com</t>
  </si>
  <si>
    <t>mpt4942</t>
  </si>
  <si>
    <t>mpt4942.mgroupnet.com</t>
  </si>
  <si>
    <t>mpt4943</t>
  </si>
  <si>
    <t>mpt4943.mgroupnet.com</t>
  </si>
  <si>
    <t>mpt4944</t>
  </si>
  <si>
    <t>mpt4944.mgroupnet.com</t>
  </si>
  <si>
    <t>mpt4945</t>
  </si>
  <si>
    <t>mpt4945.mgroupnet.com</t>
  </si>
  <si>
    <t>mpt4946</t>
  </si>
  <si>
    <t>mpt4946.mgroupnet.com</t>
  </si>
  <si>
    <t>mpt4947</t>
  </si>
  <si>
    <t>mpt4947.mgroupnet.com</t>
  </si>
  <si>
    <t>mpt4948</t>
  </si>
  <si>
    <t>mpt4948.mgroupnet.com</t>
  </si>
  <si>
    <t>mpt4949</t>
  </si>
  <si>
    <t>mpt4949.mgroupnet.com</t>
  </si>
  <si>
    <t>mpt4950</t>
  </si>
  <si>
    <t>mpt4950.mgroupnet.com</t>
  </si>
  <si>
    <t>mpt4951</t>
  </si>
  <si>
    <t>mpt4951.mgroupnet.com</t>
  </si>
  <si>
    <t>mpt4952</t>
  </si>
  <si>
    <t>mpt4952.mgroupnet.com</t>
  </si>
  <si>
    <t>mpt4953</t>
  </si>
  <si>
    <t>mpt4953.mgroupnet.com</t>
  </si>
  <si>
    <t>mpt4954</t>
  </si>
  <si>
    <t>mpt4954.mgroupnet.com</t>
  </si>
  <si>
    <t>mpt4955</t>
  </si>
  <si>
    <t>mpt4955.mgroupnet.com</t>
  </si>
  <si>
    <t>mpt4956</t>
  </si>
  <si>
    <t>mpt4956.mgroupnet.com</t>
  </si>
  <si>
    <t>mpt4957</t>
  </si>
  <si>
    <t>mpt4957.mgroupnet.com</t>
  </si>
  <si>
    <t>mpt4958</t>
  </si>
  <si>
    <t>mpt4958.mgroupnet.com</t>
  </si>
  <si>
    <t>mpt4959</t>
  </si>
  <si>
    <t>mpt4959.mgroupnet.com</t>
  </si>
  <si>
    <t>mpt4960</t>
  </si>
  <si>
    <t>mpt4960.mgroupnet.com</t>
  </si>
  <si>
    <t>mpt4970</t>
  </si>
  <si>
    <t>mpt4970.mgroupnet.com</t>
  </si>
  <si>
    <t>mpt4971</t>
  </si>
  <si>
    <t>mpt4971.mgroupnet.com</t>
  </si>
  <si>
    <t>mpt4972</t>
  </si>
  <si>
    <t>mpt4972.mgroupnet.com</t>
  </si>
  <si>
    <t>mpt4973</t>
  </si>
  <si>
    <t>mpt4973.mgroupnet.com</t>
  </si>
  <si>
    <t>mpt4974</t>
  </si>
  <si>
    <t>mpt4974.mgroupnet.com</t>
  </si>
  <si>
    <t>mpt4975</t>
  </si>
  <si>
    <t>mpt4975.mgroupnet.com</t>
  </si>
  <si>
    <t>mpt4976</t>
  </si>
  <si>
    <t>mpt4976.mgroupnet.com</t>
  </si>
  <si>
    <t>mpt4977</t>
  </si>
  <si>
    <t>mpt4977.mgroupnet.com</t>
  </si>
  <si>
    <t>mpt4978</t>
  </si>
  <si>
    <t>mpt4978.mgroupnet.com</t>
  </si>
  <si>
    <t>mpt4979</t>
  </si>
  <si>
    <t>mpt4979.mgroupnet.com</t>
  </si>
  <si>
    <t>mpt4980</t>
  </si>
  <si>
    <t>mpt4980.mgroupnet.com</t>
  </si>
  <si>
    <t>mpt4981</t>
  </si>
  <si>
    <t>mpt4981.mgroupnet.com</t>
  </si>
  <si>
    <t>mpt4982</t>
  </si>
  <si>
    <t>mpt4982.mgroupnet.com</t>
  </si>
  <si>
    <t>mpt4983</t>
  </si>
  <si>
    <t>mpt4983.mgroupnet.com</t>
  </si>
  <si>
    <t>mpt4984</t>
  </si>
  <si>
    <t>mpt4984.mgroupnet.com</t>
  </si>
  <si>
    <t>mpt4985</t>
  </si>
  <si>
    <t>mpt4985.mgroupnet.com</t>
  </si>
  <si>
    <t>mpt4986</t>
  </si>
  <si>
    <t>mpt4986.mgroupnet.com</t>
  </si>
  <si>
    <t>mpt4987</t>
  </si>
  <si>
    <t>mpt4987.mgroupnet.com</t>
  </si>
  <si>
    <t>mpt4988</t>
  </si>
  <si>
    <t>mpt4988.mgroupnet.com</t>
  </si>
  <si>
    <t>mpt4989</t>
  </si>
  <si>
    <t>mpt4989.mgroupnet.com</t>
  </si>
  <si>
    <t>mpt7620</t>
  </si>
  <si>
    <t>mpt7620.mgroupnet.com</t>
  </si>
  <si>
    <t>mss3306</t>
  </si>
  <si>
    <t>mss3306.mgroupnet.com</t>
  </si>
  <si>
    <t>Application Hosting Services</t>
  </si>
  <si>
    <t>MaCRoM</t>
  </si>
  <si>
    <t>mss3695</t>
  </si>
  <si>
    <t>mss3695.mgroupnet.com</t>
  </si>
  <si>
    <t>IPS (Integrated Project Systems)</t>
  </si>
  <si>
    <t>mts2660</t>
  </si>
  <si>
    <t>mts2660.mgroupnet.com</t>
  </si>
  <si>
    <t>mts2661</t>
  </si>
  <si>
    <t>mts2661.mgroupnet.com</t>
  </si>
  <si>
    <t>mts2662</t>
  </si>
  <si>
    <t>mts2662.mgroupnet.com</t>
  </si>
  <si>
    <t>mts2663</t>
  </si>
  <si>
    <t>mts2663.mgroupnet.com</t>
  </si>
  <si>
    <t>mts2664</t>
  </si>
  <si>
    <t>mts2664.mgroupnet.com</t>
  </si>
  <si>
    <t>mts2665</t>
  </si>
  <si>
    <t>mts2665.mgroupnet.com</t>
  </si>
  <si>
    <t>mts2666</t>
  </si>
  <si>
    <t>mts2666.mgroupnet.com</t>
  </si>
  <si>
    <t>mts2870</t>
  </si>
  <si>
    <t>mts2870.mgroupnet.com</t>
  </si>
  <si>
    <t>mts3019</t>
  </si>
  <si>
    <t>mts3019.mgroupnet.com</t>
  </si>
  <si>
    <t>mts3055</t>
  </si>
  <si>
    <t>mts3055.mgroupnet.com</t>
  </si>
  <si>
    <t>mts3088</t>
  </si>
  <si>
    <t>mts3088.mgroupnet.com</t>
  </si>
  <si>
    <t>mts3120</t>
  </si>
  <si>
    <t>mts3120.mgroupnet.com</t>
  </si>
  <si>
    <t>mts3121</t>
  </si>
  <si>
    <t>mts3121.mgroupnet.com</t>
  </si>
  <si>
    <t>mts3122</t>
  </si>
  <si>
    <t>mts3122.mgroupnet.com</t>
  </si>
  <si>
    <t>mts3219</t>
  </si>
  <si>
    <t>mts3219.mgroupnet.com</t>
  </si>
  <si>
    <t>POLARIS Revenue Accounting</t>
  </si>
  <si>
    <t>mts3306</t>
  </si>
  <si>
    <t>mts3306.mgroupnet.com</t>
  </si>
  <si>
    <t>mts3314</t>
  </si>
  <si>
    <t>mts3314.mgroupnet.com</t>
  </si>
  <si>
    <t>mts3315</t>
  </si>
  <si>
    <t>mts3315.mgroupnet.com</t>
  </si>
  <si>
    <t>CA Spectrum</t>
  </si>
  <si>
    <t>mts3586</t>
  </si>
  <si>
    <t>mts3586.mgroupnet.com</t>
  </si>
  <si>
    <t>PI System</t>
  </si>
  <si>
    <t>mts3652</t>
  </si>
  <si>
    <t>mts3652.mgroupnet.com</t>
  </si>
  <si>
    <t>mts6293</t>
  </si>
  <si>
    <t>mts6293.mgroupnet.com</t>
  </si>
  <si>
    <t>OpenText</t>
  </si>
  <si>
    <t>Bridger Insight v3.13</t>
  </si>
  <si>
    <t>mts7218</t>
  </si>
  <si>
    <t>mts7218.mgroupnet.com</t>
  </si>
  <si>
    <t>mts7219</t>
  </si>
  <si>
    <t>mts7219.mgroupnet.com</t>
  </si>
  <si>
    <t>mts7300</t>
  </si>
  <si>
    <t>mts7300.mgroupnet.com</t>
  </si>
  <si>
    <t>mts7301</t>
  </si>
  <si>
    <t>mts7301.mgroupnet.com</t>
  </si>
  <si>
    <t>mts7302</t>
  </si>
  <si>
    <t>mts7302.mgroupnet.com</t>
  </si>
  <si>
    <t>mts7303</t>
  </si>
  <si>
    <t>mts7303.mgroupnet.com</t>
  </si>
  <si>
    <t>mts7304</t>
  </si>
  <si>
    <t>mts7304.mgroupnet.com</t>
  </si>
  <si>
    <t>mts7305</t>
  </si>
  <si>
    <t>mts7305.mgroupnet.com</t>
  </si>
  <si>
    <t>mts7310</t>
  </si>
  <si>
    <t>mts7310.mgroupnet.com</t>
  </si>
  <si>
    <t>mts7311</t>
  </si>
  <si>
    <t>mts7312</t>
  </si>
  <si>
    <t>mts7312.mgroupnet.com</t>
  </si>
  <si>
    <t>mts7392</t>
  </si>
  <si>
    <t>mts7392.mgroupnet.com</t>
  </si>
  <si>
    <t>mts7435</t>
  </si>
  <si>
    <t>mts7435.mgroupnet.com</t>
  </si>
  <si>
    <t>mts7436</t>
  </si>
  <si>
    <t>mts7436.mgroupnet.com</t>
  </si>
  <si>
    <t>mts7438</t>
  </si>
  <si>
    <t>mts7438.mgroupnet.com</t>
  </si>
  <si>
    <t>mts7439</t>
  </si>
  <si>
    <t>mts7439.mgroupnet.com</t>
  </si>
  <si>
    <t>mts7440</t>
  </si>
  <si>
    <t>mts7440.mgroupnet.com</t>
  </si>
  <si>
    <t>mts7441</t>
  </si>
  <si>
    <t>mts7441.mgroupnet.com</t>
  </si>
  <si>
    <t>mts7442</t>
  </si>
  <si>
    <t>mts7442.mgroupnet.com</t>
  </si>
  <si>
    <t>mts7448</t>
  </si>
  <si>
    <t>mts7448.mgroupnet.com</t>
  </si>
  <si>
    <t>mts7460</t>
  </si>
  <si>
    <t>mts7460.mgroupnet.com</t>
  </si>
  <si>
    <t>mts7461</t>
  </si>
  <si>
    <t>mts7461.mgroupnet.com</t>
  </si>
  <si>
    <t>mts7462</t>
  </si>
  <si>
    <t>mts7462.mgroupnet.com</t>
  </si>
  <si>
    <t>mts7463</t>
  </si>
  <si>
    <t>mts7463.mgroupnet.com</t>
  </si>
  <si>
    <t>mts7464</t>
  </si>
  <si>
    <t>mts7464.mgroupnet.com</t>
  </si>
  <si>
    <t>mts7465</t>
  </si>
  <si>
    <t>mts7465.mgroupnet.com</t>
  </si>
  <si>
    <t>mts7466</t>
  </si>
  <si>
    <t>mts7466.mgroupnet.com</t>
  </si>
  <si>
    <t>mts7471</t>
  </si>
  <si>
    <t>mts7471.mgroupnet.com</t>
  </si>
  <si>
    <t>mts7472</t>
  </si>
  <si>
    <t>mts7472.mgroupnet.com</t>
  </si>
  <si>
    <t>mts7475</t>
  </si>
  <si>
    <t>mts7475.mgroupnet.com</t>
  </si>
  <si>
    <t>mts7481</t>
  </si>
  <si>
    <t>mts7481.mgroupnet.com</t>
  </si>
  <si>
    <t>mts7484</t>
  </si>
  <si>
    <t>mts7484.mgroupnet.com</t>
  </si>
  <si>
    <t>mts7486</t>
  </si>
  <si>
    <t>mts7486.mgroupnet.com</t>
  </si>
  <si>
    <t>mts7490</t>
  </si>
  <si>
    <t>mts7490.mgroupnet.com</t>
  </si>
  <si>
    <t>anrefa08</t>
  </si>
  <si>
    <t>VMware-42 2d 61 cf e1 61 7a c8-0b 3d 6f 37 aa e7 44 30</t>
  </si>
  <si>
    <t>anrefa13</t>
  </si>
  <si>
    <t>anrefa14</t>
  </si>
  <si>
    <t>VMware-42 0b 3c 3c 6f b2 4d 14-e8 ed 25 bd 15 fe 1d d5</t>
  </si>
  <si>
    <t>anrefa28</t>
  </si>
  <si>
    <t>VMware-42 0b 13 7b 48 a2 1c 2f-dc 82 61 cb f1 cf ab 5d</t>
  </si>
  <si>
    <t>System 1</t>
  </si>
  <si>
    <t>anrefa60</t>
  </si>
  <si>
    <t>VMware-42 2d b6 37 f9 ba 34 36-62 8d b5 78 a1 ee e6 16</t>
  </si>
  <si>
    <t>anrefa63</t>
  </si>
  <si>
    <t>VMware-42 0b 56 26 31 49 ae c4-b2 ec d9 44 f2 97 02 22</t>
  </si>
  <si>
    <t>anrefa64</t>
  </si>
  <si>
    <t>anrefd02</t>
  </si>
  <si>
    <t>VMware-42 2d 37 65 1f 1b 83 4f-9b f1 89 08 68 5a 23 71</t>
  </si>
  <si>
    <t>anrefd03</t>
  </si>
  <si>
    <t>VMware-42 2d cc 92 c2 9f 07 0d-d9 b3 a0 66 ab 8e 8d 03</t>
  </si>
  <si>
    <t>anrefd05</t>
  </si>
  <si>
    <t>VMware-42 0c 8c 9e 03 65 8e 98-53 ac 46 4c 2e b1 c5 e5</t>
  </si>
  <si>
    <t>anrefi04</t>
  </si>
  <si>
    <t>VMware-42 2d 91 65 59 a7 b6 a4-84 e4 d1 00 04 72 66 d1</t>
  </si>
  <si>
    <t>anrrs720</t>
  </si>
  <si>
    <t>VMware-42 0b 41 9a e2 17 d5 59-0c 38 90 e0 4d b0 03 2a</t>
  </si>
  <si>
    <t>anrrs780</t>
  </si>
  <si>
    <t>VMware-42 06 2e e5 f8 31 3c 02-4e 6f bf d6 e2 a3 73 b2</t>
  </si>
  <si>
    <t>anrrs782</t>
  </si>
  <si>
    <t>VMware-42 06 2c 5b ba c5 88 d9-51 3e ba 64 0d 07 79 5e</t>
  </si>
  <si>
    <t>anrrs790</t>
  </si>
  <si>
    <t>VMware-42 06 3d 35 03 72 43 87-e6 e6 af d7 f5 a8 0c bd</t>
  </si>
  <si>
    <t>anrrs791</t>
  </si>
  <si>
    <t>VMware-42 06 6d 8b c9 80 55 fb-76 e1 f5 1c c5 1a 09 62</t>
  </si>
  <si>
    <t>canls941</t>
  </si>
  <si>
    <t>VMware-42 3b 3e 1e b4 2a 90 5c-40 17 5a 5a 7e 9f 97 90</t>
  </si>
  <si>
    <t>canrs254</t>
  </si>
  <si>
    <t>VMware-42 3b 03 60 11 66 d2 e8-c5 17 f3 b1 05 2e 4b d5</t>
  </si>
  <si>
    <t>canrs401</t>
  </si>
  <si>
    <t>VMware-42 3b 32 77 cc 49 f2 22-42 56 39 19 2f 01 ba 6d</t>
  </si>
  <si>
    <t>canrs605</t>
  </si>
  <si>
    <t>VMware-42 3b 2a 26 b8 d5 4d ef-6c 2a 7f 68 e4 68 9b ac</t>
  </si>
  <si>
    <t>canrs652</t>
  </si>
  <si>
    <t>VMware-42 3b 3a 88 8b 44 cb ba-bb d1 8a cd a9 84 c4 dc</t>
  </si>
  <si>
    <t>canrs653</t>
  </si>
  <si>
    <t>VMware-42 02 5a de 9d 91 af 2d-e7 3c df 57 a5 90 6a 79</t>
  </si>
  <si>
    <t>canrs780</t>
  </si>
  <si>
    <t>VMware-42 3b 09 a9 ce df 1b 4b-a8 22 89 f9 29 37 1f 64</t>
  </si>
  <si>
    <t>canrs781</t>
  </si>
  <si>
    <t>VMware-42 3b 90 5d 24 b9 b6 b7-e0 3f ed 15 cf 22 88 89</t>
  </si>
  <si>
    <t>canrs782</t>
  </si>
  <si>
    <t>VMware-42 3b 57 6d c6 6e 8c 63-5d 59 0e 2d 4e 5b d5 55</t>
  </si>
  <si>
    <t>canrs790</t>
  </si>
  <si>
    <t>VMware-42 02 01 06 b0 a4 7b a2-b0 39 69 80 02 88 6b d6</t>
  </si>
  <si>
    <t>canrs791</t>
  </si>
  <si>
    <t>VMware-42 02 3d d4 75 ea e6 92-d8 7f 96 1a 1a 9e 8d 5c</t>
  </si>
  <si>
    <t>canrs929</t>
  </si>
  <si>
    <t>VMware-42 3b 79 3d 3c c6 69 86-29 08 d4 8f 93 62 fd ae</t>
  </si>
  <si>
    <t>cbdrs401</t>
  </si>
  <si>
    <t>VMware-42 1c 0a 5a 18 d0 a5 63-4c 7b 69 cd db ce a7 c2</t>
  </si>
  <si>
    <t>cbdrs780</t>
  </si>
  <si>
    <t>VMware-42 1c 47 0b 81 5b c7 e8-25 91 8f f1 ea 45 c0 3f</t>
  </si>
  <si>
    <t>cbdrs781</t>
  </si>
  <si>
    <t>VMware-42 1c f2 74 a1 c0 ce 1f-f8 6f e3 c5 c7 69 3c b4</t>
  </si>
  <si>
    <t>cbdrs782</t>
  </si>
  <si>
    <t>VMware-42 1c a7 8a 2a 98 74 19-f6 5b 36 1a 11 35 bc 7d</t>
  </si>
  <si>
    <t>cbgrs401</t>
  </si>
  <si>
    <t>VMware-42 05 5f 8d fa 39 58 11-93 55 e7 cf 07 14 17 ad</t>
  </si>
  <si>
    <t>cbgrs605</t>
  </si>
  <si>
    <t>VMware-42 05 03 60 6d 89 c1 d3-02 93 a1 3c 03 41 63 12</t>
  </si>
  <si>
    <t>cbgrs652</t>
  </si>
  <si>
    <t>VMware-42 05 a5 48 19 eb 9d a3-6d 63 37 27 e1 d8 d1 8e</t>
  </si>
  <si>
    <t>cbgrs653</t>
  </si>
  <si>
    <t>VMware-42 23 ec 34 71 78 63 8f-02 c8 35 9f 22 b9 66 fc</t>
  </si>
  <si>
    <t>cbgrs780</t>
  </si>
  <si>
    <t>VMware-42 05 64 3a 32 90 76 79-3a 0d 7d 6e 1e b9 a5 b2</t>
  </si>
  <si>
    <t>cbgrs781</t>
  </si>
  <si>
    <t>VMware-42 05 77 05 38 37 29 d9-aa 7e 1d ee cf 8d da 5a</t>
  </si>
  <si>
    <t>cbgrs782</t>
  </si>
  <si>
    <t>VMware-42 05 19 be 8d 73 52 fe-fd ba 92 e5 aa 7b e5 05</t>
  </si>
  <si>
    <t>cbgrs790</t>
  </si>
  <si>
    <t>VMware-42 23 20 75 a4 c3 4f 4b-fb b7 53 86 69 fd 42 39</t>
  </si>
  <si>
    <t>cbgrs791</t>
  </si>
  <si>
    <t>VMware-42 23 2c d6 be a8 4a df-99 8a fb e9 e6 48 47 59</t>
  </si>
  <si>
    <t>cbgrs903</t>
  </si>
  <si>
    <t>VMware-42 23 4a 0c 99 e1 c9 e0-46 d3 f6 13 30 17 e8 1e</t>
  </si>
  <si>
    <t>cbgrs929</t>
  </si>
  <si>
    <t>VMware-42 05 f5 e0 78 af 73 c9-fa e1 f1 94 a0 1f a4 df</t>
  </si>
  <si>
    <t>cbgrs961</t>
  </si>
  <si>
    <t>VMware-42 30 d9 28 1e 20 1b 45-71 6b 84 26 05 77 ae e4</t>
  </si>
  <si>
    <t>deloga07</t>
  </si>
  <si>
    <t>delogd03</t>
  </si>
  <si>
    <t>detls941</t>
  </si>
  <si>
    <t>VMware-42 2f 35 5e 6b 7a 31 2e-97 5e ad 1a 8b e1 aa ed</t>
  </si>
  <si>
    <t>detrs401</t>
  </si>
  <si>
    <t>VMware-42 2f 3e b9 34 77 03 e4-19 17 5b af 21 1c 86 94</t>
  </si>
  <si>
    <t>detrs605</t>
  </si>
  <si>
    <t>VMware-42 2f 2c a7 f2 c1 02 01-6d 6a c4 4b cb 41 69 5f</t>
  </si>
  <si>
    <t>detrs780</t>
  </si>
  <si>
    <t>VMware-42 2f ae 84 89 dc 4c ec-40 73 1a ff 5e e6 23 57</t>
  </si>
  <si>
    <t>detrs781</t>
  </si>
  <si>
    <t>VMware-42 2f b4 18 69 59 da 13-6b 46 ef a0 d9 e6 62 c9</t>
  </si>
  <si>
    <t>detrs782</t>
  </si>
  <si>
    <t>VMware-42 2f 62 05 47 dc 2d 42-12 0d c3 46 af 04 82 d0</t>
  </si>
  <si>
    <t>detrs790</t>
  </si>
  <si>
    <t>VMware-42 16 c9 f6 bb ab b2 80-cd 8b 4f 8c a2 96 a8 7d</t>
  </si>
  <si>
    <t>detrs791</t>
  </si>
  <si>
    <t>VMware-42 16 1f d7 3a 9b 63 5b-a5 3b 2c d7 cd b0 cf a1</t>
  </si>
  <si>
    <t>detrs929</t>
  </si>
  <si>
    <t>VMware-42 2f 31 9f 66 23 48 b2-ed b1 44 27 2c b3 fd 37</t>
  </si>
  <si>
    <t>detts401</t>
  </si>
  <si>
    <t>VMware-42 2f 2c 30 b7 3b 76 21-9c 2e 22 0b ad 09 30 14</t>
  </si>
  <si>
    <t>Application Server</t>
  </si>
  <si>
    <t>dirrs780</t>
  </si>
  <si>
    <t>VMware-42 2a b5 72 b3 5c 9d be-1e 83 63 c9 9b 40 b3 98</t>
  </si>
  <si>
    <t>dirrs782</t>
  </si>
  <si>
    <t>VMware-42 2a fe 44 39 c9 12 cf-ef 2a 0b eb 2a 32 c8 73</t>
  </si>
  <si>
    <t>dirrs790</t>
  </si>
  <si>
    <t>VMware-42 2a 14 38 b2 12 d9 e8-56 1e d2 0c 76 dd 19 a2</t>
  </si>
  <si>
    <t>dirrs791</t>
  </si>
  <si>
    <t>VMware-42 2a 84 6a d2 4a cf 33-12 1c af 3e d0 55 7a 5c</t>
  </si>
  <si>
    <t>elpls941</t>
  </si>
  <si>
    <t>VMware-56 4d 8d 24 7a 70 0a 06-86 95 56 84 91 4e 2f 35</t>
  </si>
  <si>
    <t>elprs650</t>
  </si>
  <si>
    <t>VMware-42 3d 92 07 14 49 0a 1d-3b ce d7 78 3a e9 7b b7</t>
  </si>
  <si>
    <t>elprs651</t>
  </si>
  <si>
    <t>VMware-42 3d ab 37 e6 36 98 7c-f3 5e b8 36 c1 cb 51 f2</t>
  </si>
  <si>
    <t>elprs652</t>
  </si>
  <si>
    <t>VMware-42 3d b2 47 7d 47 29 9e-43 7a 3e d0 e1 98 26 2f</t>
  </si>
  <si>
    <t>elprs653</t>
  </si>
  <si>
    <t>VMware-42 3d ce f6 b3 0b 45 75-83 ce d5 b8 0f d3 2a f3</t>
  </si>
  <si>
    <t>elprs654</t>
  </si>
  <si>
    <t>VMware-42 3d 76 38 30 9c 64 83-5d ef 83 bf bd ad 16 d6</t>
  </si>
  <si>
    <t>elprs781</t>
  </si>
  <si>
    <t>VMware-42 0b 0e 3e e7 c6 94 11-c8 10 0b ed ec 4d 89 4d</t>
  </si>
  <si>
    <t>gbrrs401</t>
  </si>
  <si>
    <t>VMware-42 1a c5 1e d3 f7 5f ac-49 9a 67 4b 9b 8f 59 c5</t>
  </si>
  <si>
    <t>gbrrs652</t>
  </si>
  <si>
    <t>VMware-42 1a 0c bf 56 63 cb 9c-46 a2 72 41 9a 91 f7 80</t>
  </si>
  <si>
    <t>gbrrs653</t>
  </si>
  <si>
    <t>VMware-42 1a 2b 18 77 4b 52 c4-0a 02 96 40 ae df 4e 1c</t>
  </si>
  <si>
    <t>gbrrs654</t>
  </si>
  <si>
    <t>VMware-42 1a eb 5e 51 77 ec 21-00 18 2b ce 19 ea c2 23</t>
  </si>
  <si>
    <t>gbrrs702</t>
  </si>
  <si>
    <t>VMware-42 1a 20 b8 76 af 90 39-0a 49 1e 82 62 07 55 ee</t>
  </si>
  <si>
    <t>gbrrs772</t>
  </si>
  <si>
    <t>VMware-42 1a bc 90 d7 66 ea 69-b2 83 a1 d5 b1 9b 9c 0f</t>
  </si>
  <si>
    <t>gbrrs929</t>
  </si>
  <si>
    <t>VMware-42 1a 9f af 91 0f 3b 39-a0 f9 3d 8c 63 88 1f 47</t>
  </si>
  <si>
    <t>gbrrs931</t>
  </si>
  <si>
    <t>VMware-42 27 f5 c6 38 b3 25 3e-d5 d9 47 23 16 44 a3 87</t>
  </si>
  <si>
    <t>gbrrs933</t>
  </si>
  <si>
    <t>DD4B1A42-6937-7FF2-ED8B-172C3E268556</t>
  </si>
  <si>
    <t>gbrrs955</t>
  </si>
  <si>
    <t>VMware-42 1a 27 49 c9 05 00 25-ba 0b c4 ca 13 9e 2c fc</t>
  </si>
  <si>
    <t>gvlls941</t>
  </si>
  <si>
    <t>VMware-42 2b 86 56 19 70 73 dd-8c f4 54 c8 33 59 b9 0e</t>
  </si>
  <si>
    <t>gvlrs401</t>
  </si>
  <si>
    <t>VMware-42 2b 19 3b 74 7b da 83-6e fc 3f e1 b8 64 46 8b</t>
  </si>
  <si>
    <t>gvlrs605</t>
  </si>
  <si>
    <t>VMware-42 13 76 af ee 41 91 d7-07 2a b8 89 f5 b1 51 6d</t>
  </si>
  <si>
    <t>gvlrs652</t>
  </si>
  <si>
    <t>VMware-42 2b 50 29 03 b0 53 a3-ec 0b c0 90 c1 95 c8 a4</t>
  </si>
  <si>
    <t>gvlrs653</t>
  </si>
  <si>
    <t>VMware-42 30 d7 8a 71 61 e4 37-86 79 9b 75 5e 85 9f 2b</t>
  </si>
  <si>
    <t>gvlrs772</t>
  </si>
  <si>
    <t>VMware-42 30 c5 eb da 50 9e a1-62 03 3a 95 63 90 12 79</t>
  </si>
  <si>
    <t>gvlrs780</t>
  </si>
  <si>
    <t>VMware-42 2b ae 37 81 96 84 dc-4e 2a 18 37 4c b1 42 56</t>
  </si>
  <si>
    <t>gvlrs781</t>
  </si>
  <si>
    <t>VMware-42 2b 59 40 a7 59 65 53-ea 7f 05 52 4a 18 41 60</t>
  </si>
  <si>
    <t>gvlrs782</t>
  </si>
  <si>
    <t>VMware-42 2b 91 5e 5d 76 e7 1d-12 dd 37 1a 76 32 5a e9</t>
  </si>
  <si>
    <t>gvlrs790</t>
  </si>
  <si>
    <t>VMware-42 30 33 9f 6a ac 60 a5-7f 42 57 c1 9e 7d 3d 70</t>
  </si>
  <si>
    <t>gvlrs791</t>
  </si>
  <si>
    <t>VMware-42 30 25 9b e8 22 63 15-a6 fd 8a fc b4 a3 24 4f</t>
  </si>
  <si>
    <t>gvlrs928</t>
  </si>
  <si>
    <t>VMware-42 2b 8f 35 f9 e0 d7 44-ce 90 23 56 9a ff 9a 05</t>
  </si>
  <si>
    <t>gvlrs929</t>
  </si>
  <si>
    <t>VMware-42 2b 79 b4 c0 6e 50 a2-94 b3 31 21 38 64 f2 99</t>
  </si>
  <si>
    <t>kenrs402</t>
  </si>
  <si>
    <t>VMware-42 0b 3a 89 88 e1 1d 1c-2f 0e 83 31 0e 54 10 61</t>
  </si>
  <si>
    <t>kenrs780</t>
  </si>
  <si>
    <t>VMware-42 3b 50 aa 86 47 be 18-4c 35 5c 26 dc bf b2 92</t>
  </si>
  <si>
    <t>kenrs782</t>
  </si>
  <si>
    <t>VMware-42 3b 14 c6 da aa 43 a3-1d 3d 39 11 9e 7a ce 51</t>
  </si>
  <si>
    <t>kenrs790</t>
  </si>
  <si>
    <t>VMware-42 3b b7 d1 56 05 e0 f7-2e 8d d6 64 04 6f 4b 30</t>
  </si>
  <si>
    <t>kenrs791</t>
  </si>
  <si>
    <t>VMware-42 3b 4c 3c 93 33 b4 c6-87 29 f1 30 16 cc 4a ae</t>
  </si>
  <si>
    <t>krrefa09</t>
  </si>
  <si>
    <t>VMware-42 2d 63 85 f3 f8 8b 66-49 5a 10 a9 5d c5 ec 60</t>
  </si>
  <si>
    <t>krrefa12</t>
  </si>
  <si>
    <t>VMware-42 0c 53 fd aa 67 96 6d-35 03 62 a9 cb fd c0 6c</t>
  </si>
  <si>
    <t>krrefa19</t>
  </si>
  <si>
    <t>VMware-42 0b 3d 82 cc 7b b8 d2-c1 96 64 5b 70 e7 bc a4</t>
  </si>
  <si>
    <t>krrefa33</t>
  </si>
  <si>
    <t>VMware-42 0b 06 79 ce 95 bf 5f-78 a6 e6 46 ba 2b 5b 10</t>
  </si>
  <si>
    <t>krrefa60</t>
  </si>
  <si>
    <t>VMware-42 2d a6 d0 4c fa df 74-34 b2 bc 4a 7a 2c e5 8a</t>
  </si>
  <si>
    <t>krrefa63</t>
  </si>
  <si>
    <t>VMware-42 0b a5 1d 08 a0 06 c9-c3 ca 8b d9 f2 95 97 8d</t>
  </si>
  <si>
    <t>krrefa64</t>
  </si>
  <si>
    <t>MXQ733084Y</t>
  </si>
  <si>
    <t>krrefa66</t>
  </si>
  <si>
    <t>MXQ735031B</t>
  </si>
  <si>
    <t>krrefd02</t>
  </si>
  <si>
    <t>VMware-42 2d d9 2f f0 6f bf 12-d6 2e d8 d0 d2 38 75 c4</t>
  </si>
  <si>
    <t>larefa29</t>
  </si>
  <si>
    <t>VMware-42 2d 85 e6 7f 38 db 08-5a 35 79 a5 3b 1d 89 20</t>
  </si>
  <si>
    <t>larefa64</t>
  </si>
  <si>
    <t>VMware-42 0c ae 2f 0c a7 c6 d3-47 19 74 9e 3d 67 fb e5</t>
  </si>
  <si>
    <t>larefa68</t>
  </si>
  <si>
    <t>VMware-42 0b c2 f8 3b 7d 70 43-41 35 10 5c 54 c3 f1 50</t>
  </si>
  <si>
    <t>larefa75</t>
  </si>
  <si>
    <t>MXQ72203TM</t>
  </si>
  <si>
    <t>larefa84</t>
  </si>
  <si>
    <t>USE212YB9J</t>
  </si>
  <si>
    <t>larefd19</t>
  </si>
  <si>
    <t>VMware-42 0b 55 6c 6e e1 56 2f-97 4c 32 9a 50 62 e6 65</t>
  </si>
  <si>
    <t>larefd30</t>
  </si>
  <si>
    <t>VMware-42 0b 44 ec 4c 67 05 f5-a6 b8 53 6f 4c db a8 21</t>
  </si>
  <si>
    <t>larefd31</t>
  </si>
  <si>
    <t>VMware-42 0b d8 c2 3d 6d ea 9e-3c 1b 5a cf 83 8f 2d 72</t>
  </si>
  <si>
    <t>larefd32</t>
  </si>
  <si>
    <t>VMware-42 0b 7c f1 ac a3 41 e8-3a 97 a0 fc 7f 7d fb 74</t>
  </si>
  <si>
    <t>larrs667</t>
  </si>
  <si>
    <t>VMware-42 01 09 1a f0 44 73 6d-10 05 db 53 e2 a0 84 97</t>
  </si>
  <si>
    <t>larrs720</t>
  </si>
  <si>
    <t>VMware-42 0b e1 54 70 8c 97 18-3e 95 87 a7 93 d3 f8 41</t>
  </si>
  <si>
    <t>larrs721</t>
  </si>
  <si>
    <t>VMware-42 0b aa 51 54 bf 58 8a-1b b6 39 af 27 b9 3c 55</t>
  </si>
  <si>
    <t>larrs740</t>
  </si>
  <si>
    <t>VMware-42 01 bb 77 23 08 91 c7-69 82 38 ec 10 01 26 2a</t>
  </si>
  <si>
    <t>larrs760</t>
  </si>
  <si>
    <t>VMware-42 01 dd e9 ec 1a f3 62-f2 49 43 04 cd 52 74 2f</t>
  </si>
  <si>
    <t>lrrefa14</t>
  </si>
  <si>
    <t>VMware-56 4d d7 32 df 60 bf bd-2a 1a bd d0 8a dd df 5e</t>
  </si>
  <si>
    <t>lrrefa35</t>
  </si>
  <si>
    <t>VMware-42 2d db 32 00 8f 29 98-10 bd 99 ab ce 3b 58 c0</t>
  </si>
  <si>
    <t>lrrefa37</t>
  </si>
  <si>
    <t>USE207VSSN</t>
  </si>
  <si>
    <t>lrrefa41</t>
  </si>
  <si>
    <t>VMware-56 4d 1e d4 6f 35 f5 64-a2 36 ea 91 be 2e d3 e9</t>
  </si>
  <si>
    <t>lrrefa64</t>
  </si>
  <si>
    <t>VMware-42 0c 53 6d 4e d6 3a a0-d1 27 92 df a8 cc 5a f3</t>
  </si>
  <si>
    <t>lrrefa75</t>
  </si>
  <si>
    <t>VMware-42 0b 4a 21 5a 37 cd 36-99 72 59 6e ec 58 53 69</t>
  </si>
  <si>
    <t>lrrefa82</t>
  </si>
  <si>
    <t>VMware-42 0b c4 58 e5 3f b2 53-b1 95 af 71 75 5c c5 78</t>
  </si>
  <si>
    <t>manrs780</t>
  </si>
  <si>
    <t>VMware-42 2a 31 b9 c8 c6 6b 19-86 81 bd aa 11 37 77 07</t>
  </si>
  <si>
    <t>manrs782</t>
  </si>
  <si>
    <t>VMware-42 2a 3c 80 a4 c0 f4 54-c2 67 11 b1 e0 c8 70 fa</t>
  </si>
  <si>
    <t>manrs790</t>
  </si>
  <si>
    <t>VMware-42 2a d6 b3 76 a2 75 fb-2d 6d cc 96 0c e8 2b 5e</t>
  </si>
  <si>
    <t>manrs791</t>
  </si>
  <si>
    <t>VMware-42 2a 71 f9 d7 c5 2a ad-f4 17 0b c5 ef 22 f4 42</t>
  </si>
  <si>
    <t>LeakDAS</t>
  </si>
  <si>
    <t>marefa06</t>
  </si>
  <si>
    <t>VMware-56 4d a6 c8 42 18 16 71-a3 99 21 eb 8e 1a 11 96</t>
  </si>
  <si>
    <t>marefa13</t>
  </si>
  <si>
    <t>VMware-42 0c d7 cb b1 ed 20 3e-cd 6d 56 e6 32 59 c7 04</t>
  </si>
  <si>
    <t>marefa18</t>
  </si>
  <si>
    <t>VMware-42 0b a8 31 06 88 0f a1-71 0c 7d 76 e0 1d f3 e7</t>
  </si>
  <si>
    <t>marefa38</t>
  </si>
  <si>
    <t>cBLISS</t>
  </si>
  <si>
    <t>VMware-42 0b e3 a5 d3 5d 9a a9-91 8f 7e 30 0e 76 bd 9b</t>
  </si>
  <si>
    <t>marefa60</t>
  </si>
  <si>
    <t>VMware-42 2d ea 34 5b cf 66 90-45 00 8a 8f b7 9a e3 a1</t>
  </si>
  <si>
    <t>Topview</t>
  </si>
  <si>
    <t>marefl01</t>
  </si>
  <si>
    <t>VMware-42 0c c6 e9 4a 3d 3a 4b-bc a6 6e 66 e8 ae fe 8b</t>
  </si>
  <si>
    <t>mtzrs782</t>
  </si>
  <si>
    <t>mtzrs791</t>
  </si>
  <si>
    <t>Mexico City</t>
  </si>
  <si>
    <t>mzrefa06</t>
  </si>
  <si>
    <t>VMware-42 0c a7 5e b2 73 4a 39-0f 3a 6b c9 6f 3f 28 33</t>
  </si>
  <si>
    <t>mzrefa36</t>
  </si>
  <si>
    <t>VMware-42 0b be f5 14 f0 5a 2c-ba ba ff 2e 8c 6e 0e 5b</t>
  </si>
  <si>
    <t>mzrefa60</t>
  </si>
  <si>
    <t>VMware-42 2d 28 6d 81 2c b8 9b-52 a7 8d c0 6b 05 cd d4</t>
  </si>
  <si>
    <t>robls941</t>
  </si>
  <si>
    <t>VMware-42 0a 31 ce 02 66 ef e2-f5 2c 1f b6 dc c9 ee f1</t>
  </si>
  <si>
    <t>robrs401</t>
  </si>
  <si>
    <t>VMware-42 0a c9 51 30 fe 45 c3-b2 8c 39 9c 6f 33 24 b0</t>
  </si>
  <si>
    <t>robrs605</t>
  </si>
  <si>
    <t>VMware-42 0a c6 7c c4 16 57 97-36 19 f6 f9 df 4f 4c fe</t>
  </si>
  <si>
    <t>robrs780</t>
  </si>
  <si>
    <t>VMware-42 0a d0 90 80 49 71 36-b6 bd 53 68 cb 07 b8 b6</t>
  </si>
  <si>
    <t>robrs781</t>
  </si>
  <si>
    <t>VMware-42 0a 61 ea a8 8d 6f e8-d9 3d 52 8d f4 c2 5c b7</t>
  </si>
  <si>
    <t>robrs782</t>
  </si>
  <si>
    <t>VMware-42 0a d2 ac 31 7a 54 a0-17 f0 09 17 11 34 cb 1a</t>
  </si>
  <si>
    <t>robrs790</t>
  </si>
  <si>
    <t>VMware-42 3c d2 82 79 66 e0 73-7b 97 8d 33 56 02 a8 fd</t>
  </si>
  <si>
    <t>robrs791</t>
  </si>
  <si>
    <t>VMware-42 3c 03 6a bd 7e f2 24-f9 fe df 36 2b a5 7d 80</t>
  </si>
  <si>
    <t>robrs929</t>
  </si>
  <si>
    <t>VMware-42 0a 01 63 91 19 d3 c9-e3 98 91 b1 e3 b2 e0 7f</t>
  </si>
  <si>
    <t>Refinery Navigator</t>
  </si>
  <si>
    <t>sacora60</t>
  </si>
  <si>
    <t>sacora61</t>
  </si>
  <si>
    <t>Change Auditor</t>
  </si>
  <si>
    <t>slcrs402</t>
  </si>
  <si>
    <t>VMware-42 0b 3c f8 13 ee 97 cd-98 4a d9 c1 76 4e 77 63</t>
  </si>
  <si>
    <t>slrefa07</t>
  </si>
  <si>
    <t>VMware-42 0b a0 11 e3 ee a5 4f-ab 4e cb 58 08 e2 df 9d</t>
  </si>
  <si>
    <t>ProRAE Guardian</t>
  </si>
  <si>
    <t>slrefa21</t>
  </si>
  <si>
    <t>VMware-56 4d e4 f3 72 5e 65 12-60 0e 02 de 6d 61 cd c1</t>
  </si>
  <si>
    <t>slrefa22</t>
  </si>
  <si>
    <t>VMware-56 4d 10 68 7c 95 3b 60-5b 44 d4 bb de 14 2e 00</t>
  </si>
  <si>
    <t>slrefa32</t>
  </si>
  <si>
    <t>VMware-42 0b 63 96 7b d9 2c d8-03 9f a8 7f 87 e1 2c a0</t>
  </si>
  <si>
    <t>slrefd06</t>
  </si>
  <si>
    <t>VMware-42 0b 44 bb 1a 48 0a 8c-3c ed 36 11 9f 27 64 32</t>
  </si>
  <si>
    <t>slrefw02</t>
  </si>
  <si>
    <t>VMware-42 2d 8c e3 40 08 6f 26-ea 77 2b 6d 58 fd 08 49</t>
  </si>
  <si>
    <t>spprs720</t>
  </si>
  <si>
    <t>VMware-42 3d b5 a4 84 46 63 39-25 20 49 23 43 04 f9 d9</t>
  </si>
  <si>
    <t>spprs780</t>
  </si>
  <si>
    <t>VMware-42 02 f6 b9 ad c1 c6 92-58 b4 9d 0a 90 5d 1c 78</t>
  </si>
  <si>
    <t>spprs781</t>
  </si>
  <si>
    <t>VMware-42 02 d9 02 0b 06 40 53-8c 62 8b 1f d1 56 e8 76</t>
  </si>
  <si>
    <t>spprs782</t>
  </si>
  <si>
    <t>VMware-42 02 2f 25 b7 da 95 5c-cb b1 7f 4a 3f e5 6e 7e</t>
  </si>
  <si>
    <t>spprs790</t>
  </si>
  <si>
    <t>VMware-42 02 11 8c fc 1c 93 25-66 ce 83 36 fd 96 89 d0</t>
  </si>
  <si>
    <t>spprs791</t>
  </si>
  <si>
    <t>VMware-42 02 7c 72 f3 f5 48 88-34 d2 49 d1 ff 72 bd 6a</t>
  </si>
  <si>
    <t>Active Batch</t>
  </si>
  <si>
    <t>txcls941</t>
  </si>
  <si>
    <t>VMware-42 1a e9 c3 87 cc ea 32-fe 01 97 f1 70 97 bc 11</t>
  </si>
  <si>
    <t>txcrs605</t>
  </si>
  <si>
    <t>VMware-42 1a a5 02 53 e0 dd 35-96 8e e2 d3 da de 15 8d</t>
  </si>
  <si>
    <t>txcrs780</t>
  </si>
  <si>
    <t>VMware-42 1a e6 e7 57 a3 51 a3-ba 18 5c 49 71 42 20 35</t>
  </si>
  <si>
    <t>txcrs781</t>
  </si>
  <si>
    <t>VMware-42 1a b3 c4 cf dd fb 36-36 7b 67 1a 31 5e 25 b5</t>
  </si>
  <si>
    <t>txcrs790</t>
  </si>
  <si>
    <t>VMware-42 27 9e 1f 17 08 01 72-17 2b d2 60 61 7d 53 a5</t>
  </si>
  <si>
    <t>anrefa65a</t>
  </si>
  <si>
    <t>MXQ7450315</t>
  </si>
  <si>
    <t>blm874pi1</t>
  </si>
  <si>
    <t>VMware-42 2b 57 b2 b7 b6 41 ef-77 be 3d 9e 4f 3c cf 20</t>
  </si>
  <si>
    <t>elppe9728</t>
  </si>
  <si>
    <t>VMware-42 3d 54 d5 56 38 29 b2-a7 be af 98 65 b7 b6 3e</t>
  </si>
  <si>
    <t>epa650pi1</t>
  </si>
  <si>
    <t>VMware-42 2b 82 a4 57 9a 44 83-85 63 f7 16 e9 c1 78 8a</t>
  </si>
  <si>
    <t>gbrps7474</t>
  </si>
  <si>
    <t>gbrps7498</t>
  </si>
  <si>
    <t>gbrts7474</t>
  </si>
  <si>
    <t>gbrts7498</t>
  </si>
  <si>
    <t>CommVault</t>
  </si>
  <si>
    <t>sacord157</t>
  </si>
  <si>
    <t>sacord180</t>
  </si>
  <si>
    <t>spppe9728</t>
  </si>
  <si>
    <t>al2pwdcp01</t>
  </si>
  <si>
    <t>MXQ638072Y</t>
  </si>
  <si>
    <t>al2pwdcp02</t>
  </si>
  <si>
    <t>MXQ638072Z</t>
  </si>
  <si>
    <t>ancordc001</t>
  </si>
  <si>
    <t>ancordc002</t>
  </si>
  <si>
    <t>bmcordc001</t>
  </si>
  <si>
    <t>bmcordc002</t>
  </si>
  <si>
    <t>erpprdsv15</t>
  </si>
  <si>
    <t>lrcitrix39</t>
  </si>
  <si>
    <t>VMware-42 0b 48 0f 34 19 66 a4-90 fd 02 ad 66 8d 2f f0</t>
  </si>
  <si>
    <t>lrxenapp09</t>
  </si>
  <si>
    <t>VMware-42 0c 89 d7 6b 0a 6d ab-1d ed 9a 70 4b d0 64 64</t>
  </si>
  <si>
    <t>mn01radb01</t>
  </si>
  <si>
    <t>sacora1312</t>
  </si>
  <si>
    <t>sacora1491</t>
  </si>
  <si>
    <t>sacora1498</t>
  </si>
  <si>
    <t>VMware-42 0b 13 e7 21 62 b0 7d-1b 2b dc e3 f3 1c 7a 2b</t>
  </si>
  <si>
    <t>sacora1545</t>
  </si>
  <si>
    <t>0000-0010-6350-1704-5914-7555-54</t>
  </si>
  <si>
    <t>sacora1547</t>
  </si>
  <si>
    <t>0000-0013-6042-6735-3527-3432-36</t>
  </si>
  <si>
    <t>sacora1623</t>
  </si>
  <si>
    <t>sacora1624</t>
  </si>
  <si>
    <t>sacora1641</t>
  </si>
  <si>
    <t>sacora1655</t>
  </si>
  <si>
    <t>sacora1762</t>
  </si>
  <si>
    <t>sacora1985</t>
  </si>
  <si>
    <t>VMware-42 0b 20 05 eb 8a 50 04-fa 98 8c 86 52 3b ff 3a</t>
  </si>
  <si>
    <t>tmp150dp01</t>
  </si>
  <si>
    <t>tmp150pda3</t>
  </si>
  <si>
    <t>tmp150pda4</t>
  </si>
  <si>
    <t>tmp150pdb3</t>
  </si>
  <si>
    <t>tmp150pdb4</t>
  </si>
  <si>
    <t>tmp150pdw5</t>
  </si>
  <si>
    <t>tmp150pdw6</t>
  </si>
  <si>
    <t>Permasense</t>
  </si>
  <si>
    <t>blm874cvd03</t>
  </si>
  <si>
    <t>blm874cvd04</t>
  </si>
  <si>
    <t>VMware-42 3d c6 b0 01 54 9c 8b-02 48 56 93 ef 41 45 71</t>
  </si>
  <si>
    <t>blm874cvm01</t>
  </si>
  <si>
    <t>blm874indx2</t>
  </si>
  <si>
    <t>VMware-56 4d e4 36 6e 50 07 04-6e 88 39 3b ec ea 1a 92</t>
  </si>
  <si>
    <t>bp1larap021</t>
  </si>
  <si>
    <t>VMware-42 2d 37 85 9d 50 f1 57-38 5c dd 39 6d 5d a3 10</t>
  </si>
  <si>
    <t>bp1larap022</t>
  </si>
  <si>
    <t>USE943N0S9</t>
  </si>
  <si>
    <t>YAMB</t>
  </si>
  <si>
    <t>cl1vwasp203</t>
  </si>
  <si>
    <t>cl1vwasp204</t>
  </si>
  <si>
    <t>Network Monitoring</t>
  </si>
  <si>
    <t>cl1vwasp209</t>
  </si>
  <si>
    <t>cl1vwasp220</t>
  </si>
  <si>
    <t>cl1vwasp228</t>
  </si>
  <si>
    <t>cl1vwasp230</t>
  </si>
  <si>
    <t>cl1vwasp231</t>
  </si>
  <si>
    <t>cl1vwasp232</t>
  </si>
  <si>
    <t>1099 Pro</t>
  </si>
  <si>
    <t>cl1vwasp900</t>
  </si>
  <si>
    <t>cl1vwasp901</t>
  </si>
  <si>
    <t>cl1vwasp902</t>
  </si>
  <si>
    <t>cl1vwasp903</t>
  </si>
  <si>
    <t>cl1vwasp904</t>
  </si>
  <si>
    <t>cl1vwasp906</t>
  </si>
  <si>
    <t>cl1vwasp907</t>
  </si>
  <si>
    <t>cl1vwdbp003</t>
  </si>
  <si>
    <t>cl1vwdbp801</t>
  </si>
  <si>
    <t>cl1vwdcp001</t>
  </si>
  <si>
    <t>cl1vwxsp009</t>
  </si>
  <si>
    <t>cl1vwxsp010</t>
  </si>
  <si>
    <t>cl1vwxsp011</t>
  </si>
  <si>
    <t>cl1vwxsp012</t>
  </si>
  <si>
    <t>cl1vwxsp013</t>
  </si>
  <si>
    <t>cl1vwxsp014</t>
  </si>
  <si>
    <t>cl1vwxsp015</t>
  </si>
  <si>
    <t>cl1vwxsp016</t>
  </si>
  <si>
    <t>cl1vwxsp200</t>
  </si>
  <si>
    <t>cl1vwxsp201</t>
  </si>
  <si>
    <t>cl1vwxsp211</t>
  </si>
  <si>
    <t>cl1vwxsp212</t>
  </si>
  <si>
    <t>dencordc001</t>
  </si>
  <si>
    <t>epa212app02</t>
  </si>
  <si>
    <t>VMware-42 3d 47 02 42 b6 2c 29-ae 6a 13 ae 44 24 51 67</t>
  </si>
  <si>
    <t>epa212piv01</t>
  </si>
  <si>
    <t>VMware-42 3d 84 21 26 e6 92 91-1a 06 47 c4 94 af c6 20</t>
  </si>
  <si>
    <t>epa212pri01</t>
  </si>
  <si>
    <t>VMware-42 3d 8b b6 2b e7 0b f5-d1 71 cf ff 3b 7e 5f 5d</t>
  </si>
  <si>
    <t>epa650indx3</t>
  </si>
  <si>
    <t>VMware-56 4d d7 0d 77 aa fb 01-97 ed b6 60 bb e0 31 9f</t>
  </si>
  <si>
    <t>gal873pri01</t>
  </si>
  <si>
    <t>VMware-42 3d 34 73 95 d5 c8 ca-1d 82 f3 da 96 04 2e 5f</t>
  </si>
  <si>
    <t>mps6840-old</t>
  </si>
  <si>
    <t>mps6840-old.mgroupnet.com</t>
  </si>
  <si>
    <t>tmp150cvm01</t>
  </si>
  <si>
    <t>tu1vwasp046</t>
  </si>
  <si>
    <t>tu1vwasp113</t>
  </si>
  <si>
    <t>tu1vwasp114</t>
  </si>
  <si>
    <t>VMware-42 0e d4 fe 0f ac b6 e3-91 61 ea 23 6f 48 b4 15</t>
  </si>
  <si>
    <t>tu1vwasp115</t>
  </si>
  <si>
    <t>VMware-42 0e dd 7e 47 5f 4a 4f-9c 0d 1c 5b 8d f3 6c d1</t>
  </si>
  <si>
    <t>tu1vwasp116</t>
  </si>
  <si>
    <t>tu1vwasp117</t>
  </si>
  <si>
    <t>VMware-42 0e 5e 40 d3 cc 10 97-51 03 77 08 a2 fd 7e b0</t>
  </si>
  <si>
    <t>tu1vwasp118</t>
  </si>
  <si>
    <t>VMware-42 0e e3 a8 10 59 9a e3-2f 9e 83 d8 7c 55 ca 40</t>
  </si>
  <si>
    <t>tu1vwasp119</t>
  </si>
  <si>
    <t>tu1vwdbp023</t>
  </si>
  <si>
    <t>Production</t>
  </si>
  <si>
    <t>tu1vwwsp006</t>
  </si>
  <si>
    <t>tu1vwwsp007</t>
  </si>
  <si>
    <t>cl1vwasppn07</t>
  </si>
  <si>
    <t>cl1vwastmt01</t>
  </si>
  <si>
    <t>cl1vwastmw02</t>
  </si>
  <si>
    <t>cl1vwastmw04</t>
  </si>
  <si>
    <t>cl1vwdcp002a</t>
  </si>
  <si>
    <t>epa212aval01</t>
  </si>
  <si>
    <t>VMware-42 3d 50 fc b3 88 31 13-b9 36 36 b7 f6 ce c1 c4</t>
  </si>
  <si>
    <t>epa212avnt01</t>
  </si>
  <si>
    <t>VMware-42 3d 56 a9 8d bc fa 66-ac 2b 02 f2 13 e0 80 c3</t>
  </si>
  <si>
    <t>epa212inte01</t>
  </si>
  <si>
    <t>VMware-42 3d 22 3f 5b 16 8c 18-0f a4 0a 7f 51 bc f4 bc</t>
  </si>
  <si>
    <t>tmp150nprt01</t>
  </si>
  <si>
    <t>tmp150qlkp01</t>
  </si>
  <si>
    <t>tmp150qlkv01</t>
  </si>
  <si>
    <t>tmp150qlkw01</t>
  </si>
  <si>
    <t>tu1vwaspi301</t>
  </si>
  <si>
    <t>tu1vwaspj101</t>
  </si>
  <si>
    <t>tu1vwaspj102</t>
  </si>
  <si>
    <t>tu1vwaspj103</t>
  </si>
  <si>
    <t>tu1vxaspw101</t>
  </si>
  <si>
    <t>tu1vxaspw101.tesoropetroleum.com</t>
  </si>
  <si>
    <t>tu1vxaspw102</t>
  </si>
  <si>
    <t>tu1vxaspw102.tesoropetroleum.com</t>
  </si>
  <si>
    <t>SAP SLT</t>
  </si>
  <si>
    <t>tmp150etw0101</t>
  </si>
  <si>
    <t>tmp150etw0102</t>
  </si>
  <si>
    <t>al1vwoimqdc001</t>
  </si>
  <si>
    <t>cl1vwasfixp001</t>
  </si>
  <si>
    <t>Octopus Deploy - RightAngle</t>
  </si>
  <si>
    <t>Azure Active Directory</t>
  </si>
  <si>
    <t>Name</t>
  </si>
  <si>
    <t>Fully qualified domain name</t>
  </si>
  <si>
    <t>Location</t>
  </si>
  <si>
    <t>Classification</t>
  </si>
  <si>
    <t>Class</t>
  </si>
  <si>
    <t>Operating System</t>
  </si>
  <si>
    <t>OS Version</t>
  </si>
  <si>
    <t>Category</t>
  </si>
  <si>
    <t>Used for</t>
  </si>
  <si>
    <t>IP Address</t>
  </si>
  <si>
    <t>DNS Domain</t>
  </si>
  <si>
    <t>Business owner</t>
  </si>
  <si>
    <t>Email</t>
  </si>
  <si>
    <t>IT Application owner</t>
  </si>
  <si>
    <t>Support group</t>
  </si>
  <si>
    <t>Group email</t>
  </si>
  <si>
    <t>Supported by</t>
  </si>
  <si>
    <t>Business Unit</t>
  </si>
  <si>
    <t>Reboot Notes</t>
  </si>
  <si>
    <t>Serial number</t>
  </si>
  <si>
    <t>SOX Classification</t>
  </si>
  <si>
    <t>Business criticality</t>
  </si>
  <si>
    <t>al1vwoimqdc001.Tesoropetroleum.com</t>
  </si>
  <si>
    <t>MPC Kenai AK Refinery</t>
  </si>
  <si>
    <t>Windows Server</t>
  </si>
  <si>
    <t>Windows 2012 R2 Standard</t>
  </si>
  <si>
    <t>6.3.9600</t>
  </si>
  <si>
    <t>Hardware</t>
  </si>
  <si>
    <t>10.57.2.220</t>
  </si>
  <si>
    <t>tesoropetroleum.com</t>
  </si>
  <si>
    <t>Larry Machniak</t>
  </si>
  <si>
    <t>lpmachniak@marathonpetroleum.com</t>
  </si>
  <si>
    <t>Betsy Buckley</t>
  </si>
  <si>
    <t>bjbuckley@marathonpetroleum.com</t>
  </si>
  <si>
    <t>IT</t>
  </si>
  <si>
    <t>0000-0009-7602-7390-7820-4074-70</t>
  </si>
  <si>
    <t>High</t>
  </si>
  <si>
    <t>AL2PWDCP01.Tesoropetroleum.com</t>
  </si>
  <si>
    <t>10.244.201.126</t>
  </si>
  <si>
    <t>AL2PWDCP02.Tesoropetroleum.com</t>
  </si>
  <si>
    <t>10.244.201.127</t>
  </si>
  <si>
    <t>ancordc001.Tesoropetroleum.com</t>
  </si>
  <si>
    <t>MPC Anacortes WA Refinery</t>
  </si>
  <si>
    <t>10.76.39.126</t>
  </si>
  <si>
    <t>VMware-42 0c d2 1c ef 86 25 3e-8f 46 2b d1 0d 5e bd 1b</t>
  </si>
  <si>
    <t>ancordc002.Tesoropetroleum.com</t>
  </si>
  <si>
    <t>10.76.39.127</t>
  </si>
  <si>
    <t>VMware-42 0c 2d f1 7b f1 95 2b-e7 7f bb bb df a4 86 91</t>
  </si>
  <si>
    <t>ANREFA08.mgroupnet.com</t>
  </si>
  <si>
    <t>10.205.24.134</t>
  </si>
  <si>
    <t>mgroupnet.com</t>
  </si>
  <si>
    <t>Chad Ernst</t>
  </si>
  <si>
    <t>cmernst@marathonpetroleum.com</t>
  </si>
  <si>
    <t>IT-REF-Onsite App Support</t>
  </si>
  <si>
    <t>Joshua Martino</t>
  </si>
  <si>
    <t>jmartino@marathonpetroleum.com</t>
  </si>
  <si>
    <t>Refining</t>
  </si>
  <si>
    <t>Low</t>
  </si>
  <si>
    <t>anrefa14.Tesoropetroleum.com</t>
  </si>
  <si>
    <t>Windows 2016 Standard</t>
  </si>
  <si>
    <t>10.0.14393</t>
  </si>
  <si>
    <t>10.76.51.29</t>
  </si>
  <si>
    <t>Todd Dixon</t>
  </si>
  <si>
    <t>TWDixon@Marathonpetroleum.com</t>
  </si>
  <si>
    <t>David Hollingsworth</t>
  </si>
  <si>
    <t>DHollingsworth@marathonpetroleum.com</t>
  </si>
  <si>
    <t>IT-REF-PI Support</t>
  </si>
  <si>
    <t>Binod Joshi</t>
  </si>
  <si>
    <t>brjoshi@marathonpetroleum.com</t>
  </si>
  <si>
    <t>anrefa28.Tesoropetroleum.com</t>
  </si>
  <si>
    <t>10.76.51.6</t>
  </si>
  <si>
    <t>Rick DeFend</t>
  </si>
  <si>
    <t>rdefend@marathonpetroleum.com</t>
  </si>
  <si>
    <t>Sean Oberle</t>
  </si>
  <si>
    <t>sdoberle@marathonpetroleum.com</t>
  </si>
  <si>
    <t>anrefa60.Tesoropetroleum.com</t>
  </si>
  <si>
    <t>10.76.51.30</t>
  </si>
  <si>
    <t>Bob Force</t>
  </si>
  <si>
    <t>RDForce@Marathonpetroleum.com</t>
  </si>
  <si>
    <t>Timothy Puthoff</t>
  </si>
  <si>
    <t>tdputhoff@marathonpetroleum.com</t>
  </si>
  <si>
    <t>IT-CORP ADMIN-App Support</t>
  </si>
  <si>
    <t>Kevin Sosa</t>
  </si>
  <si>
    <t>KFSosa@marathonpetroleum.com</t>
  </si>
  <si>
    <t>EHS &amp; S -Environmental, Health, Safety and Sustainability</t>
  </si>
  <si>
    <t>Medium</t>
  </si>
  <si>
    <t>Lenel Mustering</t>
  </si>
  <si>
    <t>ANREFA63.Tesoropetroleum.com</t>
  </si>
  <si>
    <t>Genetec - Security Camera</t>
  </si>
  <si>
    <t>10.76.46.56</t>
  </si>
  <si>
    <t>John Wright</t>
  </si>
  <si>
    <t>JRWright@Marathonpetroleum.com</t>
  </si>
  <si>
    <t>Adam Stapleton</t>
  </si>
  <si>
    <t>amstapleton@marathonpetroleum.com</t>
  </si>
  <si>
    <t>Shared Services</t>
  </si>
  <si>
    <t>anrefa64.Tesoropetroleum.com</t>
  </si>
  <si>
    <t>10.76.46.57</t>
  </si>
  <si>
    <t>MXQ7330852</t>
  </si>
  <si>
    <t>anrefa65a.Tesoropetroleum.com</t>
  </si>
  <si>
    <t>10.76.46.60</t>
  </si>
  <si>
    <t>anrefd02.Tesoropetroleum.com</t>
  </si>
  <si>
    <t>'@ptitude Analyst</t>
  </si>
  <si>
    <t>10.76.51.16</t>
  </si>
  <si>
    <t>Robby Jackson</t>
  </si>
  <si>
    <t>rpjackson@marathonpetroleum.com</t>
  </si>
  <si>
    <t>Jeremy Scheiderer</t>
  </si>
  <si>
    <t>JScheiderer@marathonpetroleum.com</t>
  </si>
  <si>
    <t>IT-REF-Reliability Support</t>
  </si>
  <si>
    <t>anrefd03.mgroupnet.com</t>
  </si>
  <si>
    <t>10.205.24.37</t>
  </si>
  <si>
    <t>anrefd05.Tesoropetroleum.com</t>
  </si>
  <si>
    <t>DynAMo Metrics and Reporting</t>
  </si>
  <si>
    <t>10.76.46.54</t>
  </si>
  <si>
    <t>Dustin Wolfe</t>
  </si>
  <si>
    <t>djwolfe@marathonpetroleum.com</t>
  </si>
  <si>
    <t>Andrew Yarnell</t>
  </si>
  <si>
    <t>atyarnell@marathonpetroleum.com</t>
  </si>
  <si>
    <t>DynAMo Documentation and Enforcement</t>
  </si>
  <si>
    <t>anrefi04.Tesoropetroleum.com</t>
  </si>
  <si>
    <t>10.76.51.13</t>
  </si>
  <si>
    <t>CNotes</t>
  </si>
  <si>
    <t>ANRRS720.mgroupnet.com</t>
  </si>
  <si>
    <t>CODESOFT</t>
  </si>
  <si>
    <t>10.205.24.116</t>
  </si>
  <si>
    <t>Gail Watts</t>
  </si>
  <si>
    <t>gawatts@marathonpetroleum.com</t>
  </si>
  <si>
    <t>IT-REF-LIMS Support</t>
  </si>
  <si>
    <t>Alfredo Calderon</t>
  </si>
  <si>
    <t>AACalderon@Marathonpetroleum.com</t>
  </si>
  <si>
    <t>Rene Lopez</t>
  </si>
  <si>
    <t>RJLopez@Marathonpetroleum.com</t>
  </si>
  <si>
    <t>ANRRS780.mgroupnet.com</t>
  </si>
  <si>
    <t>10.205.24.10</t>
  </si>
  <si>
    <t>ANRRS782.mgroupnet.com</t>
  </si>
  <si>
    <t>10.205.24.14</t>
  </si>
  <si>
    <t>ANRRS790.mgroupnet.com</t>
  </si>
  <si>
    <t>Seeq - REF Central</t>
  </si>
  <si>
    <t>10.205.24.11</t>
  </si>
  <si>
    <t>Brian Wagoner</t>
  </si>
  <si>
    <t>bwagoner@marathonpetroleum.com</t>
  </si>
  <si>
    <t>ANRRS791.mgroupnet.com</t>
  </si>
  <si>
    <t>10.205.24.15</t>
  </si>
  <si>
    <t>anrrs935</t>
  </si>
  <si>
    <t>ANRRS935.mgroupnet.com</t>
  </si>
  <si>
    <t>Windows 2019 Standard</t>
  </si>
  <si>
    <t>10.0.17763</t>
  </si>
  <si>
    <t>10.205.24.25</t>
  </si>
  <si>
    <t>VMware-42 06 8a 34 74 2f 12 f0-39 1f 45 6e e6 e1 0e fe</t>
  </si>
  <si>
    <t>SAFER One</t>
  </si>
  <si>
    <t>IT-REF-SafetySecurity Support</t>
  </si>
  <si>
    <t>SAFER Weather External Website Update</t>
  </si>
  <si>
    <t>Mark Keiper</t>
  </si>
  <si>
    <t>MAKeiper@Marathonpetroleum.com</t>
  </si>
  <si>
    <t>BLM874CVD03.wr.westernrefining.net</t>
  </si>
  <si>
    <t>MPC Bloomfield NM</t>
  </si>
  <si>
    <t>10.9.30.48</t>
  </si>
  <si>
    <t>Ron Sawyer</t>
  </si>
  <si>
    <t>RoSawyer@marathonpetroleum.com</t>
  </si>
  <si>
    <t>VMware-42 3d 80 54 47 68 3c 8d-8b 97 f6 b1 9c 17 4a a5</t>
  </si>
  <si>
    <t>BLM874CVD04.Tesoropetroleum.com</t>
  </si>
  <si>
    <t>10.9.30.52</t>
  </si>
  <si>
    <t>BLM874CVM01.Tesoropetroleum.com</t>
  </si>
  <si>
    <t>10.9.30.54</t>
  </si>
  <si>
    <t>VMware-56 4d 2b 99 f0 de a7 0c-8c 37 5b 87 2a 92 9e 23</t>
  </si>
  <si>
    <t>BLM874INDX2.Tesoropetroleum.com</t>
  </si>
  <si>
    <t>Windows 2008 R2 Enterprise</t>
  </si>
  <si>
    <t>6.1.7601</t>
  </si>
  <si>
    <t>PI System - Terminals</t>
  </si>
  <si>
    <t>10.9.30.41</t>
  </si>
  <si>
    <t>Donny McClung</t>
  </si>
  <si>
    <t>dmcclung@marathonpetroleum.com</t>
  </si>
  <si>
    <t>Toby Gardner</t>
  </si>
  <si>
    <t>TAGardner@marathonpetroleum.com</t>
  </si>
  <si>
    <t>David Lopert</t>
  </si>
  <si>
    <t>DWLopert@marathonpetroleum.com</t>
  </si>
  <si>
    <t>Midstream</t>
  </si>
  <si>
    <t>BLM874PI1.Tesoropetroleum.com</t>
  </si>
  <si>
    <t>10.9.30.47</t>
  </si>
  <si>
    <t>BMCORDC001.Tesoropetroleum.com</t>
  </si>
  <si>
    <t>MPC El Paso TX Refinery</t>
  </si>
  <si>
    <t>10.248.19.50</t>
  </si>
  <si>
    <t>VMware-56 4d ff 64 24 c1 75 39-af 4e ae b1 9c 9d 76 7c</t>
  </si>
  <si>
    <t>BMCORDC002.Tesoropetroleum.com</t>
  </si>
  <si>
    <t>10.248.19.51</t>
  </si>
  <si>
    <t>VMware-42 3d ab 2c d4 ce c1 ca-3b 86 5d d5 1a a6 86 d9</t>
  </si>
  <si>
    <t>bp1larap021.Tesoropetroleum.com</t>
  </si>
  <si>
    <t>MPC Los Angeles CA Refinery</t>
  </si>
  <si>
    <t>ADMS</t>
  </si>
  <si>
    <t>10.100.45.133</t>
  </si>
  <si>
    <t>Franco Melloni</t>
  </si>
  <si>
    <t>FPMelloni@Marathonpetroleum.com</t>
  </si>
  <si>
    <t>Michael Kingsmill</t>
  </si>
  <si>
    <t>mwkingsmill@marathonpetroleum.com</t>
  </si>
  <si>
    <t>Senthil Esakki</t>
  </si>
  <si>
    <t>SEsakki@Marathonpetroleum.com</t>
  </si>
  <si>
    <t>bp1larap022.Tesoropetroleum.com</t>
  </si>
  <si>
    <t>Windows 2003 Enterprise</t>
  </si>
  <si>
    <t>5.2.3790</t>
  </si>
  <si>
    <t>10.114.5.224</t>
  </si>
  <si>
    <t>CANLS941.mgroupnet.com</t>
  </si>
  <si>
    <t>MPC Canton OH Refinery</t>
  </si>
  <si>
    <t>Sample Manager</t>
  </si>
  <si>
    <t>10.192.96.204</t>
  </si>
  <si>
    <t>Integration Manager</t>
  </si>
  <si>
    <t>Bill Cottington</t>
  </si>
  <si>
    <t>wjcottington@marathonpetroleum.com</t>
  </si>
  <si>
    <t>CANRS254.mgroupnet.com</t>
  </si>
  <si>
    <t>OrdStandardDrawings</t>
  </si>
  <si>
    <t>10.192.0.54</t>
  </si>
  <si>
    <t>Oistein Andreassen</t>
  </si>
  <si>
    <t>OAndreassen@marathonpetroleum.com</t>
  </si>
  <si>
    <t>PSM</t>
  </si>
  <si>
    <t>PSI</t>
  </si>
  <si>
    <t>Darin Barber</t>
  </si>
  <si>
    <t>djbarber@marathonpetroleum.com</t>
  </si>
  <si>
    <t>Tim Heck</t>
  </si>
  <si>
    <t>teheck@marathonpetroleum.com</t>
  </si>
  <si>
    <t>Managed Content</t>
  </si>
  <si>
    <t>Ryan Pickerel</t>
  </si>
  <si>
    <t>rpickerel@marathonpetroleum.com</t>
  </si>
  <si>
    <t>PJNPackageList</t>
  </si>
  <si>
    <t>Beverly Long</t>
  </si>
  <si>
    <t>bylong@marathonpetroleum.com</t>
  </si>
  <si>
    <t>CANRS401.mgroupnet.com</t>
  </si>
  <si>
    <t>Report Exec</t>
  </si>
  <si>
    <t>10.192.0.141</t>
  </si>
  <si>
    <t>Mary Hrncir</t>
  </si>
  <si>
    <t>MKHrncir@marathonpetroleum.com</t>
  </si>
  <si>
    <t>PhoneDirectory</t>
  </si>
  <si>
    <t>Operations Information Center</t>
  </si>
  <si>
    <t>Michael Maron</t>
  </si>
  <si>
    <t>mjmaron@marathonpetroleum.com</t>
  </si>
  <si>
    <t>TardyReport</t>
  </si>
  <si>
    <t>Jamie Mandeville</t>
  </si>
  <si>
    <t>jemandeville@marathonpetroleum.com</t>
  </si>
  <si>
    <t>Ed Malinowski</t>
  </si>
  <si>
    <t>ejmalinowski@marathonpetroleum.com</t>
  </si>
  <si>
    <t>Human Capital Management - HR</t>
  </si>
  <si>
    <t>ReportOffs</t>
  </si>
  <si>
    <t>Jake Miller</t>
  </si>
  <si>
    <t>JaMiller3@marathonpetroleum.com</t>
  </si>
  <si>
    <t>ExcellentDays</t>
  </si>
  <si>
    <t>Training Information Center</t>
  </si>
  <si>
    <t>PassItUp</t>
  </si>
  <si>
    <t>CANRS605.mgroupnet.com</t>
  </si>
  <si>
    <t>Document Librarian</t>
  </si>
  <si>
    <t>10.192.0.165</t>
  </si>
  <si>
    <t>Joshua West</t>
  </si>
  <si>
    <t>JWest@marathonpetroleum.com</t>
  </si>
  <si>
    <t>IT-REF-Document Management</t>
  </si>
  <si>
    <t>canrs651</t>
  </si>
  <si>
    <t>CANRS651.mgroupnet.com</t>
  </si>
  <si>
    <t>Windows 2008 R2 Standard</t>
  </si>
  <si>
    <t>10.192.0.111</t>
  </si>
  <si>
    <t>Haley Ilg</t>
  </si>
  <si>
    <t>HaIlg@marathonpetroleum.com</t>
  </si>
  <si>
    <t>IT-REF-Leakdas Support</t>
  </si>
  <si>
    <t>Sandy Perry</t>
  </si>
  <si>
    <t>SDPerry@Marathonpetroleum.com</t>
  </si>
  <si>
    <t>VMware-42 3b c5 d8 5e cd 1f c4-87 e9 a8 09 99 dc 99 31</t>
  </si>
  <si>
    <t>CANRS652.mgroupnet.com</t>
  </si>
  <si>
    <t>10.192.0.112</t>
  </si>
  <si>
    <t>CANRS653.mgroupnet.com</t>
  </si>
  <si>
    <t>10.192.0.113</t>
  </si>
  <si>
    <t>CANRS780.mgroupnet.com</t>
  </si>
  <si>
    <t>10.192.0.80</t>
  </si>
  <si>
    <t>CANRS781.mgroupnet.com</t>
  </si>
  <si>
    <t>10.192.0.81</t>
  </si>
  <si>
    <t>CANRS782.mgroupnet.com</t>
  </si>
  <si>
    <t>10.192.0.82</t>
  </si>
  <si>
    <t>CANRS790.mgroupnet.com</t>
  </si>
  <si>
    <t>10.192.0.90</t>
  </si>
  <si>
    <t>CANRS791.mgroupnet.com</t>
  </si>
  <si>
    <t>10.192.0.91</t>
  </si>
  <si>
    <t>CANRS929.mgroupnet.com</t>
  </si>
  <si>
    <t>10.192.0.129</t>
  </si>
  <si>
    <t>CBDRS401.mgroupnet.com</t>
  </si>
  <si>
    <t>MPLS Cincinnati OH Bioref</t>
  </si>
  <si>
    <t>10.190.101.49</t>
  </si>
  <si>
    <t>CBDRS780.mgroupnet.com</t>
  </si>
  <si>
    <t>10.190.101.19</t>
  </si>
  <si>
    <t>CBDRS781.mgroupnet.com</t>
  </si>
  <si>
    <t>10.190.101.20</t>
  </si>
  <si>
    <t>CBDRS782.mgroupnet.com</t>
  </si>
  <si>
    <t>10.190.101.21</t>
  </si>
  <si>
    <t>cbgls941</t>
  </si>
  <si>
    <t>CBGLS941.mgroupnet.com</t>
  </si>
  <si>
    <t>MPC Catlettsburg KY Refinery Plant</t>
  </si>
  <si>
    <t>10.194.103.105</t>
  </si>
  <si>
    <t>VMware-42 05 69 26 39 c0 25 89-41 1a ee 52 a1 dc 93 7e</t>
  </si>
  <si>
    <t>CBGRS401.mgroupnet.com</t>
  </si>
  <si>
    <t>10.194.2.249</t>
  </si>
  <si>
    <t xml:space="preserve">RAD Procedural Checklist System </t>
  </si>
  <si>
    <t>Tank Verification</t>
  </si>
  <si>
    <t>Tracie McCall</t>
  </si>
  <si>
    <t>tdmccall@marathonpetroleum.com</t>
  </si>
  <si>
    <t>Greg Preece</t>
  </si>
  <si>
    <t>gpreece@marathonpetroleum.com</t>
  </si>
  <si>
    <t>PE2</t>
  </si>
  <si>
    <t>IT-REF-Project Systems</t>
  </si>
  <si>
    <t>Nathan Stewart</t>
  </si>
  <si>
    <t>nstewart@marathonpetroleum.com</t>
  </si>
  <si>
    <t>Products Control Planning</t>
  </si>
  <si>
    <t>RTD Info Center</t>
  </si>
  <si>
    <t>Robert Hargraves</t>
  </si>
  <si>
    <t>rjhargraves@marathonpetroleum.com</t>
  </si>
  <si>
    <t>ePSI</t>
  </si>
  <si>
    <t>RAD Environmental Tube Tracking</t>
  </si>
  <si>
    <t>RAD Request System</t>
  </si>
  <si>
    <t>Refining Control Lab Request System</t>
  </si>
  <si>
    <t>PJN</t>
  </si>
  <si>
    <t>Heather Boehler</t>
  </si>
  <si>
    <t>HeBoehler@marathonpetroleum.com</t>
  </si>
  <si>
    <t>Safety Action Plan</t>
  </si>
  <si>
    <t>CBGRS605.mgroupnet.com</t>
  </si>
  <si>
    <t>10.194.2.26</t>
  </si>
  <si>
    <t>CBGRS652.mgroupnet.com</t>
  </si>
  <si>
    <t>10.194.1.52</t>
  </si>
  <si>
    <t>CBGRS653.mgroupnet.com</t>
  </si>
  <si>
    <t>10.194.1.153</t>
  </si>
  <si>
    <t>CBGRS780.mgroupnet.com</t>
  </si>
  <si>
    <t>10.194.3.14</t>
  </si>
  <si>
    <t>CBGRS781.mgroupnet.com</t>
  </si>
  <si>
    <t>10.194.3.15</t>
  </si>
  <si>
    <t>CBGRS782.mgroupnet.com</t>
  </si>
  <si>
    <t>10.194.3.16</t>
  </si>
  <si>
    <t>CBGRS790.mgroupnet.com</t>
  </si>
  <si>
    <t>10.194.0.90</t>
  </si>
  <si>
    <t>CBGRS791.mgroupnet.com</t>
  </si>
  <si>
    <t>10.194.0.91</t>
  </si>
  <si>
    <t>CBGRS903.mgroupnet.com</t>
  </si>
  <si>
    <t>Fire Protection Impairment Permit</t>
  </si>
  <si>
    <t>10.194.2.3</t>
  </si>
  <si>
    <t>CBGRS929.mgroupnet.com</t>
  </si>
  <si>
    <t>10.194.1.29</t>
  </si>
  <si>
    <t>CBGRS961.mgroupnet.com</t>
  </si>
  <si>
    <t>Fuel Master</t>
  </si>
  <si>
    <t>10.194.2.97</t>
  </si>
  <si>
    <t>CL1VWASFIXP001.Tesoropetroleum.com</t>
  </si>
  <si>
    <t>MPC San Antonio TX</t>
  </si>
  <si>
    <t>Windows 2016 Datacenter</t>
  </si>
  <si>
    <t>10.70.33.103</t>
  </si>
  <si>
    <t>Brian Hyde</t>
  </si>
  <si>
    <t>bhyde@marathonpetroleum.com</t>
  </si>
  <si>
    <t>Nathan Kirkland</t>
  </si>
  <si>
    <t>NKirkland@marathonpetroleum.com</t>
  </si>
  <si>
    <t>George Varsamopoulos</t>
  </si>
  <si>
    <t>GVarsamopoulos@Marathonpetroleum.com</t>
  </si>
  <si>
    <t>ec255e05-385f-f76e-7bd6-cb82cd1ed622</t>
  </si>
  <si>
    <t>CL1VWASP203.Tesoropetroleum.com</t>
  </si>
  <si>
    <t>Power BI</t>
  </si>
  <si>
    <t>10.70.36.39</t>
  </si>
  <si>
    <t>Mahesh Gune</t>
  </si>
  <si>
    <t>MSGune@Marathonpetroleum.com</t>
  </si>
  <si>
    <t>IT-ANALYT-Data, Analytics &amp; Business Intelligence</t>
  </si>
  <si>
    <t>Ramesh Kancheti</t>
  </si>
  <si>
    <t>RBKancheti@Marathonpetroleum.com</t>
  </si>
  <si>
    <t>ec21bb38-73c3-3729-37b3-b097ea033989</t>
  </si>
  <si>
    <t>CL1VWASP204.Tesoropetroleum.com</t>
  </si>
  <si>
    <t>10.70.37.17</t>
  </si>
  <si>
    <t>ec2f26ae-e5fe-3a4d-0d2d-2ce9b947eb7f</t>
  </si>
  <si>
    <t>CL1VWASP209.Tesoropetroleum.com</t>
  </si>
  <si>
    <t>STAR - ANDX</t>
  </si>
  <si>
    <t>10.70.52.206</t>
  </si>
  <si>
    <t>Crystal Gomez</t>
  </si>
  <si>
    <t>CGomez2@marathonpetroleum.com</t>
  </si>
  <si>
    <t>Jonathan Franks</t>
  </si>
  <si>
    <t>jrfranks@marathonpetroleum.com</t>
  </si>
  <si>
    <t>IT-MPL-Legacy ANDX App Support</t>
  </si>
  <si>
    <t>Rao Vedurumudi</t>
  </si>
  <si>
    <t>RVedurumudi@marathonpetroleum.com</t>
  </si>
  <si>
    <t>ec2b934b-9b1c-1167-a245-482d085ea314</t>
  </si>
  <si>
    <t>CL1VWASP220.Tesoropetroleum.com</t>
  </si>
  <si>
    <t>TLLP Connect - ANDX</t>
  </si>
  <si>
    <t>10.70.33.192</t>
  </si>
  <si>
    <t>Sheldon Unruh</t>
  </si>
  <si>
    <t>SUnruh@marathonpetroleum.com</t>
  </si>
  <si>
    <t>ec29c1fd-a126-c150-138b-9c373062990e</t>
  </si>
  <si>
    <t>CL1VWASP228.Tesoropetroleum.com</t>
  </si>
  <si>
    <t>Symantec Endpoint Protection</t>
  </si>
  <si>
    <t>10.70.32.8</t>
  </si>
  <si>
    <t>Anne Henderson</t>
  </si>
  <si>
    <t>AEHenderson@marathonpetroleum.com</t>
  </si>
  <si>
    <t>ec2cb829-1761-3386-9a3b-e652f8ec02c0</t>
  </si>
  <si>
    <t>CL1VWASP230.wr.westernrefining.net</t>
  </si>
  <si>
    <t>JDE - WNR</t>
  </si>
  <si>
    <t>10.70.33.250</t>
  </si>
  <si>
    <t>Kelly Wright</t>
  </si>
  <si>
    <t>KDWright@Marathonpetroleum.com</t>
  </si>
  <si>
    <t>Max Walters</t>
  </si>
  <si>
    <t>MCWalters@Marathonpetroleum.com</t>
  </si>
  <si>
    <t>AMS-2.0-Non-SAP-Corporate</t>
  </si>
  <si>
    <t>Shekhar Sinha</t>
  </si>
  <si>
    <t>SSinha@Marathonpetroleum.com</t>
  </si>
  <si>
    <t>Finance</t>
  </si>
  <si>
    <t>ec2517c0-6df2-f53b-038a-36857b8b5aed</t>
  </si>
  <si>
    <t>CL1VWASP231.Tesoropetroleum.com</t>
  </si>
  <si>
    <t>eLogger</t>
  </si>
  <si>
    <t>10.70.33.28</t>
  </si>
  <si>
    <t>IT-REF-Ops, ES&amp;S Central Apps Support </t>
  </si>
  <si>
    <t>ec2fee8a-e182-c43f-b4e4-ca887e671e8f</t>
  </si>
  <si>
    <t>CL1VWASP232.Tesoropetroleum.com</t>
  </si>
  <si>
    <t>10.70.33.170</t>
  </si>
  <si>
    <t>Amanda Tellez</t>
  </si>
  <si>
    <t>ALTellez@Marathonpetroleum.com</t>
  </si>
  <si>
    <t>Kevin Huelsman</t>
  </si>
  <si>
    <t>kjhuelsman@marathonpetroleum.com</t>
  </si>
  <si>
    <t>IT-TAX-App Support</t>
  </si>
  <si>
    <t>Jeff Stoll</t>
  </si>
  <si>
    <t>JStoll2@marathonpetroleum.com</t>
  </si>
  <si>
    <t>ec2f2208-3641-1fd6-8e53-23048289cc2c</t>
  </si>
  <si>
    <t>CL1VWASP900.Tesoropetroleum.com</t>
  </si>
  <si>
    <t>10.70.49.69</t>
  </si>
  <si>
    <t>ec2b1596-ffdc-2fa6-59fa-c9af33a9f5dd</t>
  </si>
  <si>
    <t>CL1VWASP901.Tesoropetroleum.com</t>
  </si>
  <si>
    <t>Windows 2012 Standard</t>
  </si>
  <si>
    <t>6.2.9200</t>
  </si>
  <si>
    <t>10.70.48.218</t>
  </si>
  <si>
    <t>ec23529b-1326-56b8-6f6a-80a34cab6f1f</t>
  </si>
  <si>
    <t>CL1VWASP902.wr.westernrefining.net</t>
  </si>
  <si>
    <t>10.70.48.48</t>
  </si>
  <si>
    <t>ec20d948-776d-7890-ebef-5b062984201f</t>
  </si>
  <si>
    <t>CL1VWASP903.Tesoropetroleum.com</t>
  </si>
  <si>
    <t>10.70.48.220</t>
  </si>
  <si>
    <t>ec2fc112-9ddb-db64-b00d-3a413f4334b2</t>
  </si>
  <si>
    <t>CL1VWASP904.Tesoropetroleum.com</t>
  </si>
  <si>
    <t>10.70.48.7</t>
  </si>
  <si>
    <t>ec24df38-5c7c-acb2-d755-41a8865f6040</t>
  </si>
  <si>
    <t>CL1VWASP906.Tesoropetroleum.com</t>
  </si>
  <si>
    <t>10.70.48.101</t>
  </si>
  <si>
    <t>ec29d4c4-152b-d777-6995-9780a5fe40b4</t>
  </si>
  <si>
    <t>CL1VWASP907.Tesoropetroleum.com</t>
  </si>
  <si>
    <t>10.70.49.3</t>
  </si>
  <si>
    <t>ec2e1ea3-6c7a-7625-2a9a-ffc3327f2bd7</t>
  </si>
  <si>
    <t>CL1VWASPPN07.Tesoropetroleum.com</t>
  </si>
  <si>
    <t>TotalMail</t>
  </si>
  <si>
    <t>10.70.33.26</t>
  </si>
  <si>
    <t>ec2ee89d-863c-2467-1bd5-da3266634584</t>
  </si>
  <si>
    <t>CL1VWASTMT01.Tesoropetroleum.com</t>
  </si>
  <si>
    <t>10.70.51.17</t>
  </si>
  <si>
    <t>Andrew Sechrist</t>
  </si>
  <si>
    <t>AJSechrist@Marathonpetroleum.com</t>
  </si>
  <si>
    <t>ec2f857c-5290-061e-bd13-1a0030424731</t>
  </si>
  <si>
    <t>CL1VWASTMW02.Tesoropetroleum.com</t>
  </si>
  <si>
    <t>10.70.50.121</t>
  </si>
  <si>
    <t>ec259a2a-312f-8d13-a624-6b272e345e6e</t>
  </si>
  <si>
    <t>CL1VWASTMW04.Tesoropetroleum.com</t>
  </si>
  <si>
    <t>10.70.50.170</t>
  </si>
  <si>
    <t>ec20af3f-f71f-7cfe-a9cf-7744bba0b0bd</t>
  </si>
  <si>
    <t>CL1VWDBP003.Tesoropetroleum.com</t>
  </si>
  <si>
    <t>10.70.18.86</t>
  </si>
  <si>
    <t>ec27bd22-84e6-421c-d5e2-0ed62a8ad433</t>
  </si>
  <si>
    <t>CL1VWDBP801.wr.westernrefining.net</t>
  </si>
  <si>
    <t>10.70.56.53</t>
  </si>
  <si>
    <t>ec2f903b-6ffb-64ed-1a75-256a7d1dfbc2</t>
  </si>
  <si>
    <t>CL1VWDCP001.Tesoropetroleum.com</t>
  </si>
  <si>
    <t>10.70.37.79</t>
  </si>
  <si>
    <t>ec2cbc4b-eda9-c490-87df-4c7436efc1fe</t>
  </si>
  <si>
    <t>CL1VWDCP002A.Tesoropetroleum.com</t>
  </si>
  <si>
    <t>10.70.32.179</t>
  </si>
  <si>
    <t>ec2983bf-62c1-556a-30a4-4ba3bf10d3e2</t>
  </si>
  <si>
    <t>CL1VWXSP009.Tesoropetroleum.com</t>
  </si>
  <si>
    <t>10.70.10.57</t>
  </si>
  <si>
    <t>ec25e111-4027-69b0-267a-b03329c211fb</t>
  </si>
  <si>
    <t>PC Miler</t>
  </si>
  <si>
    <t>CL1VWXSP010.Tesoropetroleum.com</t>
  </si>
  <si>
    <t>10.70.11.101</t>
  </si>
  <si>
    <t>ec22e8cb-b793-d8a3-d948-2026cb2542cd</t>
  </si>
  <si>
    <t>CL1VWXSP011.Tesoropetroleum.com</t>
  </si>
  <si>
    <t>10.70.10.136</t>
  </si>
  <si>
    <t>ec287195-19ad-2c42-0a4e-8121d10273e5</t>
  </si>
  <si>
    <t>CL1VWXSP012.Tesoropetroleum.com</t>
  </si>
  <si>
    <t>10.70.10.111</t>
  </si>
  <si>
    <t>ec2bd2a5-dec2-7096-5cb8-8b9dc1666f55</t>
  </si>
  <si>
    <t>CL1VWXSP013.Tesoropetroleum.com</t>
  </si>
  <si>
    <t>10.70.35.42</t>
  </si>
  <si>
    <t>ec23efc3-1162-b71d-ccb3-f48a835c4788</t>
  </si>
  <si>
    <t>CL1VWXSP014.Tesoropetroleum.com</t>
  </si>
  <si>
    <t>10.70.35.68</t>
  </si>
  <si>
    <t>ec2d7f57-b1cf-a29e-86f2-22136213f80b</t>
  </si>
  <si>
    <t>CL1VWXSP015.Tesoropetroleum.com</t>
  </si>
  <si>
    <t>10.70.35.160</t>
  </si>
  <si>
    <t>ec203ca1-3341-e47d-cf58-859621594ff2</t>
  </si>
  <si>
    <t>CL1VWXSP016.Tesoropetroleum.com</t>
  </si>
  <si>
    <t>10.70.35.103</t>
  </si>
  <si>
    <t>ec257dc0-6983-ef1b-50fa-4e2a8c8ccfee</t>
  </si>
  <si>
    <t>CL1VWXSP200.Tesoropetroleum.com</t>
  </si>
  <si>
    <t>10.70.49.65</t>
  </si>
  <si>
    <t>ec25a5a3-a8ce-e5f4-0183-ff4867f7903a</t>
  </si>
  <si>
    <t>CL1VWXSP201.Tesoropetroleum.com</t>
  </si>
  <si>
    <t>10.70.50.196</t>
  </si>
  <si>
    <t>ec2dc6a0-0ca2-4a76-6ed9-5e2e481abcef</t>
  </si>
  <si>
    <t>CL1VWXSP211.Tesoropetroleum.com</t>
  </si>
  <si>
    <t>10.70.37.179</t>
  </si>
  <si>
    <t>ec22a947-cdf3-fad6-55a5-e37d4d10c431</t>
  </si>
  <si>
    <t>CL1VWXSP212.Tesoropetroleum.com</t>
  </si>
  <si>
    <t>10.70.36.131</t>
  </si>
  <si>
    <t>ec24aa13-d86f-21c0-4ca3-bc7ae6de5ddd</t>
  </si>
  <si>
    <t>deloga07.Tesoropetroleum.com</t>
  </si>
  <si>
    <t>MPLS Rock Springs WY</t>
  </si>
  <si>
    <t>PI System - G&amp;P</t>
  </si>
  <si>
    <t>10.103.132.21</t>
  </si>
  <si>
    <t>Tyler Garrison</t>
  </si>
  <si>
    <t>TDGarrison@marathonpetroleum.com</t>
  </si>
  <si>
    <t>VMware-42 0b 5b 61 0d de 01 ab-1a 34 cb ab ee ea 90 ed</t>
  </si>
  <si>
    <t>delogd03.Tesoropetroleum.com</t>
  </si>
  <si>
    <t>10.103.132.100</t>
  </si>
  <si>
    <t>VMware-42 0c 48 47 7a 1f cb 65-8d 01 2b 6c a9 44 99 62</t>
  </si>
  <si>
    <t>dencordc001.Tesoropetroleum.com</t>
  </si>
  <si>
    <t>MPC Denver CO Andv Office</t>
  </si>
  <si>
    <t>10.103.4.125</t>
  </si>
  <si>
    <t>VMware-42 0b 0a 0e 08 4d f6 28-88 5c e5 ec c6 0a 8e 7f</t>
  </si>
  <si>
    <t>DETLS941.mgroupnet.com</t>
  </si>
  <si>
    <t>MPC Detroit MI Refinery</t>
  </si>
  <si>
    <t>10.196.96.207</t>
  </si>
  <si>
    <t>DETRS401.mgroupnet.com</t>
  </si>
  <si>
    <t>10.196.1.69</t>
  </si>
  <si>
    <t>Operating Envelopes</t>
  </si>
  <si>
    <t>Eric Bohnert</t>
  </si>
  <si>
    <t>ECBohnert@Marathonpetroleum.com</t>
  </si>
  <si>
    <t>DETRS605.mgroupnet.com</t>
  </si>
  <si>
    <t>10.196.1.37</t>
  </si>
  <si>
    <t>DETRS780.mgroupnet.com</t>
  </si>
  <si>
    <t>10.196.1.43</t>
  </si>
  <si>
    <t>DETRS781.mgroupnet.com</t>
  </si>
  <si>
    <t>10.196.1.44</t>
  </si>
  <si>
    <t>DETRS782.mgroupnet.com</t>
  </si>
  <si>
    <t>10.196.1.41</t>
  </si>
  <si>
    <t>DETRS790.mgroupnet.com</t>
  </si>
  <si>
    <t>10.196.1.45</t>
  </si>
  <si>
    <t>DETRS791.mgroupnet.com</t>
  </si>
  <si>
    <t>10.196.1.46</t>
  </si>
  <si>
    <t>DETRS929.mgroupnet.com</t>
  </si>
  <si>
    <t>10.196.1.51</t>
  </si>
  <si>
    <t>detrs935</t>
  </si>
  <si>
    <t>DETRS935.mgroupnet.com</t>
  </si>
  <si>
    <t>10.196.1.25</t>
  </si>
  <si>
    <t>VMware-42 16 ec bc 5c 22 97 8d-2a 51 3e 2d 55 31 2d 95</t>
  </si>
  <si>
    <t>DETTS401.mgroupnet.com</t>
  </si>
  <si>
    <t>10.196.1.68</t>
  </si>
  <si>
    <t>direfa01</t>
  </si>
  <si>
    <t>DIREFA01.Tesoropetroleum.com</t>
  </si>
  <si>
    <t>MPC Dickinson ND Refinery</t>
  </si>
  <si>
    <t>10.98.19.8</t>
  </si>
  <si>
    <t>network.local</t>
  </si>
  <si>
    <t>VMware-42 0b 17 60 d4 cc 94 78-43 75 ef d8 97 4e b9 32</t>
  </si>
  <si>
    <t>direfa38</t>
  </si>
  <si>
    <t>DIREFA38.mgroupnet.com</t>
  </si>
  <si>
    <t>MPC Mandan ND Refinery</t>
  </si>
  <si>
    <t>10.199.24.76</t>
  </si>
  <si>
    <t>VMware-42 0b 43 1b 1c a2 16 07-ff 22 1c 94 b6 f3 3e 9c</t>
  </si>
  <si>
    <t>DIRRS780.mgroupnet.com</t>
  </si>
  <si>
    <t>10.195.24.10</t>
  </si>
  <si>
    <t>DIRRS782.mgroupnet.com</t>
  </si>
  <si>
    <t>10.195.24.14</t>
  </si>
  <si>
    <t>DIRRS790.mgroupnet.com</t>
  </si>
  <si>
    <t>10.195.24.11</t>
  </si>
  <si>
    <t>DIRRS791.mgroupnet.com</t>
  </si>
  <si>
    <t>10.195.24.15</t>
  </si>
  <si>
    <t>ELPLS941.mgroupnet.com</t>
  </si>
  <si>
    <t>10.193.24.196</t>
  </si>
  <si>
    <t>ELPPE9728.Tesoropetroleum.com</t>
  </si>
  <si>
    <t>10.10.29.160</t>
  </si>
  <si>
    <t>ELPRS650.Tesoropetroleum.com</t>
  </si>
  <si>
    <t>10.10.29.217</t>
  </si>
  <si>
    <t>ELPRS651.mgroupnet.com</t>
  </si>
  <si>
    <t>10.193.24.22</t>
  </si>
  <si>
    <t>ELPRS652.mgroupnet.com</t>
  </si>
  <si>
    <t>10.193.24.23</t>
  </si>
  <si>
    <t>ELPRS653.mgroupnet.com</t>
  </si>
  <si>
    <t>10.193.24.19</t>
  </si>
  <si>
    <t>ELPRS654.Tesoropetroleum.com</t>
  </si>
  <si>
    <t>10.10.29.164</t>
  </si>
  <si>
    <t>elprs780</t>
  </si>
  <si>
    <t>ELPRS780.mgroupnet.com</t>
  </si>
  <si>
    <t>10.193.24.10</t>
  </si>
  <si>
    <t>VMware-42 0b 90 5b 54 7f e3 33-f9 c1 dd 28 c5 6a 92 39</t>
  </si>
  <si>
    <t>ELPRS781.mgroupnet.com</t>
  </si>
  <si>
    <t>10.193.24.13</t>
  </si>
  <si>
    <t>elprs782</t>
  </si>
  <si>
    <t>ELPRS782.mgroupnet.com</t>
  </si>
  <si>
    <t>10.193.24.14</t>
  </si>
  <si>
    <t>VMware-42 0b 29 5a cb f1 07 09-dc fa b6 34 d8 86 ce 6e</t>
  </si>
  <si>
    <t>elprs790</t>
  </si>
  <si>
    <t>ELPRS790.mgroupnet.com</t>
  </si>
  <si>
    <t>10.193.24.11</t>
  </si>
  <si>
    <t>VMware-42 0b 59 82 61 be 0e e5-d8 d5 e9 18 e6 e0 51 c2</t>
  </si>
  <si>
    <t>elprs791</t>
  </si>
  <si>
    <t>ELPRS791.mgroupnet.com</t>
  </si>
  <si>
    <t>10.193.24.15</t>
  </si>
  <si>
    <t>VMware-42 0b ad ef 2c a9 41 aa-c6 81 45 84 20 02 bf a0</t>
  </si>
  <si>
    <t>elprs935</t>
  </si>
  <si>
    <t>ELPRS935.mgroupnet.com</t>
  </si>
  <si>
    <t>10.193.24.25</t>
  </si>
  <si>
    <t>VMware-42 0b 80 61 fd 68 26 65-58 c3 ea 61 15 7c cc d7</t>
  </si>
  <si>
    <t>EPA212APP02.Tesoropetroleum.com</t>
  </si>
  <si>
    <t>Windows 2012 R2 Datacenter</t>
  </si>
  <si>
    <t>Converge</t>
  </si>
  <si>
    <t>10.10.29.88</t>
  </si>
  <si>
    <t>Brandon Bielamowicz</t>
  </si>
  <si>
    <t>bbielamowicz@marathonpetroleum.com</t>
  </si>
  <si>
    <t>Jeffery Fetters</t>
  </si>
  <si>
    <t>jwfetters@marathonpetroleum.com</t>
  </si>
  <si>
    <t>ProLog</t>
  </si>
  <si>
    <t>EPA212AVAL01.Tesoropetroleum.com</t>
  </si>
  <si>
    <t>Avalanche</t>
  </si>
  <si>
    <t>10.10.29.165</t>
  </si>
  <si>
    <t>Brian Hamari</t>
  </si>
  <si>
    <t>bmhamari@marathonpetroleum.com</t>
  </si>
  <si>
    <t>EPA212AVNT01.Tesoropetroleum.com</t>
  </si>
  <si>
    <t>Avantis</t>
  </si>
  <si>
    <t>10.10.29.89</t>
  </si>
  <si>
    <t>Mark Anchondo</t>
  </si>
  <si>
    <t>MRAnchondo@Marathonpetroleum.com</t>
  </si>
  <si>
    <t>EPA212INTE01.Tesoropetroleum.com</t>
  </si>
  <si>
    <t>IntelaTrac</t>
  </si>
  <si>
    <t>10.10.29.237</t>
  </si>
  <si>
    <t>Aaron De La Riva</t>
  </si>
  <si>
    <t>AFDeLaRiva@Marathonpetroleum.com</t>
  </si>
  <si>
    <t>EPA212PIV01.Tesoropetroleum.com</t>
  </si>
  <si>
    <t>10.10.29.216</t>
  </si>
  <si>
    <t>EPA212PRI01.mgroupnet.com</t>
  </si>
  <si>
    <t>Prism SmartProcedures</t>
  </si>
  <si>
    <t>10.193.24.185</t>
  </si>
  <si>
    <t>EPA650INDX3.Tesoropetroleum.com</t>
  </si>
  <si>
    <t>Indx-XHQ</t>
  </si>
  <si>
    <t>10.10.28.69</t>
  </si>
  <si>
    <t>Scott Simon</t>
  </si>
  <si>
    <t>ssimon@marathonpetroleum.com</t>
  </si>
  <si>
    <t>EPA650PI1.Tesoropetroleum.com</t>
  </si>
  <si>
    <t>10.10.28.60</t>
  </si>
  <si>
    <t>AIX Server</t>
  </si>
  <si>
    <t>IBM AIX 7.2.3.2</t>
  </si>
  <si>
    <t>7200-01</t>
  </si>
  <si>
    <t>OBIEE - G&amp;P</t>
  </si>
  <si>
    <t>10.136.21.21</t>
  </si>
  <si>
    <t>markwest.com</t>
  </si>
  <si>
    <t>Arnold Khanbabian</t>
  </si>
  <si>
    <t>AKhanbabian@marathonpetroleum.com</t>
  </si>
  <si>
    <t>George Chou</t>
  </si>
  <si>
    <t>GChou@marathonpetroleum.com</t>
  </si>
  <si>
    <t>IT-G&amp;P-Oracle Support</t>
  </si>
  <si>
    <t>Michael Blunck</t>
  </si>
  <si>
    <t>MiBlunck@marathonpetroleum.com</t>
  </si>
  <si>
    <t>gal873pi1</t>
  </si>
  <si>
    <t>GAL873PI1.Tesoropetroleum.com</t>
  </si>
  <si>
    <t>MPC Gallup NM Refinery</t>
  </si>
  <si>
    <t>10.14.30.44</t>
  </si>
  <si>
    <t>VMware-42 2b d7 f3 a3 37 a7 51-ab aa a2 55 4a 18 57 2f</t>
  </si>
  <si>
    <t>GAL873PRI01.Tesoropetroleum.com</t>
  </si>
  <si>
    <t>10.14.30.46</t>
  </si>
  <si>
    <t>GBRPS7474.mgroupnet.com</t>
  </si>
  <si>
    <t>MPC Galveston Bay Refinery</t>
  </si>
  <si>
    <t>10.202.0.156</t>
  </si>
  <si>
    <t>Mike Dishong</t>
  </si>
  <si>
    <t>mldishong@marathonpetroleum.com</t>
  </si>
  <si>
    <t>VMware-42 1a 52 5a 60 de 5e cb-ae 0e d8 2d 4e 65 54 e5</t>
  </si>
  <si>
    <t>GBRPS7498.mgroupnet.com</t>
  </si>
  <si>
    <t>10.202.0.183</t>
  </si>
  <si>
    <t>VMware-42 1a 59 55 1b 36 d4 4a-dd bf 6f 59 0c 11 47 a7</t>
  </si>
  <si>
    <t>GBRRS401.mgroupnet.com</t>
  </si>
  <si>
    <t>10.202.0.207</t>
  </si>
  <si>
    <t xml:space="preserve">Scantron - WSA </t>
  </si>
  <si>
    <t>IT-REF-Deskside Support-Galveston Bay</t>
  </si>
  <si>
    <t>Choeun Ngep</t>
  </si>
  <si>
    <t>CNgep@Marathonpetroleum.com</t>
  </si>
  <si>
    <t>Safety Suggestions</t>
  </si>
  <si>
    <t>Scantron - MESA</t>
  </si>
  <si>
    <t>Maintenance Standby</t>
  </si>
  <si>
    <t>ControlledDoc</t>
  </si>
  <si>
    <t>GBRRS652.mgroupnet.com</t>
  </si>
  <si>
    <t>10.202.0.165</t>
  </si>
  <si>
    <t>GBRRS653.mgroupnet.com</t>
  </si>
  <si>
    <t>10.202.0.105</t>
  </si>
  <si>
    <t>GBRRS654.mgroupnet.com</t>
  </si>
  <si>
    <t>10.202.0.106</t>
  </si>
  <si>
    <t>GBRRS702.mgroupnet.com</t>
  </si>
  <si>
    <t>Fusion</t>
  </si>
  <si>
    <t>10.202.0.28</t>
  </si>
  <si>
    <t>GBRRS772.mgroupnet.com</t>
  </si>
  <si>
    <t>Integrity</t>
  </si>
  <si>
    <t>10.202.0.33</t>
  </si>
  <si>
    <t>gbrrs780</t>
  </si>
  <si>
    <t>GBRRS780.mgroupnet.com</t>
  </si>
  <si>
    <t>10.202.0.163</t>
  </si>
  <si>
    <t>VMware-42 27 eb 43 dc ed e0 82-85 33 3f ac 98 42 51 4f</t>
  </si>
  <si>
    <t>gbrrs781</t>
  </si>
  <si>
    <t>GBRRS781.mgroupnet.com</t>
  </si>
  <si>
    <t>10.202.0.161</t>
  </si>
  <si>
    <t>VMware-42 27 db 0e b3 1b e9 2e-7c e2 6b ba a7 93 10 0e</t>
  </si>
  <si>
    <t>gbrrs782</t>
  </si>
  <si>
    <t>GBRRS782.mgroupnet.com</t>
  </si>
  <si>
    <t>10.202.0.54</t>
  </si>
  <si>
    <t>VMware-42 1a 79 6a e6 0a 98 c4-3a 73 85 ce cc 9f 69 bd</t>
  </si>
  <si>
    <t>gbrrs790</t>
  </si>
  <si>
    <t>GBRRS790.mgroupnet.com</t>
  </si>
  <si>
    <t>10.202.0.40</t>
  </si>
  <si>
    <t>VMware-42 27 74 76 7b 6b ed 17-49 5b 8c d9 3d ad 2c 47</t>
  </si>
  <si>
    <t>gbrrs791</t>
  </si>
  <si>
    <t>GBRRS791.mgroupnet.com</t>
  </si>
  <si>
    <t>10.202.0.41</t>
  </si>
  <si>
    <t>VMware-42 27 c5 60 e7 cc 53 66-eb d9 8b 10 1b 36 92 ef</t>
  </si>
  <si>
    <t>GBRRS929.mgroupnet.com</t>
  </si>
  <si>
    <t>Flow Computer</t>
  </si>
  <si>
    <t>10.202.0.174</t>
  </si>
  <si>
    <t>GBRRS931.mgroupnet.com</t>
  </si>
  <si>
    <t>10.202.0.119</t>
  </si>
  <si>
    <t>GBRRS933.mgroupnet.com</t>
  </si>
  <si>
    <t>10.202.1.67</t>
  </si>
  <si>
    <t>gbrrs935</t>
  </si>
  <si>
    <t>GBRRS935.mgroupnet.com</t>
  </si>
  <si>
    <t>10.202.0.50</t>
  </si>
  <si>
    <t>VMware-42 27 83 60 96 27 41 d2-76 1f 76 fe 83 09 de 2c</t>
  </si>
  <si>
    <t>GBRRS955.mgroupnet.com</t>
  </si>
  <si>
    <t>10.202.0.35</t>
  </si>
  <si>
    <t>Dana Williams</t>
  </si>
  <si>
    <t>dgwilliams@marathonpetroleum.com</t>
  </si>
  <si>
    <t>GBRTS7474.mgroupnet.com</t>
  </si>
  <si>
    <t>10.202.0.153</t>
  </si>
  <si>
    <t>VMware-42 1a cc eb b7 63 fd 59-4f 88 60 db 4e 28 46 79</t>
  </si>
  <si>
    <t>GBRTS7498.mgroupnet.com</t>
  </si>
  <si>
    <t>10.202.0.182</t>
  </si>
  <si>
    <t>VMware-42 1a 35 16 bb 73 eb 7d-61 6b 2c 4b fc 69 24 14</t>
  </si>
  <si>
    <t>glprs780</t>
  </si>
  <si>
    <t>GLPRS780.Tesoropetroleum.com</t>
  </si>
  <si>
    <t>VMware-42 3d 97 21 fb fc 3f 33-33 ae 77 1f 29 e4 8f b2</t>
  </si>
  <si>
    <t>glprs782</t>
  </si>
  <si>
    <t>GLPRS782.Tesoropetroleum.com</t>
  </si>
  <si>
    <t>10.14.30.144</t>
  </si>
  <si>
    <t>VMware-42 3d 43 d1 1b 1f 10 85-05 a5 17 3f d3 5b c7 cb</t>
  </si>
  <si>
    <t>glprs790</t>
  </si>
  <si>
    <t>GLPRS790.Tesoropetroleum.com</t>
  </si>
  <si>
    <t>10.14.30.115</t>
  </si>
  <si>
    <t>VMware-42 3d 4b 73 24 84 5c dd-a8 1f 0b 9f f1 47 0e 66</t>
  </si>
  <si>
    <t>glprs791</t>
  </si>
  <si>
    <t>GLPRS791.Tesoropetroleum.com</t>
  </si>
  <si>
    <t>10.14.30.65</t>
  </si>
  <si>
    <t>VMware-56 4d 93 0c 63 cc 53 ef-32 59 5d 49 26 d5 ea a5</t>
  </si>
  <si>
    <t>GVLLS941.mgroupnet.com</t>
  </si>
  <si>
    <t>MPC Garyville LA Refinery</t>
  </si>
  <si>
    <t>10.198.96.200</t>
  </si>
  <si>
    <t>GVLRS401.mgroupnet.com</t>
  </si>
  <si>
    <t>MicrobialGrowth</t>
  </si>
  <si>
    <t>10.198.2.109</t>
  </si>
  <si>
    <t>Terry Oldham</t>
  </si>
  <si>
    <t>tdoldham@marathonpetroleum.com</t>
  </si>
  <si>
    <t>Tfms</t>
  </si>
  <si>
    <t>Andrew Panoff</t>
  </si>
  <si>
    <t>acpanoff@marathonpetroleum.com</t>
  </si>
  <si>
    <t>BatchEmailProcessing</t>
  </si>
  <si>
    <t>DandEApproval</t>
  </si>
  <si>
    <t>MaintenanceOvertimeSignup</t>
  </si>
  <si>
    <t>PremiumOvertime</t>
  </si>
  <si>
    <t>Daily Environmental Morning Report</t>
  </si>
  <si>
    <t>BlindIsolationWeb</t>
  </si>
  <si>
    <t>Jeffrey Zuech</t>
  </si>
  <si>
    <t>jzuech@marathonpetroleum.com</t>
  </si>
  <si>
    <t>RepairNotificationForm</t>
  </si>
  <si>
    <t>Transmittal</t>
  </si>
  <si>
    <t>Preventive Maintenance Change Form</t>
  </si>
  <si>
    <t>CalibrationDashboard</t>
  </si>
  <si>
    <t>Radio</t>
  </si>
  <si>
    <t>LessonsLearned</t>
  </si>
  <si>
    <t>DraftingRequest</t>
  </si>
  <si>
    <t>GVLRS605.mgroupnet.com</t>
  </si>
  <si>
    <t>10.198.2.106</t>
  </si>
  <si>
    <t>GVLRS652.mgroupnet.com</t>
  </si>
  <si>
    <t>10.198.2.122</t>
  </si>
  <si>
    <t>GVLRS653.mgroupnet.com</t>
  </si>
  <si>
    <t>10.198.2.91</t>
  </si>
  <si>
    <t>GVLRS772.mgroupnet.com</t>
  </si>
  <si>
    <t>10.198.2.29</t>
  </si>
  <si>
    <t>ENV PI AF</t>
  </si>
  <si>
    <t>GVLRS780.mgroupnet.com</t>
  </si>
  <si>
    <t>10.198.2.74</t>
  </si>
  <si>
    <t>GVLRS781.mgroupnet.com</t>
  </si>
  <si>
    <t>10.198.2.27</t>
  </si>
  <si>
    <t>GVLRS782.mgroupnet.com</t>
  </si>
  <si>
    <t>10.198.2.4</t>
  </si>
  <si>
    <t>GVLRS790.mgroupnet.com</t>
  </si>
  <si>
    <t>10.198.2.95</t>
  </si>
  <si>
    <t>GVLRS791.mgroupnet.com</t>
  </si>
  <si>
    <t>10.198.2.96</t>
  </si>
  <si>
    <t>GVLRS928.mgroupnet.com</t>
  </si>
  <si>
    <t>Inspect</t>
  </si>
  <si>
    <t>10.198.2.19</t>
  </si>
  <si>
    <t>Brent Ray</t>
  </si>
  <si>
    <t>bdray@marathonpetroleum.com</t>
  </si>
  <si>
    <t>COMPRESS</t>
  </si>
  <si>
    <t>GVLRS929.mgroupnet.com</t>
  </si>
  <si>
    <t>10.198.2.105</t>
  </si>
  <si>
    <t>KENRS402.mgroupnet.com</t>
  </si>
  <si>
    <t>SDD</t>
  </si>
  <si>
    <t>10.207.24.34</t>
  </si>
  <si>
    <t>Jim Grossl</t>
  </si>
  <si>
    <t>JCGrossl@Marathonpetroleum.com</t>
  </si>
  <si>
    <t>Trent O'Reagan</t>
  </si>
  <si>
    <t>TDOReagan@marathonpetroleum.com</t>
  </si>
  <si>
    <t>Wayne Johnnie</t>
  </si>
  <si>
    <t>WJohnnie@Marathonpetroleum.com</t>
  </si>
  <si>
    <t>KENRS780.mgroupnet.com</t>
  </si>
  <si>
    <t>10.207.24.10</t>
  </si>
  <si>
    <t>KENRS782.mgroupnet.com</t>
  </si>
  <si>
    <t>10.207.24.14</t>
  </si>
  <si>
    <t>KENRS790.mgroupnet.com</t>
  </si>
  <si>
    <t>10.207.24.11</t>
  </si>
  <si>
    <t>KENRS791.mgroupnet.com</t>
  </si>
  <si>
    <t>10.207.24.15</t>
  </si>
  <si>
    <t>kenrs935</t>
  </si>
  <si>
    <t>KENRS935.mgroupnet.com</t>
  </si>
  <si>
    <t>10.207.24.50</t>
  </si>
  <si>
    <t>VMware-42 3b 8b 19 4d fb 3e 65-0c e2 e5 ce 9d fa 81 a0</t>
  </si>
  <si>
    <t>KRREFA09.Tesoropetroleum.com</t>
  </si>
  <si>
    <t>10.66.46.13</t>
  </si>
  <si>
    <t>KRREFA12.mgroupnet.com</t>
  </si>
  <si>
    <t>10.207.24.62</t>
  </si>
  <si>
    <t>marathonpetroleum.com</t>
  </si>
  <si>
    <t>KRREFA19.Tesoropetroleum.com</t>
  </si>
  <si>
    <t>10.66.46.24</t>
  </si>
  <si>
    <t>KRREFA33.mgroupnet.com</t>
  </si>
  <si>
    <t>10.207.24.83</t>
  </si>
  <si>
    <t>KRREFA60.Tesoropetroleum.com</t>
  </si>
  <si>
    <t>10.66.46.11</t>
  </si>
  <si>
    <t>KRREFA63.Tesoropetroleum.com</t>
  </si>
  <si>
    <t>10.66.46.25</t>
  </si>
  <si>
    <t>KRREFA64.Tesoropetroleum.com</t>
  </si>
  <si>
    <t>10.66.46.28</t>
  </si>
  <si>
    <t>KRREFA66.Tesoropetroleum.com</t>
  </si>
  <si>
    <t>10.66.46.30</t>
  </si>
  <si>
    <t>KRREFD02.mgroupnet.com</t>
  </si>
  <si>
    <t>10.207.24.12</t>
  </si>
  <si>
    <t>PI Manual Logger</t>
  </si>
  <si>
    <t>Joe Morales</t>
  </si>
  <si>
    <t>JAMorales@Marathonpetroleum.com</t>
  </si>
  <si>
    <t>larefa29.mgroupnet.com</t>
  </si>
  <si>
    <t>10.208.24.206</t>
  </si>
  <si>
    <t>larefa64.Tesoropetroleum.com</t>
  </si>
  <si>
    <t>10.114.5.240</t>
  </si>
  <si>
    <t>larefa68.Tesoropetroleum.com</t>
  </si>
  <si>
    <t>10.100.45.202</t>
  </si>
  <si>
    <t>LAREFa75.Tesoropetroleum.com</t>
  </si>
  <si>
    <t>10.114.57.6</t>
  </si>
  <si>
    <t>LAREFA84.Tesoropetroleum.com</t>
  </si>
  <si>
    <t>10.114.57.8</t>
  </si>
  <si>
    <t>LAREFD19.Tesoropetroleum.com</t>
  </si>
  <si>
    <t>10.114.5.51</t>
  </si>
  <si>
    <t>John Clark</t>
  </si>
  <si>
    <t>JWClark@marathonpetroleum.com</t>
  </si>
  <si>
    <t>IT-MPLX-Pipeline App Support</t>
  </si>
  <si>
    <t>Nathan Meek</t>
  </si>
  <si>
    <t>ntmeek@marathonpetroleum.com</t>
  </si>
  <si>
    <t>larefd30.Tesoropetroleum.com</t>
  </si>
  <si>
    <t>10.100.46.80</t>
  </si>
  <si>
    <t>larefd31.Tesoropetroleum.com</t>
  </si>
  <si>
    <t>10.100.46.81</t>
  </si>
  <si>
    <t>larefd32.Tesoropetroleum.com</t>
  </si>
  <si>
    <t>10.100.46.82</t>
  </si>
  <si>
    <t>LARRS667.Tesoropetroleum.com</t>
  </si>
  <si>
    <t>Maintenance Management</t>
  </si>
  <si>
    <t>10.100.45.229</t>
  </si>
  <si>
    <t>Roy Irby</t>
  </si>
  <si>
    <t>RCIrby@Marathonpetroleum.com</t>
  </si>
  <si>
    <t>LARRS720.mgroupnet.com</t>
  </si>
  <si>
    <t>10.209.24.61</t>
  </si>
  <si>
    <t>LARRS721.mgroupnet.com</t>
  </si>
  <si>
    <t>10.208.24.44</t>
  </si>
  <si>
    <t>LARRS740.Tesoropetroleum.com</t>
  </si>
  <si>
    <t>10.100.45.80</t>
  </si>
  <si>
    <t>3500 Rack Configuration</t>
  </si>
  <si>
    <t>LARRS760.mgroupnet.com</t>
  </si>
  <si>
    <t>Fleet Maintenance Pro</t>
  </si>
  <si>
    <t>10.209.24.52</t>
  </si>
  <si>
    <t>Don Greene</t>
  </si>
  <si>
    <t>DDGreene@Marathonpetroleum.com</t>
  </si>
  <si>
    <t>SpotFire</t>
  </si>
  <si>
    <t>Drew Mason</t>
  </si>
  <si>
    <t>RAMason@Marathonpetroleum.com</t>
  </si>
  <si>
    <t>larrs780</t>
  </si>
  <si>
    <t>LARRS780.mgroupnet.com</t>
  </si>
  <si>
    <t>10.209.24.10</t>
  </si>
  <si>
    <t>VMware-42 01 4d ef 36 f7 cd 8f-7e 26 0e 3d 04 e8 76 e9</t>
  </si>
  <si>
    <t>larrs781</t>
  </si>
  <si>
    <t>LARRS781.mgroupnet.com</t>
  </si>
  <si>
    <t>10.209.24.13</t>
  </si>
  <si>
    <t>VMware-42 01 16 02 ae 4c 15 87-0d 53 ca 91 24 93 0c d7</t>
  </si>
  <si>
    <t>larrs782</t>
  </si>
  <si>
    <t>LARRS782.mgroupnet.com</t>
  </si>
  <si>
    <t>10.209.24.14</t>
  </si>
  <si>
    <t>VMware-42 01 66 3c d9 4c 01 1c-b6 7b bb 29 b4 4c 87 ef</t>
  </si>
  <si>
    <t>larrs790</t>
  </si>
  <si>
    <t>LARRS790.mgroupnet.com</t>
  </si>
  <si>
    <t>10.209.24.11</t>
  </si>
  <si>
    <t>VMware-42 01 ef 97 e3 18 33 10-03 98 14 c0 89 15 e8 01</t>
  </si>
  <si>
    <t>larrs791</t>
  </si>
  <si>
    <t>LARRS791.mgroupnet.com</t>
  </si>
  <si>
    <t>10.209.24.15</t>
  </si>
  <si>
    <t>VMware-42 01 b0 6c 15 b7 32 dd-f8 71 7a d2 17 18 ab a5</t>
  </si>
  <si>
    <t>larrs935</t>
  </si>
  <si>
    <t>LARRS935.mgroupnet.com</t>
  </si>
  <si>
    <t>10.209.24.26</t>
  </si>
  <si>
    <t>VMware-42 01 51 f4 2c 0e d3 14-bb 6a 65 cb 63 b7 9c a6</t>
  </si>
  <si>
    <t>lrcitrix36</t>
  </si>
  <si>
    <t>lrcitrix36.Tesoropetroleum.com</t>
  </si>
  <si>
    <t>Windows 2003 Standard</t>
  </si>
  <si>
    <t>Operational Integrity Database (OID) - ANDX</t>
  </si>
  <si>
    <t>10.100.45.177</t>
  </si>
  <si>
    <t>Andrew Rinner</t>
  </si>
  <si>
    <t>AJRinner@marathonpetroleum.com</t>
  </si>
  <si>
    <t>VMware-42 2d 3c e7 7b 38 38 f5-d8 99 cc 8a 92 e2 6f bf</t>
  </si>
  <si>
    <t>MARS - ANDX</t>
  </si>
  <si>
    <t>Valerie Labat-Whittaker</t>
  </si>
  <si>
    <t>VALabat-Whittaker@marathonpetroleum.com</t>
  </si>
  <si>
    <t>lrcitrix39.Tesoropetroleum.com</t>
  </si>
  <si>
    <t>Windows ® 2008 Standard</t>
  </si>
  <si>
    <t>6.0.6003</t>
  </si>
  <si>
    <t>10.100.45.195</t>
  </si>
  <si>
    <t>lrrefa14.mgroupnet.com</t>
  </si>
  <si>
    <t>10.209.24.208</t>
  </si>
  <si>
    <t>lrrefa35.mgroupnet.com</t>
  </si>
  <si>
    <t>10.209.24.159</t>
  </si>
  <si>
    <t>RMACT</t>
  </si>
  <si>
    <t>Robert Nguyen</t>
  </si>
  <si>
    <t>RTNguyen@Marathonpetroleum.com</t>
  </si>
  <si>
    <t>MPG</t>
  </si>
  <si>
    <t>lrrefa37.mgroupnet.com</t>
  </si>
  <si>
    <t>PageGate</t>
  </si>
  <si>
    <t>10.209.24.161</t>
  </si>
  <si>
    <t>lrrefa41.mgroupnet.com</t>
  </si>
  <si>
    <t>Fleet Head Office Software</t>
  </si>
  <si>
    <t>10.209.24.166</t>
  </si>
  <si>
    <t>Sammy Cooley</t>
  </si>
  <si>
    <t>SCCooley@Marathonpetroleum.com</t>
  </si>
  <si>
    <t>lrrefa64.Tesoropetroleum.com</t>
  </si>
  <si>
    <t>10.100.45.184</t>
  </si>
  <si>
    <t>lrrefa75.Tesoropetroleum.com</t>
  </si>
  <si>
    <t>10.100.45.196</t>
  </si>
  <si>
    <t>lrrefa82.mgroupnet.com</t>
  </si>
  <si>
    <t>10.209.24.206</t>
  </si>
  <si>
    <t>lrrefd05</t>
  </si>
  <si>
    <t>lrrefd05.Tesoropetroleum.com</t>
  </si>
  <si>
    <t>10.100.45.109</t>
  </si>
  <si>
    <t>VMware-42 2d 5b cb 82 66 7b 8b-de 5a ec d7 99 4d ec d3</t>
  </si>
  <si>
    <t>lrxenapp09.Tesoropetroleum.com</t>
  </si>
  <si>
    <t>10.100.45.187</t>
  </si>
  <si>
    <t>MANRS780.mgroupnet.com</t>
  </si>
  <si>
    <t>10.199.24.10</t>
  </si>
  <si>
    <t>MANRS782.mgroupnet.com</t>
  </si>
  <si>
    <t>10.199.24.14</t>
  </si>
  <si>
    <t>MANRS790.mgroupnet.com</t>
  </si>
  <si>
    <t>10.199.24.11</t>
  </si>
  <si>
    <t>MANRS791.mgroupnet.com</t>
  </si>
  <si>
    <t>10.199.24.15</t>
  </si>
  <si>
    <t>manrs935</t>
  </si>
  <si>
    <t>MANRS935.mgroupnet.com</t>
  </si>
  <si>
    <t>10.199.24.25</t>
  </si>
  <si>
    <t>VMware-42 2a cd dd 6f 03 ab ca-78 f8 0d eb 08 fd c6 44</t>
  </si>
  <si>
    <t>MAREFA06.Tesoropetroleum.com</t>
  </si>
  <si>
    <t>10.68.38.106</t>
  </si>
  <si>
    <t>MAREFA13.Tesoropetroleum.com</t>
  </si>
  <si>
    <t>10.68.38.13</t>
  </si>
  <si>
    <t>MAREFA18.Tesoropetroleum.com</t>
  </si>
  <si>
    <t>10.68.38.18</t>
  </si>
  <si>
    <t>MAREFA38.mgroupnet.com</t>
  </si>
  <si>
    <t>10.199.24.38</t>
  </si>
  <si>
    <t>marefa60.Tesoropetroleum.com</t>
  </si>
  <si>
    <t>10.68.38.60</t>
  </si>
  <si>
    <t>MAREFL01.mgroupnet.com</t>
  </si>
  <si>
    <t>Design Flow Solutions</t>
  </si>
  <si>
    <t>10.199.24.23</t>
  </si>
  <si>
    <t>Kevin N. Basham</t>
  </si>
  <si>
    <t>knbasham@marathonpetroleum.com</t>
  </si>
  <si>
    <t>MPC Findlay OH Main Bldg</t>
  </si>
  <si>
    <t>Hyperion Strategic Finance</t>
  </si>
  <si>
    <t>10.220.120.97</t>
  </si>
  <si>
    <t>Teresa Homan</t>
  </si>
  <si>
    <t>thoman@marathonpetroleum.com</t>
  </si>
  <si>
    <t>Gage Shaeffer</t>
  </si>
  <si>
    <t>GaShaeffer@marathonpetroleum.com</t>
  </si>
  <si>
    <t>VMware-42 0c 24 ab b6 2a ce 10-42 99 e8 9f 59 3b c3 fb</t>
  </si>
  <si>
    <t>Hyperion Planning</t>
  </si>
  <si>
    <t>10.220.120.98</t>
  </si>
  <si>
    <t>VMware-42 0c aa d1 fc e6 af 81-97 31 8c 24 68 d2 fc 5c</t>
  </si>
  <si>
    <t>10.220.120.99</t>
  </si>
  <si>
    <t>VMware-42 0c 3c e9 53 55 2c a3-7b 5a 35 a5 15 fa 46 02</t>
  </si>
  <si>
    <t>10.220.120.100</t>
  </si>
  <si>
    <t>VMware-42 0c df 6d cf cc 2b 2c-f7 20 94 4c 6e a0 d4 d4</t>
  </si>
  <si>
    <t>10.220.120.101</t>
  </si>
  <si>
    <t>VMware-42 0c 61 6a 59 e8 29 ad-e9 33 f1 ef 63 fb 41 aa</t>
  </si>
  <si>
    <t>10.220.120.102</t>
  </si>
  <si>
    <t>VMware-42 0c d3 01 65 4b d0 06-50 26 a7 d5 c1 c0 95 7c</t>
  </si>
  <si>
    <t>10.220.120.103</t>
  </si>
  <si>
    <t>VMware-42 0c 0c c7 b4 46 d1 f1-10 8f fb 8d e6 1e 82 1b</t>
  </si>
  <si>
    <t>Self-Service Password Reset (SSPR)</t>
  </si>
  <si>
    <t>10.220.119.165</t>
  </si>
  <si>
    <t>IT-INFR-IAM Support</t>
  </si>
  <si>
    <t>Corbin King</t>
  </si>
  <si>
    <t>CKing6@marathonpetroleum.com</t>
  </si>
  <si>
    <t>VMware-42 0c b0 8a 01 81 ef 22-4c f5 23 55 f1 b7 39 da</t>
  </si>
  <si>
    <t>IES Automation</t>
  </si>
  <si>
    <t>10.220.113.216</t>
  </si>
  <si>
    <t>Victor Wong</t>
  </si>
  <si>
    <t>VWWong@Marathonpetroleum.com</t>
  </si>
  <si>
    <t>IT-INFR-IaC</t>
  </si>
  <si>
    <t>VMware-42 0c aa a5 b0 39 b1 f7-75 d7 44 34 4f 35 e6 9f</t>
  </si>
  <si>
    <t>FlawCheck</t>
  </si>
  <si>
    <t>10.220.112.123</t>
  </si>
  <si>
    <t>Nic Roniger</t>
  </si>
  <si>
    <t>nproniger@marathonpetroleum.com</t>
  </si>
  <si>
    <t xml:space="preserve">IT-MPLX-Pipeline Integrity &amp; Corrosion Engineering Apps  </t>
  </si>
  <si>
    <t>Nate Buesching</t>
  </si>
  <si>
    <t>NaBuesching@marathonpetroleum.com</t>
  </si>
  <si>
    <t>VMware-42 0c b1 90 af 23 4d 06-c6 48 06 73 63 aa 64 dd</t>
  </si>
  <si>
    <t>Inline Inspection application (iDIG)</t>
  </si>
  <si>
    <t>Spencer Cupp</t>
  </si>
  <si>
    <t>sacupp@marathonpetroleum.com</t>
  </si>
  <si>
    <t>App Monitor</t>
  </si>
  <si>
    <t>10.220.16.253</t>
  </si>
  <si>
    <t>Kim Michalak</t>
  </si>
  <si>
    <t>kmichalak@marathonpetroleum.com</t>
  </si>
  <si>
    <t>Commercial</t>
  </si>
  <si>
    <t>VMware-42 39 1c e9 52 2d 31 9f-af 68 c9 10 92 da ac f4</t>
  </si>
  <si>
    <t>RIN Forecasting</t>
  </si>
  <si>
    <t>10.220.16.219</t>
  </si>
  <si>
    <t>Ben Hill</t>
  </si>
  <si>
    <t>rbhill@marathonpetroleum.com</t>
  </si>
  <si>
    <t>IT-MKTG-Light Product Support</t>
  </si>
  <si>
    <t>VMware-42 39 71 21 c9 dd 8f db-73 71 af cf ed dc d8 4a</t>
  </si>
  <si>
    <t>Miscellaneous Invoicing - Historical</t>
  </si>
  <si>
    <t>10.220.16.169</t>
  </si>
  <si>
    <t>Barbara Lescallett</t>
  </si>
  <si>
    <t>balescallett@marathonpetroleum.com</t>
  </si>
  <si>
    <t>Kathy Treece</t>
  </si>
  <si>
    <t>kjtreece@marathonpetroleum.com</t>
  </si>
  <si>
    <t>Mark Rickenbacher</t>
  </si>
  <si>
    <t>mrickenbache@marathonpetroleum.com</t>
  </si>
  <si>
    <t>VMware-42 39 20 17 54 dc 67 02-e5 80 78 8d 8f e6 0c bc</t>
  </si>
  <si>
    <t>Terminal Throughput</t>
  </si>
  <si>
    <t>Ben McCullough</t>
  </si>
  <si>
    <t>blmccullough@marathonpetroleum.com</t>
  </si>
  <si>
    <t>Justin Schwartz</t>
  </si>
  <si>
    <t>JPSchwartz@Marathonpetroleum.com</t>
  </si>
  <si>
    <t>Tax Web</t>
  </si>
  <si>
    <t>Jeff Lenhart</t>
  </si>
  <si>
    <t>JDLENHART@MARATHONPETROLEUM.COM</t>
  </si>
  <si>
    <t>Miscellaneous Invoicing - Marketing</t>
  </si>
  <si>
    <t>Lana Weaver</t>
  </si>
  <si>
    <t>LSWeaver@marathonpetroleum.com</t>
  </si>
  <si>
    <t>Tax Rate Information</t>
  </si>
  <si>
    <t>Tax Harbor Maintenance</t>
  </si>
  <si>
    <t>Amy Schnipke</t>
  </si>
  <si>
    <t>arschnipke@marathonpetroleum.com</t>
  </si>
  <si>
    <t>Marketing Retail Payments Application (MRPA)</t>
  </si>
  <si>
    <t>Mitch Beining</t>
  </si>
  <si>
    <t>mjbeining@marathonpetroleum.com</t>
  </si>
  <si>
    <t>Matthew Fearrington</t>
  </si>
  <si>
    <t>mlfearringto@marathonpetroleum.com</t>
  </si>
  <si>
    <t>Tax Payments</t>
  </si>
  <si>
    <t>Tracking Information for Marathon Exchange (TIME)</t>
  </si>
  <si>
    <t>Hana Blackburn</t>
  </si>
  <si>
    <t>hkblackburn@marathonpetroleum.com</t>
  </si>
  <si>
    <t>Brand Consumer Relations Tracking</t>
  </si>
  <si>
    <t>Brian Detterman</t>
  </si>
  <si>
    <t>badetterman@marathonpetroleum.com</t>
  </si>
  <si>
    <t>RVP Monitoring and Planning</t>
  </si>
  <si>
    <t>Jason Broerman</t>
  </si>
  <si>
    <t>jmbroerman@marathonpetroleum.com</t>
  </si>
  <si>
    <t>Marketing Applications Graphical Interface for Clients (MAGIC)</t>
  </si>
  <si>
    <t>TAR Sequence Optimization</t>
  </si>
  <si>
    <t>Meredith Gady</t>
  </si>
  <si>
    <t>mgady@marathonpetroleum.com</t>
  </si>
  <si>
    <t>IT-REF-DET-IT Approvers</t>
  </si>
  <si>
    <t>10.220.20.93</t>
  </si>
  <si>
    <t>VMware-42 39 14 ef 47 fb d4 b7-d5 a6 b2 51 cb 70 c9 43</t>
  </si>
  <si>
    <t>10.220.21.184</t>
  </si>
  <si>
    <t>VMware-42 39 6b 9b 6e 01 0a a4-69 97 60 e1 d1 f9 82 0f</t>
  </si>
  <si>
    <t>mds3500.reddog.microsoft.com</t>
  </si>
  <si>
    <t>Linux Server</t>
  </si>
  <si>
    <t>Linux Red Hat</t>
  </si>
  <si>
    <t>8.5</t>
  </si>
  <si>
    <t>10.53.44.213</t>
  </si>
  <si>
    <t>0000-0005-8967-4172-4305-8367-83</t>
  </si>
  <si>
    <t>10.53.44.214</t>
  </si>
  <si>
    <t>10.220.22.185</t>
  </si>
  <si>
    <t>VMware-42 39 13 eb 36 69 f6 92-95 98 1a cb 46 51 f5 6a</t>
  </si>
  <si>
    <t>10.220.119.110</t>
  </si>
  <si>
    <t>VMware-42 0c 06 3e be 52 b9 68-27 2e 5c 9b 1c a5 b4 5d</t>
  </si>
  <si>
    <t>10.220.16.110</t>
  </si>
  <si>
    <t>Albert Carillo</t>
  </si>
  <si>
    <t>ACarillo@Marathonpetroleum.com</t>
  </si>
  <si>
    <t>VMware-42 1f ae f4 d2 5e 41 88-0c 02 60 04 3e 19 bc 0b</t>
  </si>
  <si>
    <t>Nintex</t>
  </si>
  <si>
    <t>10.220.16.111</t>
  </si>
  <si>
    <t>dev.mpcconnect.com</t>
  </si>
  <si>
    <t>VMware-42 1f 80 c3 98 7d a5 51-f6 79 78 91 98 35 8e 1c</t>
  </si>
  <si>
    <t>10.220.16.112</t>
  </si>
  <si>
    <t>VMware-42 1f 42 c3 1e 30 fd 36-30 b9 68 3d 22 37 8c ec</t>
  </si>
  <si>
    <t>10.220.20.203</t>
  </si>
  <si>
    <t>VMware-42 39 f0 e7 02 dc 1f e4-fc 17 0f b8 e5 00 f7 05</t>
  </si>
  <si>
    <t>10.220.18.220</t>
  </si>
  <si>
    <t>VMware-42 1f 57 c0 c7 b4 7e 2d-69 59 c2 eb 00 07 c4 ec</t>
  </si>
  <si>
    <t>10.220.18.221</t>
  </si>
  <si>
    <t>VMware-42 1f 75 96 1a 41 d1 f9-f0 0d eb 2e bb 40 d4 fc</t>
  </si>
  <si>
    <t>10.220.17.218</t>
  </si>
  <si>
    <t>VMware-42 1f 17 01 4c c6 ed da-3f 40 0d fe a1 b8 fe 4a</t>
  </si>
  <si>
    <t>10.220.114.172</t>
  </si>
  <si>
    <t>VMware-42 0c e3 de 64 81 c9 6f-9e 13 17 e3 4b 9d 4f cc</t>
  </si>
  <si>
    <t>10.220.21.8</t>
  </si>
  <si>
    <t>VMware-42 39 d7 0a d2 61 60 ae-d9 e1 50 56 28 e2 77 6c</t>
  </si>
  <si>
    <t>10.220.21.9</t>
  </si>
  <si>
    <t>VMware-42 39 bf b8 89 da b5 f9-81 1d 0a c1 bb 37 cb 2c</t>
  </si>
  <si>
    <t>10.220.19.232</t>
  </si>
  <si>
    <t>VMware-42 39 d2 e8 0a 0b a2 dd-cd 6f 97 1f df 45 71 c9</t>
  </si>
  <si>
    <t>10.220.19.233</t>
  </si>
  <si>
    <t>VMware-42 39 39 8b b8 30 2b b5-97 e7 55 39 c5 25 c8 68</t>
  </si>
  <si>
    <t>10.220.16.28</t>
  </si>
  <si>
    <t>VMware-42 39 59 d4 42 34 3f 90-32 e4 ce 66 ae 5b 6e 74</t>
  </si>
  <si>
    <t>10.220.112.170</t>
  </si>
  <si>
    <t>VMware-42 0c 33 76 65 fe 61 4c-87 d8 ef d0 2f 83 19 39</t>
  </si>
  <si>
    <t>Archive Server</t>
  </si>
  <si>
    <t>10.220.112.171</t>
  </si>
  <si>
    <t>VMware-42 0c d2 a0 95 4d 22 89-e8 4d cf a2 79 08 f5 03</t>
  </si>
  <si>
    <t>10.220.112.172</t>
  </si>
  <si>
    <t>VMware-42 0c 2b d9 cc 3a e3 c9-fa 41 9f 5c a2 2f 92 a3</t>
  </si>
  <si>
    <t>10.220.112.173</t>
  </si>
  <si>
    <t>VMware-42 0c 32 44 6e 17 05 91-92 85 31 0e 24 11 9e cf</t>
  </si>
  <si>
    <t>10.220.112.182</t>
  </si>
  <si>
    <t>VMware-42 0c 8d b9 14 5a 9c d5-6c 3a 63 05 bd e8 17 3c</t>
  </si>
  <si>
    <t>10.220.112.183</t>
  </si>
  <si>
    <t>VMware-42 0c c0 5b 2d c3 c5 36-19 a6 62 7d 0d e1 6d b2</t>
  </si>
  <si>
    <t>10.220.112.184</t>
  </si>
  <si>
    <t>VMware-42 0c b0 01 60 97 c9 f1-a1 0b 63 f0 05 d0 25 84</t>
  </si>
  <si>
    <t>10.220.112.185</t>
  </si>
  <si>
    <t>VMware-42 0c 3a c6 a5 d0 2f 8b-eb b4 5a 50 0e 0b 2e 10</t>
  </si>
  <si>
    <t>10.220.112.186</t>
  </si>
  <si>
    <t>VMware-42 0c 36 90 cf b8 f2 4e-1d c9 66 73 ea cd 35 68</t>
  </si>
  <si>
    <t>10.220.112.187</t>
  </si>
  <si>
    <t>VMware-42 0c 6c a3 11 19 1b d2-e6 1f d4 1b d8 09 f0 54</t>
  </si>
  <si>
    <t>10.220.112.174</t>
  </si>
  <si>
    <t>VMware-42 0c a9 bc 2d 26 92 dc-72 ec 0c 40 23 16 f7 4f</t>
  </si>
  <si>
    <t>10.220.112.175</t>
  </si>
  <si>
    <t>VMware-42 0c 88 f8 ed 50 59 40-14 c5 a6 8c 1c da 4f 4a</t>
  </si>
  <si>
    <t>10.220.112.176</t>
  </si>
  <si>
    <t>VMware-42 0c 55 e4 33 b4 32 98-0f 90 e6 4d 98 cc 2d 61</t>
  </si>
  <si>
    <t>Brava - REF Central</t>
  </si>
  <si>
    <t>10.220.112.178</t>
  </si>
  <si>
    <t>VMware-42 0c 1e f6 28 71 ec e2-38 77 94 a6 15 0e 33 fb</t>
  </si>
  <si>
    <t>10.220.112.180</t>
  </si>
  <si>
    <t>VMware-42 0c d3 fc 18 68 73 33-c3 d8 62 83 32 c1 1b f4</t>
  </si>
  <si>
    <t>10.220.112.179</t>
  </si>
  <si>
    <t>VMware-42 0c 72 40 3a 85 1d ec-d8 ab 94 83 84 a6 b9 88</t>
  </si>
  <si>
    <t>10.220.112.181</t>
  </si>
  <si>
    <t>VMware-42 0c 72 85 e4 90 63 cd-e8 38 0b 72 91 e6 ca 1b</t>
  </si>
  <si>
    <t>MN01RADB01.mgroupnet.com</t>
  </si>
  <si>
    <t>MPC St Paul Park MN Refinery</t>
  </si>
  <si>
    <t>Windows 2008 R2 Datacenter</t>
  </si>
  <si>
    <t>10.203.24.243</t>
  </si>
  <si>
    <t>Susan Russel</t>
  </si>
  <si>
    <t>sdrussel@marathonpetroleum.com</t>
  </si>
  <si>
    <t>Nicholas Sawyers</t>
  </si>
  <si>
    <t>nsawyers@marathonpetroleum.com</t>
  </si>
  <si>
    <t>LPSL-RightAngle COE</t>
  </si>
  <si>
    <t>Marcus Banks</t>
  </si>
  <si>
    <t>mlbanks@marathonpetroleum.com</t>
  </si>
  <si>
    <t>VMware-42 29 31 81 13 54 40 84-20 57 27 cf 34 23 b9 f5</t>
  </si>
  <si>
    <t>Microsoft Exchange Server (E-Mail / SMTP)</t>
  </si>
  <si>
    <t>10.220.22.163</t>
  </si>
  <si>
    <t>VMware-42 39 b1 58 4e fb 2d dd-0d 52 1f 59 5e 4a e1 67</t>
  </si>
  <si>
    <t>10.220.22.171</t>
  </si>
  <si>
    <t>VMware-42 39 f0 70 43 d9 c8 f1-11 90 b6 c3 87 80 b8 84</t>
  </si>
  <si>
    <t>10.220.22.175</t>
  </si>
  <si>
    <t>VMware-42 0c 16 84 83 b7 d8 eb-9c e4 78 93 d1 4f 64 b9</t>
  </si>
  <si>
    <t>CYL DataCenter</t>
  </si>
  <si>
    <t>10.136.19.136</t>
  </si>
  <si>
    <t>VMware-42 07 f8 15 72 4f 17 5a-4f bb ca 6d ac 33 28 b7</t>
  </si>
  <si>
    <t>10.136.19.138</t>
  </si>
  <si>
    <t>VMware-42 07 c5 51 57 06 d8 a8-ad 53 02 7e dd 90 f1 00</t>
  </si>
  <si>
    <t>10.136.19.141</t>
  </si>
  <si>
    <t>VMware-42 17 dd ce 84 f6 74 15-df 56 99 f7 95 11 6f 7b</t>
  </si>
  <si>
    <t>Kittyhawk</t>
  </si>
  <si>
    <t>10.136.19.91</t>
  </si>
  <si>
    <t>Melissa Jackson</t>
  </si>
  <si>
    <t>MEJackson@Marathonpetroleum.com</t>
  </si>
  <si>
    <t>IT-ENT-RightAngle Support</t>
  </si>
  <si>
    <t>Heather Grunden</t>
  </si>
  <si>
    <t>HJGrunden@marathonpetroleum.com</t>
  </si>
  <si>
    <t>VMware-42 17 2e 8c 1b a1 02 b2-e5 eb fa 6d b7 63 bc de</t>
  </si>
  <si>
    <t>10.136.19.92</t>
  </si>
  <si>
    <t>VMware-42 17 50 19 4f 2a 33 21-d7 ab bb 94 f8 4b 34 ab</t>
  </si>
  <si>
    <t>10.136.19.93</t>
  </si>
  <si>
    <t>VMware-42 17 98 49 ca b3 48 2f-a4 e2 6a e9 7b 1d 69 15</t>
  </si>
  <si>
    <t>10.136.19.94</t>
  </si>
  <si>
    <t>VMware-42 17 8d af eb dd 6c 9d-7a 43 48 9c f9 f4 41 09</t>
  </si>
  <si>
    <t>10.136.19.95</t>
  </si>
  <si>
    <t>VMware-42 17 d4 c9 b0 5d 2e f3-f2 28 5e 63 40 3e db aa</t>
  </si>
  <si>
    <t>10.136.19.96</t>
  </si>
  <si>
    <t>VMware-42 17 9d 18 e0 7e db 5a-75 7a df f4 a0 0a 99 5c</t>
  </si>
  <si>
    <t>10.136.19.97</t>
  </si>
  <si>
    <t>VMware-42 17 f1 45 25 c5 eb 98-5c 26 66 f1 f7 b8 9d f6</t>
  </si>
  <si>
    <t>10.136.19.98</t>
  </si>
  <si>
    <t>VMware-42 17 ec 90 df f3 05 86-f7 60 9a da 92 97 43 7e</t>
  </si>
  <si>
    <t>10.136.19.99</t>
  </si>
  <si>
    <t>VMware-42 17 a1 c5 0c 3b 1d 78-d8 38 20 be 16 53 c9 85</t>
  </si>
  <si>
    <t>10.136.19.100</t>
  </si>
  <si>
    <t>VMware-42 17 05 83 de 56 28 18-5d cf 83 14 ae 29 8f 65</t>
  </si>
  <si>
    <t>10.136.16.218</t>
  </si>
  <si>
    <t>VMware-42 17 0d 7f 88 9a 48 6a-77 b5 16 9f 22 10 75 06</t>
  </si>
  <si>
    <t>8.2</t>
  </si>
  <si>
    <t>10.136.20.80</t>
  </si>
  <si>
    <t>Adam Covault</t>
  </si>
  <si>
    <t>aacovault@marathonpetroleum.com</t>
  </si>
  <si>
    <t>VMware-42 17 30 14 0a 2f 1d 19-20 94 bd 31 c1 68 48 21</t>
  </si>
  <si>
    <t>Matthew Ogden</t>
  </si>
  <si>
    <t>mogden@marathonpetroleum.com</t>
  </si>
  <si>
    <t>10.136.19.217</t>
  </si>
  <si>
    <t>VMware-42 17 60 0d ba d2 21 48-ea 5f 85 35 7f 6c 75 01</t>
  </si>
  <si>
    <t>Hyperion ESSBASE - G&amp;P: FinRptg</t>
  </si>
  <si>
    <t>10.136.20.18</t>
  </si>
  <si>
    <t>IT-G&amp;P-Hyperion Support</t>
  </si>
  <si>
    <t>Michelle Williams</t>
  </si>
  <si>
    <t>MAWilliams3@marathonpetroleum.com</t>
  </si>
  <si>
    <t>VMware-42 17 d4 5d 38 e4 44 89-31 48 25 5d a0 0c 3d 75</t>
  </si>
  <si>
    <t>Hyperion ESSBASE - G&amp;P: STG_PROJ/MW_PROJ</t>
  </si>
  <si>
    <t>Hyperion Financial Management (HFM) - G&amp;P</t>
  </si>
  <si>
    <t>10.136.20.19</t>
  </si>
  <si>
    <t>VMware-42 17 93 94 03 c0 15 c3-2e 8f 85 2f 18 e0 e9 4f</t>
  </si>
  <si>
    <t>10.136.20.20</t>
  </si>
  <si>
    <t>VMware-42 17 e5 0c fc a8 f5 04-4e 17 1e 15 c8 f5 e2 9f</t>
  </si>
  <si>
    <t>10.136.20.21</t>
  </si>
  <si>
    <t>VMware-42 17 23 eb 8e 25 a0 c7-93 5c 2f e2 06 a2 68 f7</t>
  </si>
  <si>
    <t>Prometheus</t>
  </si>
  <si>
    <t>10.136.18.85</t>
  </si>
  <si>
    <t>Meredith McGrew</t>
  </si>
  <si>
    <t>mamcgrew@marathonpetroleum.com</t>
  </si>
  <si>
    <t>IT-REF-SAP EAM</t>
  </si>
  <si>
    <t>Noel Paje</t>
  </si>
  <si>
    <t>NUPaje@Marathonpetroleum.com</t>
  </si>
  <si>
    <t>VMware-42 17 f5 01 d6 57 cc dc-b2 e7 61 e6 48 53 bd e7</t>
  </si>
  <si>
    <t>10.136.21.23</t>
  </si>
  <si>
    <t>VMware-42 17 33 2d b7 15 7b 2f-de 57 70 39 bb a7 9b a8</t>
  </si>
  <si>
    <t>10.136.21.24</t>
  </si>
  <si>
    <t>VMware-42 17 77 50 06 17 90 5a-27 f9 91 a8 aa 9c 07 51</t>
  </si>
  <si>
    <t>10.136.21.25</t>
  </si>
  <si>
    <t>VMware-42 17 5d 93 ff 69 a1 11-ec b7 b1 d9 fd da 29 c9</t>
  </si>
  <si>
    <t>10.136.21.26</t>
  </si>
  <si>
    <t>VMware-42 17 33 cf 72 bb ae 6c-c0 77 43 3b ac 75 bd 91</t>
  </si>
  <si>
    <t>10.136.21.27</t>
  </si>
  <si>
    <t>VMware-42 17 43 9b b0 69 c6 76-69 ac 7f e6 76 10 ff 98</t>
  </si>
  <si>
    <t>10.136.21.28</t>
  </si>
  <si>
    <t>VMware-42 17 ba 99 f9 34 19 e7-b6 b4 e4 df 24 8f df 43</t>
  </si>
  <si>
    <t>10.136.21.29</t>
  </si>
  <si>
    <t>VMware-42 17 df d4 ad 98 d8 32-e3 4f 75 2d 49 98 3f e5</t>
  </si>
  <si>
    <t>10.136.20.93</t>
  </si>
  <si>
    <t>VMware-42 17 f6 f3 3e 40 3d c6-fa a1 a7 ec 4d 0d 2a 8c</t>
  </si>
  <si>
    <t>10.136.21.50</t>
  </si>
  <si>
    <t>VMware-42 17 e8 f7 89 e3 7c 11-af d0 e8 31 2a 22 88 de</t>
  </si>
  <si>
    <t>10.136.21.51</t>
  </si>
  <si>
    <t>VMware-42 17 75 50 18 ca d9 c5-15 29 b6 37 d8 46 99 07</t>
  </si>
  <si>
    <t>10.136.21.52</t>
  </si>
  <si>
    <t>VMware-42 17 6f 3f a0 94 b6 a7-84 b5 15 1e fb 6f 52 e5</t>
  </si>
  <si>
    <t>10.136.21.53</t>
  </si>
  <si>
    <t>VMware-42 17 79 b3 99 78 a2 ed-4c 2e b1 0c e5 ef 47 a0</t>
  </si>
  <si>
    <t>10.136.21.54</t>
  </si>
  <si>
    <t>VMware-42 17 90 70 59 97 ae 20-0a eb 98 75 b4 48 77 17</t>
  </si>
  <si>
    <t>10.136.21.55</t>
  </si>
  <si>
    <t>VMware-42 17 4a d1 10 4f 78 9b-48 79 e2 dc 0e 8e 4c 9a</t>
  </si>
  <si>
    <t>10.136.21.56</t>
  </si>
  <si>
    <t>VMware-42 17 fa 2d 36 a2 49 3b-d1 9f c8 17 10 fd 4d 5b</t>
  </si>
  <si>
    <t>10.136.21.57</t>
  </si>
  <si>
    <t>VMware-42 17 03 83 e3 ca e0 98-88 ee 61 2f 57 c4 59 cd</t>
  </si>
  <si>
    <t>10.136.21.58</t>
  </si>
  <si>
    <t>VMware-42 17 1d 0c 0e 33 2f dc-74 ac 17 3f b6 08 b1 a5</t>
  </si>
  <si>
    <t>10.136.21.59</t>
  </si>
  <si>
    <t>VMware-42 17 95 e4 1e 4f f0 8a-f6 86 ec 64 94 72 6a 8f</t>
  </si>
  <si>
    <t>10.136.21.60</t>
  </si>
  <si>
    <t>VMware-42 17 64 96 ad b9 df bf-62 ac d3 c6 c3 7e 50 53</t>
  </si>
  <si>
    <t>10.136.21.61</t>
  </si>
  <si>
    <t>VMware-42 17 82 96 24 6b 9a 4e-17 07 13 93 58 72 72 4b</t>
  </si>
  <si>
    <t>10.136.21.62</t>
  </si>
  <si>
    <t>VMware-42 17 b0 c8 7d af 31 2e-2d cb 37 bd e7 da 55 35</t>
  </si>
  <si>
    <t>10.136.21.63</t>
  </si>
  <si>
    <t>VMware-42 17 a4 22 dd bd 50 be-cc 46 0b fd f5 fd 5c 59</t>
  </si>
  <si>
    <t>10.136.21.64</t>
  </si>
  <si>
    <t>VMware-42 17 98 6c 5d a8 82 55-b9 d9 20 ba a1 08 0c 26</t>
  </si>
  <si>
    <t>10.136.21.65</t>
  </si>
  <si>
    <t>VMware-42 17 98 fb 00 1d 1c 5a-89 f9 23 a0 14 76 5f ca</t>
  </si>
  <si>
    <t>10.136.21.66</t>
  </si>
  <si>
    <t>VMware-42 17 cb 0a 65 00 93 53-54 fc 47 e5 5a e6 56 4c</t>
  </si>
  <si>
    <t>10.136.21.67</t>
  </si>
  <si>
    <t>VMware-42 17 e0 fc 85 30 b2 ab-53 4d ab 2e f1 ab 28 f2</t>
  </si>
  <si>
    <t>10.136.21.68</t>
  </si>
  <si>
    <t>VMware-42 17 62 71 47 2a 54 8c-04 c4 fb a5 a0 33 0f 1b</t>
  </si>
  <si>
    <t>10.136.21.69</t>
  </si>
  <si>
    <t>VMware-42 17 1e 62 c6 07 de 77-57 4b 58 c1 d0 c8 f7 2a</t>
  </si>
  <si>
    <t>10.136.21.70</t>
  </si>
  <si>
    <t>VMware-42 17 23 78 e9 29 10 37-c2 0e f1 f5 8a 5c 77 e9</t>
  </si>
  <si>
    <t>10.136.21.71</t>
  </si>
  <si>
    <t>VMware-42 17 92 f3 b7 c9 72 c9-f7 9b 3d ff 23 1e 65 90</t>
  </si>
  <si>
    <t>10.136.21.72</t>
  </si>
  <si>
    <t>VMware-42 17 9a 21 56 59 f6 cd-34 70 ec 49 33 bb 2c e2</t>
  </si>
  <si>
    <t>10.136.21.73</t>
  </si>
  <si>
    <t>VMware-42 17 1a f7 00 c2 23 68-60 12 01 3c 0b b5 e0 d4</t>
  </si>
  <si>
    <t>10.136.21.74</t>
  </si>
  <si>
    <t>VMware-42 17 d1 a0 46 97 8e e6-a5 f7 dd 65 42 a9 ac 04</t>
  </si>
  <si>
    <t>10.136.21.75</t>
  </si>
  <si>
    <t>VMware-42 17 35 db 51 d4 24 84-d9 99 26 56 6e 82 21 a8</t>
  </si>
  <si>
    <t>10.136.21.76</t>
  </si>
  <si>
    <t>VMware-42 17 96 c9 b2 b2 fb 76-0f f2 eb eb dd aa df ce</t>
  </si>
  <si>
    <t>10.136.21.77</t>
  </si>
  <si>
    <t>VMware-42 17 ea 3b 5a 1d d5 b4-5e 24 17 e2 7a b8 22 8c</t>
  </si>
  <si>
    <t>10.136.21.78</t>
  </si>
  <si>
    <t>VMware-42 17 19 65 b4 0f c6 47-4f f5 8e 8c 10 9f 87 86</t>
  </si>
  <si>
    <t>10.136.21.79</t>
  </si>
  <si>
    <t>VMware-42 17 86 37 f3 86 b9 2a-17 9f d7 0b 8f e9 c4 18</t>
  </si>
  <si>
    <t>10.136.21.80</t>
  </si>
  <si>
    <t>VMware-42 17 df ce cc 94 09 f2-27 ab 7c e8 d4 4f ca ea</t>
  </si>
  <si>
    <t>10.136.21.81</t>
  </si>
  <si>
    <t>VMware-42 17 5f 6e ed 23 e6 97-29 23 2a cd e7 50 25 5e</t>
  </si>
  <si>
    <t>10.136.21.82</t>
  </si>
  <si>
    <t>VMware-42 17 24 19 2a 8b 8b 76-c4 d5 85 cc 15 e0 d2 d5</t>
  </si>
  <si>
    <t>10.136.21.83</t>
  </si>
  <si>
    <t>VMware-42 17 1e 5e 3a a4 c8 fd-97 d4 1f ff fb be 12 e9</t>
  </si>
  <si>
    <t>10.136.21.84</t>
  </si>
  <si>
    <t>VMware-42 17 4b 76 5e 9f fa af-fd d7 64 aa 2f 38 b8 53</t>
  </si>
  <si>
    <t>10.136.21.85</t>
  </si>
  <si>
    <t>VMware-42 17 64 be 9a 96 df e1-d4 2d 80 fe 90 6f 70 fa</t>
  </si>
  <si>
    <t>10.136.21.86</t>
  </si>
  <si>
    <t>VMware-42 17 7c 5d 18 b7 20 35-27 59 72 18 96 e0 1e c0</t>
  </si>
  <si>
    <t>10.136.21.87</t>
  </si>
  <si>
    <t>VMware-42 17 2c 09 77 59 64 c5-d9 21 f6 81 aa a2 d5 ba</t>
  </si>
  <si>
    <t>10.136.21.88</t>
  </si>
  <si>
    <t>VMware-42 17 1f 9d 38 0b 60 a0-61 4b 4a 55 89 84 3e 44</t>
  </si>
  <si>
    <t>10.136.21.89</t>
  </si>
  <si>
    <t>VMware-42 17 ed 6f 9f 64 68 09-99 81 bc c2 57 82 58 63</t>
  </si>
  <si>
    <t>10.136.21.90</t>
  </si>
  <si>
    <t>VMware-42 17 f3 5e 41 4a 80 4c-25 23 7e 5e c7 91 4b 0e</t>
  </si>
  <si>
    <t>10.136.21.91</t>
  </si>
  <si>
    <t>VMware-42 17 2f 7a e2 39 e0 d7-01 6d 1a 87 3f ae 9f c8</t>
  </si>
  <si>
    <t>10.136.21.92</t>
  </si>
  <si>
    <t>VMware-42 17 cb c4 09 e1 bd 1f-28 0c 8d e4 a8 62 99 28</t>
  </si>
  <si>
    <t>10.136.21.93</t>
  </si>
  <si>
    <t>VMware-42 17 ad b5 4f 8c db d7-ca da c8 f7 14 fb ff 97</t>
  </si>
  <si>
    <t>10.136.21.94</t>
  </si>
  <si>
    <t>VMware-42 17 d1 ec 7e f2 ba 49-59 b1 99 e0 57 04 40 98</t>
  </si>
  <si>
    <t>10.136.21.95</t>
  </si>
  <si>
    <t>VMware-42 17 6f 97 cb d9 5e 34-bd 5a bd 5b f1 1d 8d 05</t>
  </si>
  <si>
    <t>10.136.21.96</t>
  </si>
  <si>
    <t>VMware-42 17 15 40 80 fa 91 7c-b8 ca c1 a3 59 50 6c f8</t>
  </si>
  <si>
    <t>10.136.21.97</t>
  </si>
  <si>
    <t>VMware-42 17 0c f0 3b 2c 33 34-53 07 38 87 0e 27 5e 30</t>
  </si>
  <si>
    <t>10.136.21.98</t>
  </si>
  <si>
    <t>VMware-42 17 2e 3e a1 83 a6 a3-6b 2b 51 6b 7b 27 bd 75</t>
  </si>
  <si>
    <t>10.136.21.99</t>
  </si>
  <si>
    <t>VMware-42 17 34 35 c1 67 b1 dd-82 89 e8 f4 02 f7 17 a8</t>
  </si>
  <si>
    <t>10.136.20.56</t>
  </si>
  <si>
    <t>VMware-42 17 81 e1 2b e2 07 09-af 7c 8b 55 6d 4a fd 05</t>
  </si>
  <si>
    <t>10.136.20.55</t>
  </si>
  <si>
    <t>VMware-42 17 88 b4 19 49 ed 8b-d4 8e f2 1e 69 89 b0 d1</t>
  </si>
  <si>
    <t>Galvanize - Analytics Exchange</t>
  </si>
  <si>
    <t>10.136.20.54</t>
  </si>
  <si>
    <t>Ryan O'Donnell</t>
  </si>
  <si>
    <t>RMODonnell@Marathonpetroleum.com</t>
  </si>
  <si>
    <t>General Administration &amp; Corporate Affairs</t>
  </si>
  <si>
    <t>VMware-42 17 4c 0c 45 3a 55 06-00 1b 04 48 d0 9e 66 57</t>
  </si>
  <si>
    <t>Evergreen Formscape</t>
  </si>
  <si>
    <t>10.136.19.201</t>
  </si>
  <si>
    <t>Ramesh Veeranki</t>
  </si>
  <si>
    <t>RVeeranki@marathonpetroleum.com</t>
  </si>
  <si>
    <t>VMware-42 17 f4 0b c6 7e 69 01-47 e1 a3 2e 30 d4 d7 d7</t>
  </si>
  <si>
    <t>LandWorks - ANDX</t>
  </si>
  <si>
    <t>10.136.18.133</t>
  </si>
  <si>
    <t>Andree Talmadge</t>
  </si>
  <si>
    <t>AMTalmadge@marathonpetroleum.com</t>
  </si>
  <si>
    <t>Mike Von Stein</t>
  </si>
  <si>
    <t>mjvonstein@marathonpetroleum.com</t>
  </si>
  <si>
    <t>VMware-42 17 a0 20 f1 48 bb 9e-b4 99 b7 40 04 b6 9a 56</t>
  </si>
  <si>
    <t>CorrectIR</t>
  </si>
  <si>
    <t>10.136.20.81</t>
  </si>
  <si>
    <t>Eddie Sanchez</t>
  </si>
  <si>
    <t>ejsanchez@marathonpetroleum.com</t>
  </si>
  <si>
    <t>VMware-42 17 e2 de f9 4f 1b 3b-fc f0 d3 04 0c c8 a3 b6</t>
  </si>
  <si>
    <t>XIAConfiguration</t>
  </si>
  <si>
    <t>10.136.16.103</t>
  </si>
  <si>
    <t>Beverly Ferris</t>
  </si>
  <si>
    <t>baferris@marathonpetroleum.com</t>
  </si>
  <si>
    <t>VMware-42 17 27 5e 45 4c 04 d6-3b 24 d3 66 aa b7 d3 91</t>
  </si>
  <si>
    <t>10.220.17.64</t>
  </si>
  <si>
    <t>VMware-42 0c 59 60 af c1 a1 98-c7 6d 22 55 2d 01 e1 32</t>
  </si>
  <si>
    <t>10.220.17.65</t>
  </si>
  <si>
    <t>VMware-42 0c 49 47 58 51 89 28-2a 87 ed b8 4c 90 83 d0</t>
  </si>
  <si>
    <t>10.136.16.177</t>
  </si>
  <si>
    <t>VMware-42 17 8e 62 c0 7e a9 59-d1 56 3e 46 56 44 ae 10</t>
  </si>
  <si>
    <t>10.136.16.178</t>
  </si>
  <si>
    <t>VMware-42 17 1a cc 3e e4 12 cd-bc 09 b1 6b 40 14 ba f6</t>
  </si>
  <si>
    <t>10.136.18.97</t>
  </si>
  <si>
    <t>Paul Vahalik</t>
  </si>
  <si>
    <t>pavahalik@marathonpetroleum.com</t>
  </si>
  <si>
    <t>VMware-42 17 8b 59 6b 8d 8d de-57 54 ad 55 9f 03 a0 80</t>
  </si>
  <si>
    <t>10.136.17.74</t>
  </si>
  <si>
    <t>VMware-42 17 f0 0d af 30 14 5c-6d 5e fe c5 37 48 0b 58</t>
  </si>
  <si>
    <t>LogMateAMS</t>
  </si>
  <si>
    <t>10.136.19.122</t>
  </si>
  <si>
    <t>Wes Oberly</t>
  </si>
  <si>
    <t>woberly@marathonpetroleum.com</t>
  </si>
  <si>
    <t>VMware-42 17 ea 04 e9 0a 52 6c-d5 21 44 5e e8 fd 73 31</t>
  </si>
  <si>
    <t>UiPath RPA Platform</t>
  </si>
  <si>
    <t>10.136.17.68</t>
  </si>
  <si>
    <t>Bob Sherwood</t>
  </si>
  <si>
    <t>bvsherwood@marathonpetroleum.com</t>
  </si>
  <si>
    <t>Travis Vollmar</t>
  </si>
  <si>
    <t>tkvollmar@marathonpetroleum.com</t>
  </si>
  <si>
    <t>IT-EmgTech-RPA Support</t>
  </si>
  <si>
    <t>VMware-42 17 8b 9f ca a3 85 5a-8a 35 51 b1 a5 9b 12 63</t>
  </si>
  <si>
    <t>10.136.17.69</t>
  </si>
  <si>
    <t>VMware-42 17 4d 6f bc d3 c7 df-73 6d e4 cd f7 23 c7 46</t>
  </si>
  <si>
    <t>10.136.17.70</t>
  </si>
  <si>
    <t>VMware-42 17 96 3c 6c af 76 38-66 ca 35 a0 28 85 98 5b</t>
  </si>
  <si>
    <t>10.136.17.71</t>
  </si>
  <si>
    <t>VMware-42 17 91 02 45 5e 53 46-5a 5d cd 34 31 66 22 d5</t>
  </si>
  <si>
    <t>10.53.0.29</t>
  </si>
  <si>
    <t>EHS Historical Data Solutions</t>
  </si>
  <si>
    <t>10.136.16.29</t>
  </si>
  <si>
    <t>VMware-42 17 bb 76 80 22 b6 3a-c3 0b 6b 0c b8 87 11 0a</t>
  </si>
  <si>
    <t>Access Verification Tool (AVT)</t>
  </si>
  <si>
    <t>10.136.18.120</t>
  </si>
  <si>
    <t>VMware-42 17 10 2f a1 16 03 cb-0e c8 2f c4 7d a9 33 2c</t>
  </si>
  <si>
    <t>10.136.18.121</t>
  </si>
  <si>
    <t>VMware-42 17 e7 05 47 d4 d8 6c-d7 09 24 dd 21 bb d2 6d</t>
  </si>
  <si>
    <t>10.136.16.99</t>
  </si>
  <si>
    <t>VMware-42 07 da c0 16 e3 e4 2f-37 05 bf 2b 4f 89 6e c1</t>
  </si>
  <si>
    <t>Signal FFS</t>
  </si>
  <si>
    <t>10.136.16.36</t>
  </si>
  <si>
    <t>Jose Hurtado</t>
  </si>
  <si>
    <t>JLHurtado@Marathonpetroleum.com</t>
  </si>
  <si>
    <t>VMware-42 07 be 88 86 a8 77 c5-80 c2 59 cf 34 c0 b3 0a</t>
  </si>
  <si>
    <t>TariffShark</t>
  </si>
  <si>
    <t>Shelley Purser Peebles</t>
  </si>
  <si>
    <t>spurserpeebl@marathonpetroleum.com</t>
  </si>
  <si>
    <t>Lindsay Conley</t>
  </si>
  <si>
    <t>LiConley@MarathonPetroleum.com</t>
  </si>
  <si>
    <t>Pipeline Compliance System (PCS)</t>
  </si>
  <si>
    <t>10.220.17.63</t>
  </si>
  <si>
    <t>Michael Hayes</t>
  </si>
  <si>
    <t>mthayes@marathonpetroleum.com</t>
  </si>
  <si>
    <t>VMware-42 09 49 d1 ad 58 e1 da-dc f3 c6 50 2d 32 e5 08</t>
  </si>
  <si>
    <t>Enterprise Project Portfolio (EPP) Idea Management System</t>
  </si>
  <si>
    <t>10.136.18.183</t>
  </si>
  <si>
    <t>Krishnan Krishnaiyer</t>
  </si>
  <si>
    <t>KKrishnaiyer@Marathonpetroleum.com</t>
  </si>
  <si>
    <t>VMware-42 17 61 a3 75 56 ea 51-cc ad 08 dd d1 bd dc ff</t>
  </si>
  <si>
    <t>Caesar II</t>
  </si>
  <si>
    <t>10.136.18.147</t>
  </si>
  <si>
    <t>VMware-42 07 49 f3 25 9a 07 04-6f 84 3f 72 d3 2a 08 e7</t>
  </si>
  <si>
    <t>APM (Meridium)</t>
  </si>
  <si>
    <t>Larry Fields</t>
  </si>
  <si>
    <t>lmfields@marathonpetroleum.com</t>
  </si>
  <si>
    <t>10.136.18.148</t>
  </si>
  <si>
    <t>VMware-42 07 12 c3 71 dd f6 b8-76 fb d9 31 95 d0 df 3a</t>
  </si>
  <si>
    <t>10.136.16.42</t>
  </si>
  <si>
    <t>VMware-42 07 68 de 00 ae ea 2b-b5 38 ca 08 4a 91 9e 56</t>
  </si>
  <si>
    <t>Light Products Scheduling Dashboard</t>
  </si>
  <si>
    <t>Todd Carr</t>
  </si>
  <si>
    <t>toddcarr@marathonpetroleum.com</t>
  </si>
  <si>
    <t>CHWMEG Application</t>
  </si>
  <si>
    <t>Timothy Peterkoski</t>
  </si>
  <si>
    <t>tjpeterkoski@marathonpetroleum.com</t>
  </si>
  <si>
    <t>STOx</t>
  </si>
  <si>
    <t>10.136.18.145</t>
  </si>
  <si>
    <t>Gene Austin</t>
  </si>
  <si>
    <t>ghaustin@marathonpetroleum.com</t>
  </si>
  <si>
    <t>IT-REF-Turnaround App Support</t>
  </si>
  <si>
    <t>Kevin Hacker</t>
  </si>
  <si>
    <t>KeHacker@marathonpetroleum.com</t>
  </si>
  <si>
    <t>VMware-42 17 ea 9d 54 e0 66 88-0d 01 9b 70 59 e5 d9 b0</t>
  </si>
  <si>
    <t>EcoSys EPC</t>
  </si>
  <si>
    <t>10.136.16.212</t>
  </si>
  <si>
    <t>VMware-42 07 cb 2e be f5 a9 c1-5b 0b ba a5 3e cd f4 7c</t>
  </si>
  <si>
    <t>Saviynt</t>
  </si>
  <si>
    <t>10.136.18.210</t>
  </si>
  <si>
    <t>Ryan Yoder</t>
  </si>
  <si>
    <t>RYoder@marathonpetroleum.com</t>
  </si>
  <si>
    <t>VMware-42 07 df 9b 99 0c ec d9-99 cb 5b 5a c3 2d 34 35</t>
  </si>
  <si>
    <t>10.136.16.77</t>
  </si>
  <si>
    <t>VMware-42 07 70 c1 90 b2 89 ea-f1 5d 42 09 5e 99 07 62</t>
  </si>
  <si>
    <t>TAR Compensation</t>
  </si>
  <si>
    <t>10.136.17.49</t>
  </si>
  <si>
    <t>VMware-42 07 d9 9e 8b fe 07 cf-c3 80 2a 8b f0 7a 28 30</t>
  </si>
  <si>
    <t>OIS - Operational Information System</t>
  </si>
  <si>
    <t>Allen Bott</t>
  </si>
  <si>
    <t>ajbott@marathonpetroleum.com</t>
  </si>
  <si>
    <t>Timothy Book</t>
  </si>
  <si>
    <t>TBBook@marathonpetroleum.com</t>
  </si>
  <si>
    <t>Bryan Farris</t>
  </si>
  <si>
    <t>bfarris@marathonpetroleum.com</t>
  </si>
  <si>
    <t>Pride Repair Tracking</t>
  </si>
  <si>
    <t>IT-REF-Pride Support</t>
  </si>
  <si>
    <t>Robert Moffatt</t>
  </si>
  <si>
    <t>rmoffatt@marathonpetroleum.com</t>
  </si>
  <si>
    <t>OpsInfo</t>
  </si>
  <si>
    <t>Stop Help Start Documents</t>
  </si>
  <si>
    <t>Corey North</t>
  </si>
  <si>
    <t>canorth@marathonpetroleum.com</t>
  </si>
  <si>
    <t>ABC Driver Pay Application</t>
  </si>
  <si>
    <t>L&amp;S-T&amp;R Ops Improvement</t>
  </si>
  <si>
    <t>Marine Vetting System</t>
  </si>
  <si>
    <t>Harold Scott</t>
  </si>
  <si>
    <t>hrscott@marathonpetroleum.com</t>
  </si>
  <si>
    <t>Josh Schaublin</t>
  </si>
  <si>
    <t>ojschaublin@marathonpetroleum.com</t>
  </si>
  <si>
    <t>Anubama Jaganathan</t>
  </si>
  <si>
    <t>AJaganathan@marathonpetroleum.com</t>
  </si>
  <si>
    <t>Terminal Metrics Dashboard</t>
  </si>
  <si>
    <t>James Cromwell</t>
  </si>
  <si>
    <t>JCromwell@marathonpetroleum.com</t>
  </si>
  <si>
    <t>Transport &amp; Rail Operations Driver Information System (TRODIS)</t>
  </si>
  <si>
    <t>Marathon Credit Scoring (MCS)</t>
  </si>
  <si>
    <t>Bradley McKamey</t>
  </si>
  <si>
    <t>btmckamey@marathonpetroleum.com</t>
  </si>
  <si>
    <t>Marine Metrics Dashboard</t>
  </si>
  <si>
    <t>Donald Burchett</t>
  </si>
  <si>
    <t>ddburchett@marathonpetroleum.com</t>
  </si>
  <si>
    <t>Stephen Herzog</t>
  </si>
  <si>
    <t>seherzog@marathonpetroleum.com</t>
  </si>
  <si>
    <t>Pipeline Regulatory Compliance</t>
  </si>
  <si>
    <t>Randall Bishop</t>
  </si>
  <si>
    <t>rwbishop@marathonpetroleum.com</t>
  </si>
  <si>
    <t>ALIRTS</t>
  </si>
  <si>
    <t>Tim Haley</t>
  </si>
  <si>
    <t>tmhaley@marathonpetroleum.com</t>
  </si>
  <si>
    <t>MPL Equipment Database &amp; Apps</t>
  </si>
  <si>
    <t>Executive Information System (EIS)</t>
  </si>
  <si>
    <t>Jake Beard</t>
  </si>
  <si>
    <t>djbeard@marathonpetroleum.com</t>
  </si>
  <si>
    <t>Availability Reliability Information System (ARIS)</t>
  </si>
  <si>
    <t>Steven Dittman</t>
  </si>
  <si>
    <t>srdittman@marathonpetroleum.com</t>
  </si>
  <si>
    <t>IT-INFR-AMS Support</t>
  </si>
  <si>
    <t>Pipeline Throughput Dashboard</t>
  </si>
  <si>
    <t>C.J. Iliff</t>
  </si>
  <si>
    <t>cjiliff@marathonpetroleum.com</t>
  </si>
  <si>
    <t>Inventory Position Exposure Reporting (IPER)</t>
  </si>
  <si>
    <t>Mark Pratorius</t>
  </si>
  <si>
    <t>MWPratorius@Marathonpetroleum.com</t>
  </si>
  <si>
    <t>IT-Commercial-Position Management</t>
  </si>
  <si>
    <t>Kevin Coffey</t>
  </si>
  <si>
    <t>kmcoffey@marathonpetroleum.com</t>
  </si>
  <si>
    <t>Pipeline Emergency Response</t>
  </si>
  <si>
    <t>Jeffrey Weirich</t>
  </si>
  <si>
    <t>jmweirich@marathonpetroleum.com</t>
  </si>
  <si>
    <t>Product Certification</t>
  </si>
  <si>
    <t>Refinery Cost Reporting</t>
  </si>
  <si>
    <t>Mike Henschen</t>
  </si>
  <si>
    <t>mahenschen@marathonpetroleum.com</t>
  </si>
  <si>
    <t>Tom Jacoby</t>
  </si>
  <si>
    <t>tjacoby@marathonpetroleum.com</t>
  </si>
  <si>
    <t>Maximum Operating Pressure Analysis (MOP)</t>
  </si>
  <si>
    <t>Mark Reindel</t>
  </si>
  <si>
    <t>mareindel@marathonpetroleum.com</t>
  </si>
  <si>
    <t>T&amp;L Fall Protection</t>
  </si>
  <si>
    <t>Who to Call</t>
  </si>
  <si>
    <t>John Kremer</t>
  </si>
  <si>
    <t>jrkremer@marathonpetroleum.com</t>
  </si>
  <si>
    <t>Terminal Status</t>
  </si>
  <si>
    <t>DS2 DockingStation</t>
  </si>
  <si>
    <t>James Dowling</t>
  </si>
  <si>
    <t>jpdowling@marathonpetroleum.com</t>
  </si>
  <si>
    <t>Brent Zimmerman</t>
  </si>
  <si>
    <t>BLZimmerman@marathonpetroleum.com</t>
  </si>
  <si>
    <t>Transportation Rate Repository (TRR)</t>
  </si>
  <si>
    <t>Rickie Reed</t>
  </si>
  <si>
    <t>rrreed@marathonpetroleum.com</t>
  </si>
  <si>
    <t>IT-COSL-App Support</t>
  </si>
  <si>
    <t>Transport Scheduling T&amp;R</t>
  </si>
  <si>
    <t>John Sorensen</t>
  </si>
  <si>
    <t>JDSorensen@marathonpetroleum.com</t>
  </si>
  <si>
    <t>Thomas Graham</t>
  </si>
  <si>
    <t>ThGraham@marathonpetroleum.com</t>
  </si>
  <si>
    <t>MPL Records Retention Compliance System</t>
  </si>
  <si>
    <t>Miriam Kuhn</t>
  </si>
  <si>
    <t>mmkuhn@marathonpetroleum.com</t>
  </si>
  <si>
    <t>L&amp;SE Data Warehouse</t>
  </si>
  <si>
    <t>Invoice Retriever</t>
  </si>
  <si>
    <t>Jason Robey</t>
  </si>
  <si>
    <t>jmrobey@marathonpetroleum.com</t>
  </si>
  <si>
    <t>Ryan Elliott</t>
  </si>
  <si>
    <t>RElliott@marathonpetroleum.com</t>
  </si>
  <si>
    <t>Mike Cooper</t>
  </si>
  <si>
    <t>mtcooper@marathonpetroleum.com</t>
  </si>
  <si>
    <t>MPL OC Shift Report</t>
  </si>
  <si>
    <t>Billy Bown</t>
  </si>
  <si>
    <t>WJBown@marathonpetroleum.com</t>
  </si>
  <si>
    <t>OpsCore</t>
  </si>
  <si>
    <t>Susan Kern</t>
  </si>
  <si>
    <t>skkern@marathonpetroleum.com</t>
  </si>
  <si>
    <t>SafeACT</t>
  </si>
  <si>
    <t>Warehouse Management for Contracted Materials</t>
  </si>
  <si>
    <t>Justin Gray</t>
  </si>
  <si>
    <t>justingray@marathonpetroleum.com</t>
  </si>
  <si>
    <t>Corporate Vetting</t>
  </si>
  <si>
    <t>Budget (MPL)</t>
  </si>
  <si>
    <t>Aron Velasquez</t>
  </si>
  <si>
    <t>advelasquez@marathonpetroleum.com</t>
  </si>
  <si>
    <t>Terminal Margin Ranking (TMR)</t>
  </si>
  <si>
    <t>Scott Bechtel</t>
  </si>
  <si>
    <t>sfbechtel@marathonpetroleum.com</t>
  </si>
  <si>
    <t>TAS Link</t>
  </si>
  <si>
    <t>Vinh Hang</t>
  </si>
  <si>
    <t>VHang@marathonpetroleum.com</t>
  </si>
  <si>
    <t>Refining IT Checklist</t>
  </si>
  <si>
    <t>Ram Baggidi</t>
  </si>
  <si>
    <t>rrbaggidi@marathonpetroleum.com</t>
  </si>
  <si>
    <t>MPL Encumbrance Analysis Tool</t>
  </si>
  <si>
    <t>Austin Bussard</t>
  </si>
  <si>
    <t>adbussard@marathonpetroleum.com</t>
  </si>
  <si>
    <t>Lenel Badge Request System (LBRS)</t>
  </si>
  <si>
    <t>Cost of Supply (COS)</t>
  </si>
  <si>
    <t>William Stark</t>
  </si>
  <si>
    <t>WStark@marathonpetroleum.com</t>
  </si>
  <si>
    <t>Budget System</t>
  </si>
  <si>
    <t>Collin Thomas</t>
  </si>
  <si>
    <t>CThomas3@marathonpetroleum.com</t>
  </si>
  <si>
    <t>Terminal Inventory Reconciliation</t>
  </si>
  <si>
    <t>Assessment Information Management Systems (AIMS)</t>
  </si>
  <si>
    <t>Enterprise Health</t>
  </si>
  <si>
    <t>Hydraulic Set Point DMS (Data Management System)</t>
  </si>
  <si>
    <t>Jason Dalton</t>
  </si>
  <si>
    <t>jdalton@marathonpetroleum.com</t>
  </si>
  <si>
    <t>Alarm Change Request</t>
  </si>
  <si>
    <t>Rob Rivest</t>
  </si>
  <si>
    <t>rlrivest@marathonpetroleum.com</t>
  </si>
  <si>
    <t>OS&amp;D Web Application</t>
  </si>
  <si>
    <t>Product Target Tracking</t>
  </si>
  <si>
    <t>Management of Change</t>
  </si>
  <si>
    <t>Scott Turner</t>
  </si>
  <si>
    <t>saturner@marathonpetroleum.com</t>
  </si>
  <si>
    <t>LIMS Reporting</t>
  </si>
  <si>
    <t>Designated Environmental Incidents (DEI)</t>
  </si>
  <si>
    <t>Contract Reporting (OLAP)</t>
  </si>
  <si>
    <t>AFE</t>
  </si>
  <si>
    <t>L&amp;S ePerformance</t>
  </si>
  <si>
    <t>MPL Operating Limits</t>
  </si>
  <si>
    <t>Contractor Background Check Portal</t>
  </si>
  <si>
    <t>IT-REF-CBC Portal Support</t>
  </si>
  <si>
    <t>Navarik Inspection Software</t>
  </si>
  <si>
    <t>Todd Sandifer</t>
  </si>
  <si>
    <t>tsandifer@marathonpetroleum.com</t>
  </si>
  <si>
    <t>External Messaging Chat Archiving Tool (EMCAT)</t>
  </si>
  <si>
    <t>Carla Mayfield</t>
  </si>
  <si>
    <t>CMayfield@Marathonpetroleum.com</t>
  </si>
  <si>
    <t>David VanSciver</t>
  </si>
  <si>
    <t>DRVanSciver@Marathonpetroleum.com</t>
  </si>
  <si>
    <t>Operating Limits</t>
  </si>
  <si>
    <t>StayWell</t>
  </si>
  <si>
    <t>TT&amp;R Interactive Work Permit</t>
  </si>
  <si>
    <t>Dennis Mendenhall</t>
  </si>
  <si>
    <t>DeMendenhall@marathonpetroleum.com</t>
  </si>
  <si>
    <t>Opportunity Tracker</t>
  </si>
  <si>
    <t>Rebecca Church</t>
  </si>
  <si>
    <t>rmchurch@marathonpetroleum.com</t>
  </si>
  <si>
    <t>MPL Tariffs</t>
  </si>
  <si>
    <t>Pipeline Safety Inspection Database</t>
  </si>
  <si>
    <t>Marketing Data Hub</t>
  </si>
  <si>
    <t>MPMP</t>
  </si>
  <si>
    <t>Hydraulics Calculator</t>
  </si>
  <si>
    <t>Operator Qualification</t>
  </si>
  <si>
    <t>David Miller</t>
  </si>
  <si>
    <t>davidrmiller@marathonpetroleum.com</t>
  </si>
  <si>
    <t>10.136.17.50</t>
  </si>
  <si>
    <t>VMware-42 07 28 a6 f5 a6 b3 d2-dd ae d1 7b 3d 05 d0 2f</t>
  </si>
  <si>
    <t>Aerial Patrol</t>
  </si>
  <si>
    <t>Luke Miller</t>
  </si>
  <si>
    <t>lukermiller@marathonpetroleum.com</t>
  </si>
  <si>
    <t>10.136.17.51</t>
  </si>
  <si>
    <t>VMware-42 07 68 32 03 64 e8 14-53 9d e0 f5 24 ca 6c aa</t>
  </si>
  <si>
    <t>10.220.20.150</t>
  </si>
  <si>
    <t>VMware-42 39 f8 ae 31 81 a2 99-99 34 46 1b 66 4e 99 87</t>
  </si>
  <si>
    <t>Marine Condition Based Monitoring</t>
  </si>
  <si>
    <t>Jerry Totten</t>
  </si>
  <si>
    <t>jctotten@marathonpetroleum.com</t>
  </si>
  <si>
    <t>IT-MPL-POLARIS Support</t>
  </si>
  <si>
    <t>Peter Berton</t>
  </si>
  <si>
    <t>PeBerton@marathonpetroleum.com</t>
  </si>
  <si>
    <t>MPL ROW (GeoLAND)</t>
  </si>
  <si>
    <t>10.220.20.212</t>
  </si>
  <si>
    <t>IT-INFR-Azure-M365 Services</t>
  </si>
  <si>
    <t>Mike Fitzgerald</t>
  </si>
  <si>
    <t>MPFitzgerald@Marathonpetroleum.com</t>
  </si>
  <si>
    <t>VMware-42 39 18 b4 31 55 f0 ce-c2 eb 36 9a 5e 6a 76 1a</t>
  </si>
  <si>
    <t>10.136.18.212</t>
  </si>
  <si>
    <t>VMware-42 07 5f c9 02 82 21 5d-47 8e f9 24 90 09 5e 31</t>
  </si>
  <si>
    <t>10.136.17.95</t>
  </si>
  <si>
    <t>Gregory Wheeler</t>
  </si>
  <si>
    <t>grwheeler@marathonpetroleum.com</t>
  </si>
  <si>
    <t>VMware-42 07 a2 f7 3d 0e 7f 03-d2 ec c8 27 f2 d8 31 79</t>
  </si>
  <si>
    <t>10.136.16.131</t>
  </si>
  <si>
    <t>VMware-42 07 3b 58 0e 83 cf 4d-2e 43 21 de 87 d0 3c 38</t>
  </si>
  <si>
    <t>Common Feedstock Quality System (QM)</t>
  </si>
  <si>
    <t>10.136.16.167</t>
  </si>
  <si>
    <t>Vince Lichtinger</t>
  </si>
  <si>
    <t>valichtinger@marathonpetroleum.com</t>
  </si>
  <si>
    <t>VMware-42 07 a1 e3 3d 06 81 d3-a8 12 9a cb 7d 62 50 90</t>
  </si>
  <si>
    <t>Marine Compatibility</t>
  </si>
  <si>
    <t>10.136.17.147</t>
  </si>
  <si>
    <t>VMware-42 07 50 97 a5 52 2e 17-69 e4 bc e8 ef d9 4b 90</t>
  </si>
  <si>
    <t>10.136.17.148</t>
  </si>
  <si>
    <t>VMware-42 07 82 b6 9a fb 60 8c-84 b6 cf 07 d1 a7 fb 51</t>
  </si>
  <si>
    <t>10.136.17.48</t>
  </si>
  <si>
    <t>VMware-42 07 46 f2 fb 26 71 91-cc ec 2e 08 3f fb 8b c3</t>
  </si>
  <si>
    <t>POLARIS Ticket Viewer &amp; Non-Sox Reporting</t>
  </si>
  <si>
    <t>10.220.18.195</t>
  </si>
  <si>
    <t>VMware-42 39 28 a6 6e 15 2d 33-c3 b0 94 c8 cd 83 bb 42</t>
  </si>
  <si>
    <t>Asset Manager 9.61</t>
  </si>
  <si>
    <t>10.136.17.199</t>
  </si>
  <si>
    <t>Damon Davis</t>
  </si>
  <si>
    <t>drdavis@marathonpetroleum.com</t>
  </si>
  <si>
    <t>Robert Tackett</t>
  </si>
  <si>
    <t>RoTackett@marathonpetroleum.com</t>
  </si>
  <si>
    <t>VMware-42 07 6b 00 ae cb 5a 7c-9a e8 86 a0 b8 52 49 5b</t>
  </si>
  <si>
    <t>Connect-IT 9.70</t>
  </si>
  <si>
    <t>10.136.17.200</t>
  </si>
  <si>
    <t>VMware-42 07 4e f1 28 3b 0e c6-9b 11 75 d7 8e 05 f1 ae</t>
  </si>
  <si>
    <t>10.136.16.168</t>
  </si>
  <si>
    <t>VMware-42 07 d7 ae fb 52 10 af-ad eb c6 77 0c 70 95 04</t>
  </si>
  <si>
    <t>Mediasite</t>
  </si>
  <si>
    <t>10.220.21.29</t>
  </si>
  <si>
    <t>H George</t>
  </si>
  <si>
    <t>hrgeorge@marathonpetroleum.com</t>
  </si>
  <si>
    <t>Julia Walsh</t>
  </si>
  <si>
    <t>jmwalshzitko@marathonpetroleum.com</t>
  </si>
  <si>
    <t>Lani Buckholtz</t>
  </si>
  <si>
    <t>lbuckholtz@marathonpetroleum.com</t>
  </si>
  <si>
    <t>VMware-42 0c ec 7d e5 af 1a 4f-2f 9e 06 ca 0c fa e1 90</t>
  </si>
  <si>
    <t>10.220.21.30</t>
  </si>
  <si>
    <t>VMware-42 39 a7 4b 0e 05 8d 68-b6 fe 3f 78 f7 60 4c a3</t>
  </si>
  <si>
    <t>10.220.21.31</t>
  </si>
  <si>
    <t>VMware-42 39 77 d9 9d 7e ac d7-12 0b ed 0a 24 1d 11 d6</t>
  </si>
  <si>
    <t>10.220.21.32</t>
  </si>
  <si>
    <t>VMware-42 39 34 6a 25 57 1a 21-85 22 31 c8 11 9f 95 a9</t>
  </si>
  <si>
    <t>MPS3182.mgroupnet.com</t>
  </si>
  <si>
    <t>10.220.16.115</t>
  </si>
  <si>
    <t>VMware-42 39 06 f0 a2 4e 48 89-fe 6b 16 99 cd e6 18 a6</t>
  </si>
  <si>
    <t>GSOC Portal</t>
  </si>
  <si>
    <t>10.136.16.241</t>
  </si>
  <si>
    <t>VMware-42 07 c8 80 67 2d 0f 08-8c cf 15 4d 6a c0 3a 4e</t>
  </si>
  <si>
    <t>10.136.16.238</t>
  </si>
  <si>
    <t>VMware-42 07 58 f4 0d 10 eb e4-87 c5 79 9c db a4 ba 8a</t>
  </si>
  <si>
    <t>10.136.16.239</t>
  </si>
  <si>
    <t>VMware-42 07 82 e9 29 0f 3e 44-0a 7f bc 61 e3 3a f8 a7</t>
  </si>
  <si>
    <t>Project &amp; Portfolio Management Center (PPM)</t>
  </si>
  <si>
    <t>10.136.17.120</t>
  </si>
  <si>
    <t>Salvador Martinez</t>
  </si>
  <si>
    <t>SMartinez3@Marathonpetroleum.com</t>
  </si>
  <si>
    <t>IT-INFR-PPM Support</t>
  </si>
  <si>
    <t>Jeremiah Deken</t>
  </si>
  <si>
    <t>jjdeken@marathonpetroleum.com</t>
  </si>
  <si>
    <t>VMware-42 07 29 4c fa 8d 56 56-5f c1 82 14 8b e7 a7 03</t>
  </si>
  <si>
    <t>3.10.0-957.38.2.el7.x86_64</t>
  </si>
  <si>
    <t>Fusion (eDiscovery)</t>
  </si>
  <si>
    <t>10.220.16.60</t>
  </si>
  <si>
    <t>Greg Gruic</t>
  </si>
  <si>
    <t>ggruic@marathonpetroleum.com</t>
  </si>
  <si>
    <t>Joseph Hill</t>
  </si>
  <si>
    <t>JHill@marathonpetroleum.com</t>
  </si>
  <si>
    <t>Legal</t>
  </si>
  <si>
    <t>10.220.16.61</t>
  </si>
  <si>
    <t>10.220.16.62</t>
  </si>
  <si>
    <t>10.220.18.83</t>
  </si>
  <si>
    <t>VMware-42 0c c5 56 e4 96 bb e1-99 18 36 b9 d2 48 a0 cc</t>
  </si>
  <si>
    <t>10.136.19.1</t>
  </si>
  <si>
    <t>VMware-42 07 31 07 cc 41 49 0b-6b ff 7c 6a 95 fb 34 64</t>
  </si>
  <si>
    <t>PCS</t>
  </si>
  <si>
    <t>10.136.16.202</t>
  </si>
  <si>
    <t>Isaac Reinholdt</t>
  </si>
  <si>
    <t>IMReinholdt@marathonpetroleum.com</t>
  </si>
  <si>
    <t>VMware-42 17 c0 c7 7a 79 1c 4f-67 16 71 45 35 d4 55 18</t>
  </si>
  <si>
    <t>10.220.17.105</t>
  </si>
  <si>
    <t>VMware-42 39 b9 10 89 d1 da 2d-df d8 88 bd 81 d7 b2 86</t>
  </si>
  <si>
    <t>10.136.18.254</t>
  </si>
  <si>
    <t>VMware-42 07 f5 79 f6 13 9c 66-6d ee 81 00 89 a6 b5 cb</t>
  </si>
  <si>
    <t>10.220.17.44</t>
  </si>
  <si>
    <t>VMware-42 39 62 1a 68 25 e5 af-7c 9a 90 6c b3 52 5c 7d</t>
  </si>
  <si>
    <t>10.220.17.45</t>
  </si>
  <si>
    <t>VMware-42 39 c9 b4 57 89 2d c4-1f 87 1e 51 9a af 92 42</t>
  </si>
  <si>
    <t>Jboss</t>
  </si>
  <si>
    <t>10.136.16.130</t>
  </si>
  <si>
    <t>VMware-42 07 e3 4b 33 b4 f4 96-bc 8f fd 5a e0 18 af e2</t>
  </si>
  <si>
    <t>Citrix XenDesktop</t>
  </si>
  <si>
    <t>10.220.21.204</t>
  </si>
  <si>
    <t>Eric Clark</t>
  </si>
  <si>
    <t>EClark@Marathonpetroleum.com</t>
  </si>
  <si>
    <t>VMware-42 39 65 09 1a 6a 43 d5-62 2c dd 08 17 28 c8 e9</t>
  </si>
  <si>
    <t>MyApps.MarathonPetroleum.com</t>
  </si>
  <si>
    <t>10.220.21.205</t>
  </si>
  <si>
    <t>VMware-42 39 fc d3 c1 79 f7 2a-81 88 2f 23 c5 c4 06 29</t>
  </si>
  <si>
    <t>10.136.19.63</t>
  </si>
  <si>
    <t>VMware-42 07 5d f3 3d 86 91 4f-31 6e db 6f c0 a3 91 a4</t>
  </si>
  <si>
    <t>10.136.19.64</t>
  </si>
  <si>
    <t>VMware-42 07 7a 34 4b 55 5c 18-b4 50 c5 7f 95 1c b5 3b</t>
  </si>
  <si>
    <t>10.136.16.111</t>
  </si>
  <si>
    <t>VMware-42 07 0c 3a 56 0b 6d 1e-a5 de 2a 57 92 b9 bf b4</t>
  </si>
  <si>
    <t>Price Relationship Management</t>
  </si>
  <si>
    <t>10.136.19.40</t>
  </si>
  <si>
    <t>IT-MKTG-LPSL Support</t>
  </si>
  <si>
    <t>Allen Grimm</t>
  </si>
  <si>
    <t>asgrimm@marathonpetroleum.com</t>
  </si>
  <si>
    <t>VMware-42 07 58 58 20 7a 08 7c-e7 26 c0 a3 69 e4 b9 76</t>
  </si>
  <si>
    <t>PROPHET</t>
  </si>
  <si>
    <t>10.136.19.41</t>
  </si>
  <si>
    <t>VMware-42 07 35 9d a8 95 40 01-08 a8 e1 08 04 e5 55 ae</t>
  </si>
  <si>
    <t>RINs Management System</t>
  </si>
  <si>
    <t>10.136.19.42</t>
  </si>
  <si>
    <t>Christopher McDaniel</t>
  </si>
  <si>
    <t>cjmcdaniel@marathonpetroleum.com</t>
  </si>
  <si>
    <t>Kristie Wetherill</t>
  </si>
  <si>
    <t>klwetherill@marathonpetroleum.com</t>
  </si>
  <si>
    <t>VMware-42 07 dd 0a 34 72 b8 d2-dc 8f 60 ee 07 e5 e0 06</t>
  </si>
  <si>
    <t>Refinery Forecast (RFF)</t>
  </si>
  <si>
    <t>Marathon Internal Pricing System (MIPS)</t>
  </si>
  <si>
    <t>Rachel Rice</t>
  </si>
  <si>
    <t>RCHostetler@marathonpetroleum.com</t>
  </si>
  <si>
    <t>TMIS  2.0</t>
  </si>
  <si>
    <t>Joe Ernst</t>
  </si>
  <si>
    <t>rernst@marathonpetroleum.com</t>
  </si>
  <si>
    <t>Chris Reaper</t>
  </si>
  <si>
    <t>ctreaper@marathonpetroleum.com</t>
  </si>
  <si>
    <t>Recipe Table</t>
  </si>
  <si>
    <t>Michele Leopold</t>
  </si>
  <si>
    <t>mmleopold@marathonpetroleum.com</t>
  </si>
  <si>
    <t>IT - Operations Accounting</t>
  </si>
  <si>
    <t>Jacob Cook</t>
  </si>
  <si>
    <t>jacobcook@marathonpetroleum.com</t>
  </si>
  <si>
    <t>Transportation Freight</t>
  </si>
  <si>
    <t>Mileage API</t>
  </si>
  <si>
    <t>Day Deal Management</t>
  </si>
  <si>
    <t>William Windom</t>
  </si>
  <si>
    <t>wawindom@marathonpetroleum.com</t>
  </si>
  <si>
    <t>Pierre DuPlessis</t>
  </si>
  <si>
    <t>pduplessis@marathonpetroleum.com</t>
  </si>
  <si>
    <t>Marathon Pricing Repository (MPR)</t>
  </si>
  <si>
    <t>10.136.19.43</t>
  </si>
  <si>
    <t>IT-LPSL-App Support</t>
  </si>
  <si>
    <t>Samuel Testen</t>
  </si>
  <si>
    <t>SaTesten@marathonpetroleum.com</t>
  </si>
  <si>
    <t>VMware-42 07 08 e3 87 33 b0 de-fe e4 0e bc f4 0d 28 f9</t>
  </si>
  <si>
    <t>ECHO (Event Communication Handling for Operations)</t>
  </si>
  <si>
    <t>10.136.19.44</t>
  </si>
  <si>
    <t>VMware-42 07 36 43 12 9c 3c d7-b1 0f 17 1b 7b 25 21 5e</t>
  </si>
  <si>
    <t>10.136.19.65</t>
  </si>
  <si>
    <t>VMware-42 07 57 2c 6d d0 60 e9-40 c5 37 4d d7 04 3f 1d</t>
  </si>
  <si>
    <t>10.136.19.66</t>
  </si>
  <si>
    <t>VMware-42 07 68 35 4c 3f f4 91-25 66 d7 95 25 03 21 32</t>
  </si>
  <si>
    <t>Microsoft Project</t>
  </si>
  <si>
    <t>10.136.16.125</t>
  </si>
  <si>
    <t>VMware-42 07 09 3c a3 ea e7 a5-72 e6 83 08 b4 f8 ed 95</t>
  </si>
  <si>
    <t>10.136.16.126</t>
  </si>
  <si>
    <t>VMware-42 07 09 75 b5 20 d3 dc-a3 94 f0 ee f6 1b fc af</t>
  </si>
  <si>
    <t>PQ Systems 18.1</t>
  </si>
  <si>
    <t>10.136.17.98</t>
  </si>
  <si>
    <t>VMware-42 07 cf 07 61 d5 56 c1-e7 83 cb e4 6e ed e6 bc</t>
  </si>
  <si>
    <t>Tableau Creator</t>
  </si>
  <si>
    <t>10.136.17.3</t>
  </si>
  <si>
    <t>IT-ANALYT-Tableau</t>
  </si>
  <si>
    <t>Kimberly Myers</t>
  </si>
  <si>
    <t>ksmyers@marathonpetroleum.com</t>
  </si>
  <si>
    <t>VMware-42 07 b6 b7 5b 93 7f 03-0b 8e d5 30 a1 1f 5d 47</t>
  </si>
  <si>
    <t>Tableau Data Prep</t>
  </si>
  <si>
    <t>10.136.16.147</t>
  </si>
  <si>
    <t>VMware-42 07 b5 76 c0 03 c8 75-16 7b fb b5 48 79 ba b1</t>
  </si>
  <si>
    <t>10.220.17.118</t>
  </si>
  <si>
    <t>VMware-42 39 3d 17 a7 4d d2 c3-8f 5c 11 80 bd fa b2 d4</t>
  </si>
  <si>
    <t>10.220.17.119</t>
  </si>
  <si>
    <t>VMware-42 39 7b 14 1e d2 fc 71-d5 0a cc b6 53 9d ec 2c</t>
  </si>
  <si>
    <t>SagePlus</t>
  </si>
  <si>
    <t>10.136.16.240</t>
  </si>
  <si>
    <t>Michael Collier</t>
  </si>
  <si>
    <t>macollier@marathonpetroleum.com</t>
  </si>
  <si>
    <t>VMware-42 07 47 7c 02 72 67 04-da 25 37 24 8e 6f d9 99</t>
  </si>
  <si>
    <t>Alteryx Analytics</t>
  </si>
  <si>
    <t>10.136.20.191</t>
  </si>
  <si>
    <t>IT-ANALYT-Alteryx</t>
  </si>
  <si>
    <t>Vicki Chadwick</t>
  </si>
  <si>
    <t>VJChadwick@Marathonpetroleum.com</t>
  </si>
  <si>
    <t>VMware-42 17 50 f8 07 7b 76 f6-5e 90 13 40 6c ba b2 92</t>
  </si>
  <si>
    <t>10.220.16.78</t>
  </si>
  <si>
    <t>VMware-42 39 48 96 45 d8 60 4c-ac 20 45 8c 54 5a 64 d2</t>
  </si>
  <si>
    <t>CA Application Delivery Analysis (ADA)</t>
  </si>
  <si>
    <t>10.136.17.76</t>
  </si>
  <si>
    <t>VMware-42 07 ee 07 11 97 ad 67-9a 13 43 5a a9 9b 3e e4</t>
  </si>
  <si>
    <t>10.136.16.205</t>
  </si>
  <si>
    <t>VMware-42 17 cc b6 27 10 5f b3-a9 b6 2b f8 07 88 6b 80</t>
  </si>
  <si>
    <t>10.136.16.206</t>
  </si>
  <si>
    <t>VMware-42 17 62 d7 b6 0f 74 39-3b cf 1f ea 3c 53 b1 c4</t>
  </si>
  <si>
    <t>MPS3384.mgroupnet.com</t>
  </si>
  <si>
    <t>10.220.21.241</t>
  </si>
  <si>
    <t>VMware-42 39 b6 8e d1 e9 87 7b-48 ff 61 28 49 6c af 5f</t>
  </si>
  <si>
    <t>Transpara vKPI</t>
  </si>
  <si>
    <t>10.136.18.66</t>
  </si>
  <si>
    <t>IT-REF-OR Support</t>
  </si>
  <si>
    <t>Dennis Lawless</t>
  </si>
  <si>
    <t>DALawless@Marathonpetroleum.com</t>
  </si>
  <si>
    <t>VMware-42 17 07 53 d8 c7 71 dc-d4 11 1d cc 83 a9 fb ff</t>
  </si>
  <si>
    <t>10.136.18.65</t>
  </si>
  <si>
    <t>VMware-42 17 96 ad 31 4b 22 d8-d3 20 87 16 61 4f 28 7b</t>
  </si>
  <si>
    <t>Mexico Billing Robotic Process</t>
  </si>
  <si>
    <t>10.136.18.196</t>
  </si>
  <si>
    <t>VMware-42 07 7f f1 a4 99 6f a8-86 79 bd b5 05 f7 fa d2</t>
  </si>
  <si>
    <t>10.136.18.197</t>
  </si>
  <si>
    <t>VMware-42 07 4a 2c 37 ad 12 71-ae a8 d0 f3 36 ed c3 c0</t>
  </si>
  <si>
    <t>10.136.19.71</t>
  </si>
  <si>
    <t>VMware-42 07 2e 5a 14 e1 25 ce-37 ee 32 37 39 30 94 f9</t>
  </si>
  <si>
    <t>10.136.19.72</t>
  </si>
  <si>
    <t>VMware-42 07 30 f0 66 84 28 1d-a4 d8 c0 8f a9 b9 41 0e</t>
  </si>
  <si>
    <t>10.136.19.74</t>
  </si>
  <si>
    <t>VMware-42 07 11 ea d3 f1 d4 e9-0c 89 57 82 71 f7 0b d3</t>
  </si>
  <si>
    <t>10.136.19.75</t>
  </si>
  <si>
    <t>VMware-42 07 d3 64 ce 18 ef b9-02 c9 d1 d8 f1 76 19 d2</t>
  </si>
  <si>
    <t>10.136.19.76</t>
  </si>
  <si>
    <t>VMware-42 07 69 d0 5b 74 b4 a9-2b a9 58 00 ac 2a 4c f4</t>
  </si>
  <si>
    <t>10.136.19.77</t>
  </si>
  <si>
    <t>VMware-42 07 5e 08 ef 22 e3 f2-1a 73 eb 26 af 4f 8d a5</t>
  </si>
  <si>
    <t>10.136.19.78</t>
  </si>
  <si>
    <t>VMware-42 07 89 a1 53 50 17 a9-7c c2 8c 70 23 5e 5d f3</t>
  </si>
  <si>
    <t>10.136.19.79</t>
  </si>
  <si>
    <t>VMware-42 07 76 9b 95 35 01 0d-79 bd 61 55 bc 90 32 de</t>
  </si>
  <si>
    <t>10.136.16.137</t>
  </si>
  <si>
    <t>VMware-42 07 ed 48 2d fc 62 a2-98 6f 48 f3 48 57 ae 69</t>
  </si>
  <si>
    <t>mps3424.Tesoropetroleum.com</t>
  </si>
  <si>
    <t>MPC Tulsa OK</t>
  </si>
  <si>
    <t>172.22.24.31</t>
  </si>
  <si>
    <t>VMware-42 34 05 f0 a0 08 c9 2f-fc 1a 92 64 3b be ad 18</t>
  </si>
  <si>
    <t>10.220.17.59</t>
  </si>
  <si>
    <t>VMware-42 39 d4 f3 80 8a 5f 62-a4 46 f6 85 7a 3f 89 99</t>
  </si>
  <si>
    <t>Crestron Fusion</t>
  </si>
  <si>
    <t>10.136.16.249</t>
  </si>
  <si>
    <t>Brian Niese</t>
  </si>
  <si>
    <t>bmniese@marathonpetroleum.com</t>
  </si>
  <si>
    <t>VMware-42 07 9a b6 50 49 fc 09-3c 1b ea cb 51 25 48 eb</t>
  </si>
  <si>
    <t>Azure DevOps</t>
  </si>
  <si>
    <t>10.136.17.24</t>
  </si>
  <si>
    <t>Barry Huff</t>
  </si>
  <si>
    <t>BHuff1@Marathonpetroleum.com</t>
  </si>
  <si>
    <t>Doug Carr</t>
  </si>
  <si>
    <t>douglascarr@marathonpetroleum.com</t>
  </si>
  <si>
    <t>VMware-42 07 00 de 49 02 19 65-25 0b d3 52 98 24 ef 05</t>
  </si>
  <si>
    <t xml:space="preserve">TeamMate </t>
  </si>
  <si>
    <t>10.136.16.226</t>
  </si>
  <si>
    <t>Michael Robinson</t>
  </si>
  <si>
    <t>mwrobinson@marathonpetroleum.com</t>
  </si>
  <si>
    <t>Zakariya Velasquez</t>
  </si>
  <si>
    <t>ZVelasquez@marathonpetroleum.com</t>
  </si>
  <si>
    <t>VMware-42 17 26 4d 00 51 70 ff-fc b3 50 79 c3 85 91 ae</t>
  </si>
  <si>
    <t>MPAC (MPC Political Action Committee)</t>
  </si>
  <si>
    <t>Lavelle Edmondson</t>
  </si>
  <si>
    <t>ledmondson@marathonpetroleum.com</t>
  </si>
  <si>
    <t>Spencer Huff</t>
  </si>
  <si>
    <t>SpHuff@marathonpetroleum.com</t>
  </si>
  <si>
    <t>NVision</t>
  </si>
  <si>
    <t>10.136.16.150</t>
  </si>
  <si>
    <t>VMware-42 07 f4 ef 7f df 07 07-9d 1c 51 a4 24 8a ac e5</t>
  </si>
  <si>
    <t>10.136.16.109</t>
  </si>
  <si>
    <t>VMware-42 07 b8 6f dc f9 aa 63-06 f9 83 3b 15 a8 c9 59</t>
  </si>
  <si>
    <t>The Wercs</t>
  </si>
  <si>
    <t>10.136.16.34</t>
  </si>
  <si>
    <t>VMware-42 17 28 0a 8f d9 00 58-fd 1e 91 64 81 a2 a9 40</t>
  </si>
  <si>
    <t>10.136.20.218</t>
  </si>
  <si>
    <t>VMware-42 17 a8 1c df aa 58 63-63 4a 2d c2 fd 4a b4 03</t>
  </si>
  <si>
    <t>10.136.18.198</t>
  </si>
  <si>
    <t>VMware-42 07 30 90 cf b7 1e 2b-00 fb fc fd 94 a1 55 ee</t>
  </si>
  <si>
    <t>10.136.18.199</t>
  </si>
  <si>
    <t>VMware-42 07 fe 6f e4 61 d4 46-40 09 b2 12 09 b1 cc c7</t>
  </si>
  <si>
    <t>10.136.18.200</t>
  </si>
  <si>
    <t>VMware-42 07 3e 80 91 78 63 2d-4a c9 63 9c 5d 4f 2a 7b</t>
  </si>
  <si>
    <t>10.136.18.202</t>
  </si>
  <si>
    <t>VMware-42 07 f9 58 cb e1 0a f8-fc e2 18 83 f4 8b a7 cd</t>
  </si>
  <si>
    <t>10.136.18.203</t>
  </si>
  <si>
    <t>VMware-42 07 1f 13 21 49 85 f2-98 10 24 5e bb 10 4e db</t>
  </si>
  <si>
    <t>10.136.19.16</t>
  </si>
  <si>
    <t>VMware-42 07 20 19 fb a8 20 c0-77 a6 00 46 c1 0b 44 f0</t>
  </si>
  <si>
    <t>10.136.19.17</t>
  </si>
  <si>
    <t>VMware-42 07 1c e2 6d 12 cd bd-69 e6 b0 a4 79 ce a8 0d</t>
  </si>
  <si>
    <t>10.136.19.18</t>
  </si>
  <si>
    <t>VMware-42 07 a9 ee 0d f8 f0 ef-26 cb ec b4 d3 e2 23 f0</t>
  </si>
  <si>
    <t>10.136.19.19</t>
  </si>
  <si>
    <t>VMware-42 07 76 cd e1 2a 13 d6-25 dc b2 5b 8e c5 eb 02</t>
  </si>
  <si>
    <t>MED</t>
  </si>
  <si>
    <t>10.53.0.10</t>
  </si>
  <si>
    <t>10.53.0.9</t>
  </si>
  <si>
    <t>Fuel-FACS</t>
  </si>
  <si>
    <t>10.136.19.80</t>
  </si>
  <si>
    <t>Brian Lloyd</t>
  </si>
  <si>
    <t>BLloyd@marathonpetroleum.com</t>
  </si>
  <si>
    <t>VMware-42 07 17 13 1d 6a ed 9e-9c a2 ed 15 b9 90 9e cb</t>
  </si>
  <si>
    <t>Fuel-FACS EDS</t>
  </si>
  <si>
    <t>10.136.19.84</t>
  </si>
  <si>
    <t>VMware-42 17 77 ce 0e 0d f0 c7-c6 55 44 24 ae aa 43 77</t>
  </si>
  <si>
    <t>10.136.19.85</t>
  </si>
  <si>
    <t>VMware-42 07 3f ae 3e dd d3 94-0c ef ba fe 95 07 0e 98</t>
  </si>
  <si>
    <t>7.9</t>
  </si>
  <si>
    <t>10.136.12.213</t>
  </si>
  <si>
    <t>VMware-42 17 d7 0d 7c e2 c0 b5-69 09 6d 11 2e 5e 66 2c</t>
  </si>
  <si>
    <t>10.136.12.231</t>
  </si>
  <si>
    <t>VMware-42 17 a6 a7 7a 73 b6 54-0e 28 26 c7 9e c0 f3 b1</t>
  </si>
  <si>
    <t>10.136.12.212</t>
  </si>
  <si>
    <t>VMware-42 17 76 de a2 51 a8 2a-0e 53 cc 8b 59 a1 73 81</t>
  </si>
  <si>
    <t>10.136.12.214</t>
  </si>
  <si>
    <t>VMware-42 17 3f 05 5d d5 bf 5a-36 16 43 e3 f7 f4 45 d4</t>
  </si>
  <si>
    <t>10.136.16.81</t>
  </si>
  <si>
    <t>VMware-42 17 da 98 80 00 ea cb-d7 dc 22 96 fa 57 3f af</t>
  </si>
  <si>
    <t>Travel and Entertainment Credit Card (T&amp;E)</t>
  </si>
  <si>
    <t>10.136.17.23</t>
  </si>
  <si>
    <t>Lindsay Arnold</t>
  </si>
  <si>
    <t>searnold@marathonpetroleum.com</t>
  </si>
  <si>
    <t>VMware-42 07 7e 94 f5 21 36 ce-06 40 e6 7a f2 7f 91 53</t>
  </si>
  <si>
    <t>RSA Archer GRC</t>
  </si>
  <si>
    <t>10.136.17.81</t>
  </si>
  <si>
    <t>Joe Hooker</t>
  </si>
  <si>
    <t>jmhooker@marathonpetroleum.com</t>
  </si>
  <si>
    <t>VMware-42 07 0f 93 7f 09 39 bc-78 e7 9b 7c ad 2b 1b 24</t>
  </si>
  <si>
    <t>10.136.17.82</t>
  </si>
  <si>
    <t>VMware-42 07 7d ca 63 c9 03 45-26 e7 a1 0b 8d 51 d4 cc</t>
  </si>
  <si>
    <t>COMPARE</t>
  </si>
  <si>
    <t>10.136.16.211</t>
  </si>
  <si>
    <t>Mike Lowry</t>
  </si>
  <si>
    <t>MiLowry@marathonpetroleum.com</t>
  </si>
  <si>
    <t>VMware-42 07 16 b5 43 13 58 8d-ba 50 d0 42 8b e2 17 48</t>
  </si>
  <si>
    <t>10.136.17.237</t>
  </si>
  <si>
    <t>VMware-42 17 01 57 5c c2 c7 6a-0d 0f 55 80 dc 41 bd 61</t>
  </si>
  <si>
    <t>OneSource Web Compliance</t>
  </si>
  <si>
    <t>Kathryn McKee</t>
  </si>
  <si>
    <t>klmckee@marathonpetroleum.com</t>
  </si>
  <si>
    <t>WinShuttle</t>
  </si>
  <si>
    <t>10.136.17.91</t>
  </si>
  <si>
    <t>Nicholas Zakowski</t>
  </si>
  <si>
    <t>njzakowski@marathonpetroleum.com</t>
  </si>
  <si>
    <t>VMware-42 07 71 c5 be cb 47 91-b8 f1 c1 5f cb 84 6e 1e</t>
  </si>
  <si>
    <t xml:space="preserve">Winshuttle EAM Solutions </t>
  </si>
  <si>
    <t>10.136.19.7</t>
  </si>
  <si>
    <t>VMware-42 17 86 05 bd 3f e3 e2-fa 96 97 98 d6 de d5 c4</t>
  </si>
  <si>
    <t>10.220.18.223</t>
  </si>
  <si>
    <t>VMware-42 0c 8c 97 98 2f 4f cd-37 f5 08 b4 23 7b df 64</t>
  </si>
  <si>
    <t>MPL - IFS Enterprise Operational Intelligence</t>
  </si>
  <si>
    <t>10.220.19.69</t>
  </si>
  <si>
    <t>Jeff Hoffa</t>
  </si>
  <si>
    <t>jlhoffa@marathonpetroleum.com</t>
  </si>
  <si>
    <t>VMware-42 0c 3d 8d 24 c3 0b 81-60 33 fe 0b 41 8e e4 70</t>
  </si>
  <si>
    <t>10.136.18.43</t>
  </si>
  <si>
    <t>VMware-42 07 4d 03 e6 18 d5 9d-75 f7 67 63 63 e6 6d 0a</t>
  </si>
  <si>
    <t>DISA</t>
  </si>
  <si>
    <t>10.136.18.44</t>
  </si>
  <si>
    <t>Scott De Graaf</t>
  </si>
  <si>
    <t>sgdegraaf@marathonpetroleum.com</t>
  </si>
  <si>
    <t>VMware-42 07 45 57 20 a2 ec e6-e1 6f f1 47 d3 25 78 43</t>
  </si>
  <si>
    <t>Asset History</t>
  </si>
  <si>
    <t>Dan Horn</t>
  </si>
  <si>
    <t>DHorn@marathonpetroleum.com</t>
  </si>
  <si>
    <t>10.136.17.99</t>
  </si>
  <si>
    <t>VMware-42 17 ba 88 aa 74 22 8f-97 b4 ab ea e7 40 dc e7</t>
  </si>
  <si>
    <t>10.136.19.185</t>
  </si>
  <si>
    <t>VMware-42 17 f3 ed dc 72 52 53-25 74 25 d0 2d d2 35 87</t>
  </si>
  <si>
    <t>Bentley Drafting Suite</t>
  </si>
  <si>
    <t>10.136.17.33</t>
  </si>
  <si>
    <t>Matthew Wright</t>
  </si>
  <si>
    <t>mjwright@marathonpetroleum.com</t>
  </si>
  <si>
    <t>Kishmiel County</t>
  </si>
  <si>
    <t>KCounty@marathonpetroleum.com</t>
  </si>
  <si>
    <t>VMware-42 17 50 01 ca 5c 4a e1-40 b5 3a 58 c5 fa 65 93</t>
  </si>
  <si>
    <t>10.136.17.34</t>
  </si>
  <si>
    <t>VMware-42 17 48 19 74 86 07 4a-d7 e0 f9 dc 34 72 a2 94</t>
  </si>
  <si>
    <t>10.136.17.35</t>
  </si>
  <si>
    <t>4AF81742-BF28-785F-33C4-3F975CF711FF</t>
  </si>
  <si>
    <t>10.136.17.37</t>
  </si>
  <si>
    <t>VMware-42 17 ae 49 33 b5 9a 75-27 27 fa 35 7f c6 be a7</t>
  </si>
  <si>
    <t>10.136.17.38</t>
  </si>
  <si>
    <t>VMware-42 17 f4 48 2d 5d ea a1-e8 cc aa 31 21 79 7d 0e</t>
  </si>
  <si>
    <t>10.136.17.39</t>
  </si>
  <si>
    <t>VMware-42 17 c5 19 e5 3c f9 83-99 fc 68 5e 79 53 09 7e</t>
  </si>
  <si>
    <t>10.220.21.175</t>
  </si>
  <si>
    <t>VMware-42 0c 77 6c 8b f1 09 85-c8 96 db 6e a1 02 a1 74</t>
  </si>
  <si>
    <t>10.136.22.132</t>
  </si>
  <si>
    <t>VMware-42 17 a9 72 ec 3a f6 43-9f 83 7b f2 86 46 4b 9c</t>
  </si>
  <si>
    <t>10.136.18.96</t>
  </si>
  <si>
    <t>VMware-42 17 22 95 ba 99 f9 57-c0 00 a7 65 3b 96 6c 17</t>
  </si>
  <si>
    <t>3.10.0-1127.19.1.el7.x86_64</t>
  </si>
  <si>
    <t>10.136.19.29</t>
  </si>
  <si>
    <t>192.168.122.1</t>
  </si>
  <si>
    <t>VMware-42 17 19 3c b8 f7 b2 88-ea 8a 19 ba 77 6a fd a9</t>
  </si>
  <si>
    <t>Two Ring (2 Ring)</t>
  </si>
  <si>
    <t>10.136.17.160</t>
  </si>
  <si>
    <t>VMware-42 17 7f 78 68 f2 05 02-58 94 dd 69 a0 12 a2 28</t>
  </si>
  <si>
    <t>10.136.16.159</t>
  </si>
  <si>
    <t>VMware-42 0c 34 21 47 0a b3 49-bf 36 a7 d6 e3 84 ed af</t>
  </si>
  <si>
    <t>Long-Term Price Forecasting (LTPF)</t>
  </si>
  <si>
    <t>10.136.20.208</t>
  </si>
  <si>
    <t>Rakesh Shetty</t>
  </si>
  <si>
    <t>RRShetty@Marathonpetroleum.com</t>
  </si>
  <si>
    <t>VMware-42 17 88 ca 95 a3 50 cf-5f a6 a3 c6 93 e2 2a 6f</t>
  </si>
  <si>
    <t>iTAR</t>
  </si>
  <si>
    <t>10.136.17.172</t>
  </si>
  <si>
    <t>Mike Fannin</t>
  </si>
  <si>
    <t>mlfannin@marathonpetroleum.com</t>
  </si>
  <si>
    <t>Jason Pocino</t>
  </si>
  <si>
    <t>jpocino@marathonpetroleum.com</t>
  </si>
  <si>
    <t>VMware-42 17 39 30 5b a8 d7 06-ed 70 26 bd 8d b7 3c 42</t>
  </si>
  <si>
    <t>10.136.17.173</t>
  </si>
  <si>
    <t>VMware-42 17 85 f4 96 7b 61 9d-47 fb f4 fe a0 11 1d a3</t>
  </si>
  <si>
    <t>10.136.17.5</t>
  </si>
  <si>
    <t>John Quaid</t>
  </si>
  <si>
    <t>jjquaid@marathonpetroleum.com</t>
  </si>
  <si>
    <t>Jenn Buzaleski</t>
  </si>
  <si>
    <t>jjspears@marathonpetroleum.com</t>
  </si>
  <si>
    <t>VMware-42 17 55 33 4d b8 c7 0c-2f 27 3c 19 0a c5 17 48</t>
  </si>
  <si>
    <t>mps5701.mgroupnet.com</t>
  </si>
  <si>
    <t>10.136.19.197</t>
  </si>
  <si>
    <t>VMware-42 17 c8 7f d5 bc b1 0c-7c ce 66 7c f1 91 54 d3</t>
  </si>
  <si>
    <t>10.136.17.6</t>
  </si>
  <si>
    <t>VMware-42 17 af 9b d6 8a 6e 0e-83 22 6c 44 60 06 94 92</t>
  </si>
  <si>
    <t>HCM Thrift</t>
  </si>
  <si>
    <t>10.136.16.38</t>
  </si>
  <si>
    <t>Stephen Nelson</t>
  </si>
  <si>
    <t>sanelson@marathonpetroleum.com</t>
  </si>
  <si>
    <t>John Koch</t>
  </si>
  <si>
    <t>jhkoch@marathonpetroleum.com</t>
  </si>
  <si>
    <t>VMware-42 17 99 26 16 0d 7b af-16 82 17 a3 d6 d0 7c 52</t>
  </si>
  <si>
    <t>HCM Benefits - MPC</t>
  </si>
  <si>
    <t>Keri Ardner</t>
  </si>
  <si>
    <t>keardner@marathonpetroleum.com</t>
  </si>
  <si>
    <t>HCM Payroll Tax</t>
  </si>
  <si>
    <t>Bruce Ritter</t>
  </si>
  <si>
    <t>beritter@marathonpetroleum.com</t>
  </si>
  <si>
    <t>HCM Reporting</t>
  </si>
  <si>
    <t>Denise Heffner</t>
  </si>
  <si>
    <t>dheffner@marathonpetroleum.com</t>
  </si>
  <si>
    <t>HCM Retirement, Fidelity</t>
  </si>
  <si>
    <t>HCM Benefits Service Center</t>
  </si>
  <si>
    <t>Andrea Roth</t>
  </si>
  <si>
    <t>ajRoth@marathonpetroleum.com</t>
  </si>
  <si>
    <t>HCM Organizational Management</t>
  </si>
  <si>
    <t>HCM Service Awards, Inspirus Service Awards</t>
  </si>
  <si>
    <t>HCM Time</t>
  </si>
  <si>
    <t>Tax Factory 10</t>
  </si>
  <si>
    <t>HCM Educational Reimbursement</t>
  </si>
  <si>
    <t>HCM Compensation</t>
  </si>
  <si>
    <t>Reed Zimmer</t>
  </si>
  <si>
    <t>rmzimmer@marathonpetroleum.com</t>
  </si>
  <si>
    <t>Chad Snyder</t>
  </si>
  <si>
    <t>ChSnyder@marathonpetroleum.com</t>
  </si>
  <si>
    <t>HCM Payroll</t>
  </si>
  <si>
    <t>HCM Security</t>
  </si>
  <si>
    <t>HCM Personnel Administration</t>
  </si>
  <si>
    <t>HCM ESS/MSS</t>
  </si>
  <si>
    <t>MPS5731.mgroupnet.com</t>
  </si>
  <si>
    <t>10.136.16.39</t>
  </si>
  <si>
    <t>VMware-42 17 c9 93 f8 39 8f a1-38 d4 45 dd 9d 01 43 01</t>
  </si>
  <si>
    <t>MPS5732.mgroupnet.com</t>
  </si>
  <si>
    <t>10.136.16.40</t>
  </si>
  <si>
    <t>VMware-42 17 0e 2e 41 5d e0 49-99 eb 58 f0 fd fd c1 ae</t>
  </si>
  <si>
    <t>MPS5733.mgroupnet.com</t>
  </si>
  <si>
    <t>10.136.18.53</t>
  </si>
  <si>
    <t>VMware-42 17 78 76 08 f6 d0 47-3c 42 d7 63 ac 77 1b b4</t>
  </si>
  <si>
    <t>MPS5734.mgroupnet.com</t>
  </si>
  <si>
    <t>10.136.18.54</t>
  </si>
  <si>
    <t>VMware-42 17 ce f1 db 90 8b 6f-28 2c 07 71 23 f8 55 4d</t>
  </si>
  <si>
    <t>MPS5735.mgroupnet.com</t>
  </si>
  <si>
    <t>10.136.18.155</t>
  </si>
  <si>
    <t>VMware-42 17 dd 86 3a 03 45 18-90 7c 61 c4 87 e2 a6 2a</t>
  </si>
  <si>
    <t>10.136.16.41</t>
  </si>
  <si>
    <t>VMware-42 17 fd f6 a7 7d 2a 6a-f8 45 b2 b9 cd 19 c2 4f</t>
  </si>
  <si>
    <t>10.136.18.156</t>
  </si>
  <si>
    <t>VMware-42 17 7d f6 6a d1 42 57-81 2b d9 83 e2 1b 0a 54</t>
  </si>
  <si>
    <t>MPS5756.mgroupnet.com</t>
  </si>
  <si>
    <t>10.136.16.53</t>
  </si>
  <si>
    <t>VMware-42 17 80 ad 47 c0 0b b0-2a 49 ce 93 59 37 7e 18</t>
  </si>
  <si>
    <t>SAP Finance</t>
  </si>
  <si>
    <t>10.136.21.214</t>
  </si>
  <si>
    <t>Shawn Spiess</t>
  </si>
  <si>
    <t>sspiess@marathonpetroleum.com</t>
  </si>
  <si>
    <t>VMware-42 17 f6 f6 99 88 31 20-b6 fc 53 20 0e 5f aa 9a</t>
  </si>
  <si>
    <t>SAP Customer</t>
  </si>
  <si>
    <t>IT-ACCTG-Fin Acctg Support</t>
  </si>
  <si>
    <t>Stephanie Hagen</t>
  </si>
  <si>
    <t>SMHagen@Marathonpetroleum.com</t>
  </si>
  <si>
    <t>SAP Vendor</t>
  </si>
  <si>
    <t>Nancy Meyer</t>
  </si>
  <si>
    <t>nemeyer@marathonpetroleum.com</t>
  </si>
  <si>
    <t>IT-MDG Support</t>
  </si>
  <si>
    <t>SAP Commodity</t>
  </si>
  <si>
    <t>Nathan Muehl</t>
  </si>
  <si>
    <t>nhmuehl@marathonpetroleum.com</t>
  </si>
  <si>
    <t>SAP Material</t>
  </si>
  <si>
    <t>10.136.21.215</t>
  </si>
  <si>
    <t>VMware-42 17 1b 9c 38 55 aa 23-b7 d2 b7 c6 1e 5e 2f c1</t>
  </si>
  <si>
    <t>10.136.21.219</t>
  </si>
  <si>
    <t>VMware-42 17 3d 15 b2 24 78 74-de 37 23 87 f7 16 bc b4</t>
  </si>
  <si>
    <t>10.136.21.220</t>
  </si>
  <si>
    <t>VMware-42 17 97 15 8e b9 4a 4c-af 3d 74 6b 12 e0 dd 52</t>
  </si>
  <si>
    <t>MPS5780.mgroupnet.com</t>
  </si>
  <si>
    <t>10.136.16.140</t>
  </si>
  <si>
    <t>Rajesh Venkatesan</t>
  </si>
  <si>
    <t>RVenkatesan@Marathonpetroleum.com</t>
  </si>
  <si>
    <t>VMware-42 17 93 17 4d 19 aa de-e9 8a a5 32 08 7e 16 05</t>
  </si>
  <si>
    <t>BW Reporting Supply Chain</t>
  </si>
  <si>
    <t>Colleen Foley</t>
  </si>
  <si>
    <t>cmfoley@marathonpetroleum.com</t>
  </si>
  <si>
    <t>SAP Business Objects Analysis For MS Office</t>
  </si>
  <si>
    <t>SAP Business Objects Web Intelligence</t>
  </si>
  <si>
    <t>MPS5781.mgroupnet.com</t>
  </si>
  <si>
    <t>10.136.16.139</t>
  </si>
  <si>
    <t>VMware-42 17 64 af 9f 27 5f a7-ce cf a4 40 14 86 e4 3e</t>
  </si>
  <si>
    <t>MPS5782.mgroupnet.com</t>
  </si>
  <si>
    <t>10.136.18.48</t>
  </si>
  <si>
    <t>VMware-42 17 2a 87 d1 42 a5 2d-d9 05 47 7c 9c bf 81 86</t>
  </si>
  <si>
    <t>10.136.18.49</t>
  </si>
  <si>
    <t>VMware-42 17 74 14 ef 5a f3 de-dc 7c f7 31 01 3e bc 1e</t>
  </si>
  <si>
    <t>MPS5784.mgroupnet.com</t>
  </si>
  <si>
    <t>10.136.18.50</t>
  </si>
  <si>
    <t>VMware-42 17 5c f9 9d 91 01 f9-31 1c 6a f8 75 3e dd e4</t>
  </si>
  <si>
    <t>MPS5785.mgroupnet.com</t>
  </si>
  <si>
    <t>10.136.18.51</t>
  </si>
  <si>
    <t>VMware-42 17 fd f3 e9 d0 63 28-32 39 3f 44 0f 5e 15 71</t>
  </si>
  <si>
    <t>10.136.18.52</t>
  </si>
  <si>
    <t>VMware-42 17 0b 74 0a 93 02 3b-88 c7 e7 82 95 1b 82 d2</t>
  </si>
  <si>
    <t>10.136.16.58</t>
  </si>
  <si>
    <t>VMware-42 17 30 1c 0d ca d3 f6-87 b7 61 ac 25 15 9d d0</t>
  </si>
  <si>
    <t>10.136.16.116</t>
  </si>
  <si>
    <t>VMware-42 17 bb af a3 62 10 b4-5b f6 c9 ea 69 bc 24 e3</t>
  </si>
  <si>
    <t>10.136.16.117</t>
  </si>
  <si>
    <t>VMware-42 17 89 b4 e2 9f cb e7-be 8c 41 e9 a1 ff 28 8a</t>
  </si>
  <si>
    <t>10.136.17.243</t>
  </si>
  <si>
    <t>VMware-42 17 10 b7 0f 76 56 48-6f 7f 05 81 f6 5a 1f ea</t>
  </si>
  <si>
    <t>10.136.17.244</t>
  </si>
  <si>
    <t>VMware-42 17 66 29 57 88 5b c9-e3 de e4 e9 79 69 22 50</t>
  </si>
  <si>
    <t>10.136.17.245</t>
  </si>
  <si>
    <t>VMware-42 17 9a dc 01 a3 a1 9a-dc 22 56 6e 63 cb d0 82</t>
  </si>
  <si>
    <t xml:space="preserve">GRC - Access Control and Process Control </t>
  </si>
  <si>
    <t>10.136.21.223</t>
  </si>
  <si>
    <t>Brian Munford</t>
  </si>
  <si>
    <t>BMunford@marathonpetroleum.com</t>
  </si>
  <si>
    <t>Jonathan Weber</t>
  </si>
  <si>
    <t>jweber1@marathonpetroleum.com</t>
  </si>
  <si>
    <t>IT-SAP-Security Support - MPC</t>
  </si>
  <si>
    <t>Christine Carey</t>
  </si>
  <si>
    <t>cecarey@marathonpetroleum.com</t>
  </si>
  <si>
    <t>VMware-42 17 64 d4 42 83 0f 32-52 f5 9c 6d d0 14 5c 82</t>
  </si>
  <si>
    <t>10.136.21.224</t>
  </si>
  <si>
    <t>VMware-42 17 1f 09 63 bf 0b 05-1f ee 36 91 58 e0 71 7e</t>
  </si>
  <si>
    <t>10.136.21.228</t>
  </si>
  <si>
    <t>VMware-42 17 c3 ad b8 9a 04 c8-6c 75 c4 71 5b e1 09 da</t>
  </si>
  <si>
    <t>10.136.21.229</t>
  </si>
  <si>
    <t>VMware-42 17 65 d7 86 75 d7 be-b9 a1 17 4c 4b 13 08 c5</t>
  </si>
  <si>
    <t>10.136.21.182</t>
  </si>
  <si>
    <t>VMware-42 17 41 85 cc c0 c6 04-29 fa fc fe 70 1b c0 f1</t>
  </si>
  <si>
    <t>10.136.21.183</t>
  </si>
  <si>
    <t>VMware-42 17 38 00 bd df 29 f4-b6 c8 4a 8e 27 07 a7 04</t>
  </si>
  <si>
    <t>10.136.21.177</t>
  </si>
  <si>
    <t>VMware-42 17 35 e5 8b 01 56 99-73 27 a3 29 0e 3f ce b0</t>
  </si>
  <si>
    <t>10.136.21.178</t>
  </si>
  <si>
    <t>VMware-42 17 98 c5 d9 87 9a b2-bb aa 54 6a 75 26 d0 0a</t>
  </si>
  <si>
    <t>uPerform Client</t>
  </si>
  <si>
    <t>10.136.18.102</t>
  </si>
  <si>
    <t>VMware-42 17 d4 6a f7 63 49 54-96 a7 8c 7d 13 af 4a db</t>
  </si>
  <si>
    <t>10.136.18.103</t>
  </si>
  <si>
    <t>VMware-42 17 11 41 c5 9d 9c 4b-61 40 98 21 b7 76 56 8e</t>
  </si>
  <si>
    <t>SAP BW4HANA</t>
  </si>
  <si>
    <t>10.136.21.206</t>
  </si>
  <si>
    <t>Andrea Broerman</t>
  </si>
  <si>
    <t>abroerman@marathonpetroleum.com</t>
  </si>
  <si>
    <t>VMware-42 17 f2 cb 08 1d 6a d4-d8 d3 16 19 83 22 78 84</t>
  </si>
  <si>
    <t>10.136.21.207</t>
  </si>
  <si>
    <t>VMware-42 17 79 b5 e5 d0 bc 7e-9c 6d 98 1a 75 45 5b d2</t>
  </si>
  <si>
    <t>10.136.21.208</t>
  </si>
  <si>
    <t>VMware-42 17 b0 ae 50 f8 1a 11-99 d1 46 23 d9 ac 9d 20</t>
  </si>
  <si>
    <t>10.136.21.209</t>
  </si>
  <si>
    <t>VMware-42 17 fa e1 1f 88 39 fa-ed 90 f5 3e b9 1d ae 91</t>
  </si>
  <si>
    <t>10.136.21.210</t>
  </si>
  <si>
    <t>VMware-42 17 4a 52 a3 eb ef 25-34 d4 1a 2a c7 f0 79 70</t>
  </si>
  <si>
    <t>10.136.21.211</t>
  </si>
  <si>
    <t>VMware-42 17 e4 97 23 67 77 d2-81 62 c1 1e 41 bd db f7</t>
  </si>
  <si>
    <t>10.136.21.201</t>
  </si>
  <si>
    <t>VMware-42 17 da ba 1c 60 86 72-29 04 18 d9 ff dd 72 26</t>
  </si>
  <si>
    <t>10.136.21.202</t>
  </si>
  <si>
    <t>VMware-42 17 c7 02 24 59 5c de-69 4e c6 a1 ca 74 59 1c</t>
  </si>
  <si>
    <t>Supplier Relationship Management (SRM) EHP3 SP17</t>
  </si>
  <si>
    <t>10.136.17.224</t>
  </si>
  <si>
    <t>Michael Gebhardt</t>
  </si>
  <si>
    <t>MPGebhardt@Marathonpetroleum.com</t>
  </si>
  <si>
    <t>SC-SAP Supplier Relationship Support</t>
  </si>
  <si>
    <t>J Robert Bruce</t>
  </si>
  <si>
    <t>jrbruce@marathonpetroleum.com</t>
  </si>
  <si>
    <t>Supply Chain Management</t>
  </si>
  <si>
    <t>VMware-42 17 da 2f 7a 0b fc ad-c4 fd 64 ae 97 8c 91 31</t>
  </si>
  <si>
    <t>MPS5861.mgroupnet.com</t>
  </si>
  <si>
    <t>10.136.17.225</t>
  </si>
  <si>
    <t>VMware-42 17 b5 b2 81 69 ea cb-28 5c 92 35 7f 1c 7a cc</t>
  </si>
  <si>
    <t>MPS5862.mgroupnet.com</t>
  </si>
  <si>
    <t>10.136.18.47</t>
  </si>
  <si>
    <t>VMware-42 17 e8 ea 58 79 06 dc-60 c5 3c e2 46 ac 08 79</t>
  </si>
  <si>
    <t>10.136.18.157</t>
  </si>
  <si>
    <t>VMware-42 17 60 81 48 44 17 c2-81 ab 6d b0 05 98 07 2a</t>
  </si>
  <si>
    <t>Information Steward</t>
  </si>
  <si>
    <t>10.136.17.157</t>
  </si>
  <si>
    <t>IT-INFO MGMT-Data Services Support</t>
  </si>
  <si>
    <t>Alex Barr</t>
  </si>
  <si>
    <t>apbarr@marathonpetroleum.com</t>
  </si>
  <si>
    <t>VMware-42 17 db c3 05 41 d7 c5-86 60 5e 67 cc 49 a3 b6</t>
  </si>
  <si>
    <t>Data Quality Management (DQM)</t>
  </si>
  <si>
    <t>10.136.17.158</t>
  </si>
  <si>
    <t>VMware-42 17 3d ee 9b 60 9d 1c-1a fc ec 1a 72 5a 3d fd</t>
  </si>
  <si>
    <t>10.136.18.55</t>
  </si>
  <si>
    <t>VMware-42 17 22 98 c2 2f 44 21-f1 af 36 58 db f2 e3 7f</t>
  </si>
  <si>
    <t>SAP CPI</t>
  </si>
  <si>
    <t>10.136.17.53</t>
  </si>
  <si>
    <t>VMware-42 17 f4 ac 2f c0 f9 ff-65 a4 61 53 04 a7 0c b3</t>
  </si>
  <si>
    <t>SAP Enable Now</t>
  </si>
  <si>
    <t>10.136.17.203</t>
  </si>
  <si>
    <t>Jean Pal-Freeman</t>
  </si>
  <si>
    <t>JWPal-Freeman@Marathonpetroleum.com</t>
  </si>
  <si>
    <t>VMware-42 17 60 ae cd f2 10 bd-a4 83 91 98 39 ec 2d e2</t>
  </si>
  <si>
    <t>VMware-42 17 51 6a dc 9f 23 c8-21 e9 f2 09 9c 9a 38 25</t>
  </si>
  <si>
    <t>MPS5986.mgroupnet.com</t>
  </si>
  <si>
    <t>VMware-42 17 f1 32 ad 96 20 bf-3f e9 61 da 02 0e 9f 02</t>
  </si>
  <si>
    <t>Emerson Pipeline Optimizer</t>
  </si>
  <si>
    <t>10.136.16.104</t>
  </si>
  <si>
    <t>VMware-42 17 20 cd 68 e2 79 c5-62 ac 65 98 0c 6b 44 7b</t>
  </si>
  <si>
    <t>EPA Greenhouse Gas Monitoring System</t>
  </si>
  <si>
    <t>10.220.17.120</t>
  </si>
  <si>
    <t>Ruth Cade</t>
  </si>
  <si>
    <t>racade@marathonpetroleum.com</t>
  </si>
  <si>
    <t>IT-REF-EHS PI AF Support</t>
  </si>
  <si>
    <t>VMware-42 0c 9b f2 50 d7 96 4e-fa 33 13 4b e5 8d b3 7c</t>
  </si>
  <si>
    <t>Project Server - LS Engineering</t>
  </si>
  <si>
    <t>10.136.18.61</t>
  </si>
  <si>
    <t>VMware-42 17 9f db a8 4a 2c fe-be b2 13 4d d2 16 c1 cf</t>
  </si>
  <si>
    <t>10.136.18.62</t>
  </si>
  <si>
    <t>VMware-42 17 0e 68 fc c1 55 ab-7a dd f3 82 d0 12 10 61</t>
  </si>
  <si>
    <t>Quorum Division Order and Disbursement (QDOD)</t>
  </si>
  <si>
    <t>10.136.20.236</t>
  </si>
  <si>
    <t>Jennifer Stocking</t>
  </si>
  <si>
    <t>JAStocking@marathonpetroleum.com</t>
  </si>
  <si>
    <t>IT-G&amp;P-Quorum Support</t>
  </si>
  <si>
    <t>William Sun</t>
  </si>
  <si>
    <t>WSun@marathonpetroleum.com</t>
  </si>
  <si>
    <t>VMware-42 17 7a c4 fb 79 56 92-b7 1f 63 fd 9a 88 1b da</t>
  </si>
  <si>
    <t>Quorum Contract Management (QCM)</t>
  </si>
  <si>
    <t>Quorum eSuite</t>
  </si>
  <si>
    <t>Quorum (Gathering) G&amp;P</t>
  </si>
  <si>
    <t>Lisa Stephens</t>
  </si>
  <si>
    <t>LDStephens@marathonpetroleum.com</t>
  </si>
  <si>
    <t>Quorum TIPS - Accounting</t>
  </si>
  <si>
    <t>Quorum System Manager</t>
  </si>
  <si>
    <t>10.136.20.237</t>
  </si>
  <si>
    <t>VMware-42 17 02 b0 9d cd 06 e5-64 a9 bf 3a bb 93 d3 02</t>
  </si>
  <si>
    <t>10.136.20.238</t>
  </si>
  <si>
    <t>VMware-42 17 c4 65 f9 6f 8d 75-f0 92 10 fd 54 05 b4 ca</t>
  </si>
  <si>
    <t>10.136.20.239</t>
  </si>
  <si>
    <t>VMware-42 17 f3 fb 94 f2 7e f7-9e 6c 4d 39 e3 1d fd 45</t>
  </si>
  <si>
    <t>10.136.16.63</t>
  </si>
  <si>
    <t>Jeffery Maloy</t>
  </si>
  <si>
    <t>JRMaloy@marathonpetroleum.com</t>
  </si>
  <si>
    <t>VMware-42 17 52 9d 27 04 06 af-04 52 5d 65 49 20 4b 82</t>
  </si>
  <si>
    <t>10.136.18.175</t>
  </si>
  <si>
    <t>VMware-42 17 da 49 4f 1c 39 c3-c9 4c 36 0c df 46 bf 57</t>
  </si>
  <si>
    <t>VMware-42 17 c0 92 99 a8 dc 4a-dd 62 76 0e 9a f3 99 ab</t>
  </si>
  <si>
    <t>VMware-42 17 9b b8 d6 32 c1 fb-56 75 4f 10 70 2b 2d ba</t>
  </si>
  <si>
    <t>10.136.20.125</t>
  </si>
  <si>
    <t>VMware-42 17 4a c2 80 21 51 d3-53 d5 59 6f 4e 34 8a 70</t>
  </si>
  <si>
    <t>10.136.20.126</t>
  </si>
  <si>
    <t>VMware-42 17 3c 17 b2 f9 9f 74-af 51 33 69 b3 41 ca 98</t>
  </si>
  <si>
    <t>10.136.20.127</t>
  </si>
  <si>
    <t>VMware-42 17 ec 27 9e af ea 80-14 6a 4e 20 bf 4f c3 e9</t>
  </si>
  <si>
    <t>3.10.0-1160.2.2.el7.x86_64</t>
  </si>
  <si>
    <t>10.136.12.224</t>
  </si>
  <si>
    <t>VMware-42 17 ff 89 c0 9e 1f 9f-d6 64 ff 72 44 af 5b 98</t>
  </si>
  <si>
    <t>10.136.12.225</t>
  </si>
  <si>
    <t>VMware-42 17 37 64 1d 18 de 53-dc 09 e2 90 13 a6 0f 7c</t>
  </si>
  <si>
    <t>10.136.12.226</t>
  </si>
  <si>
    <t>VMware-42 17 f0 59 a9 5c 7c b8-d2 2e c8 3f 9b 4d f1 db</t>
  </si>
  <si>
    <t>10.136.12.227</t>
  </si>
  <si>
    <t>VMware-42 17 88 fd 15 cf f0 4a-44 0f 40 7e 55 3d 20 dd</t>
  </si>
  <si>
    <t>10.136.12.228</t>
  </si>
  <si>
    <t>VMware-42 17 ff e9 df b2 9a 42-c3 36 68 2a d1 6d e7 8f</t>
  </si>
  <si>
    <t>10.136.12.229</t>
  </si>
  <si>
    <t>VMware-42 17 7e 81 0a d1 ea de-af ed 8f 12 50 21 1c 05</t>
  </si>
  <si>
    <t>Contracts Workflow</t>
  </si>
  <si>
    <t>10.136.19.24</t>
  </si>
  <si>
    <t>Daniel Upchurch</t>
  </si>
  <si>
    <t>DUpchurch@marathonpetroleum.com</t>
  </si>
  <si>
    <t>VMware-42 17 68 49 82 c4 b6 5e-b5 b1 94 7e c7 88 60 dc</t>
  </si>
  <si>
    <t>FLOWCAL G&amp;P</t>
  </si>
  <si>
    <t>10.136.16.69</t>
  </si>
  <si>
    <t>Lorena Lucas</t>
  </si>
  <si>
    <t>LNLucas@marathonpetroleum.com</t>
  </si>
  <si>
    <t>Joel Griswold</t>
  </si>
  <si>
    <t>JLGriswold@marathonpetroleum.com</t>
  </si>
  <si>
    <t>VMware-42 17 f0 ce 91 0d 0a 83-45 f5 5a d5 96 aa c2 87</t>
  </si>
  <si>
    <t>10.136.16.70</t>
  </si>
  <si>
    <t>VMware-42 17 87 aa fc 09 64 9d-f2 93 dd d2 23 34 68 73</t>
  </si>
  <si>
    <t>10.136.16.71</t>
  </si>
  <si>
    <t>VMware-42 17 29 eb f4 f1 f2 56-27 b9 dd 60 44 4e 5a 70</t>
  </si>
  <si>
    <t>10.136.16.72</t>
  </si>
  <si>
    <t>VMware-42 17 68 d0 7a 09 9d 98-f6 bb be a8 d5 70 07 f9</t>
  </si>
  <si>
    <t>FME</t>
  </si>
  <si>
    <t>10.136.19.186</t>
  </si>
  <si>
    <t>Doyle Taylor</t>
  </si>
  <si>
    <t>DKTaylor@marathonpetroleum.com</t>
  </si>
  <si>
    <t>Michael Ollom</t>
  </si>
  <si>
    <t>MOllom@marathonpetroleum.com</t>
  </si>
  <si>
    <t>VMware-42 17 20 3c 87 f7 c0 52-36 1d 71 e6 9c 95 f5 4b</t>
  </si>
  <si>
    <t>10.136.17.19</t>
  </si>
  <si>
    <t>VMware-42 17 c3 9e 13 32 71 6e-c1 15 f3 07 55 bb c4 5c</t>
  </si>
  <si>
    <t>Rail Load Summary Report</t>
  </si>
  <si>
    <t>10.136.17.16</t>
  </si>
  <si>
    <t>Brian Downey</t>
  </si>
  <si>
    <t>BBDowney@marathonpetroleum.com</t>
  </si>
  <si>
    <t>Omer Ahmed</t>
  </si>
  <si>
    <t>OAhmed@marathonpetroleum.com</t>
  </si>
  <si>
    <t>VMware-42 17 da 88 c4 6f 97 32-66 fe 10 98 f1 86 57 00</t>
  </si>
  <si>
    <t>10.136.20.4</t>
  </si>
  <si>
    <t>VMware-42 17 45 05 c1 41 ee a3-16 f0 ac 2a 03 94 c4 2d</t>
  </si>
  <si>
    <t>Fiery Command Workstation 6 - Fiery Jobmaster and Impose</t>
  </si>
  <si>
    <t>10.220.16.55</t>
  </si>
  <si>
    <t>Ted Schultz</t>
  </si>
  <si>
    <t>tmschultz@marathonpetroleum.com</t>
  </si>
  <si>
    <t>VMware-42 0c db 03 22 a1 a2 d6-f2 52 76 d7 d0 0f 2d 37</t>
  </si>
  <si>
    <t>10.136.19.247</t>
  </si>
  <si>
    <t>VMware-42 17 a7 b1 f0 66 67 7b-07 fc f7 2d 0d 8a be c4</t>
  </si>
  <si>
    <t>10.136.17.128</t>
  </si>
  <si>
    <t>VMware-42 17 91 a6 7d 9a b6 0a-b2 87 3c 84 1c 02 ee 65</t>
  </si>
  <si>
    <t>10.136.16.245</t>
  </si>
  <si>
    <t>IT-Cloud Integration Support</t>
  </si>
  <si>
    <t>VMware-42 17 96 d3 f2 c6 f1 48-63 44 de 17 bb bc 0c e1</t>
  </si>
  <si>
    <t>Dell Boomi on-prem</t>
  </si>
  <si>
    <t>Terri Amann</t>
  </si>
  <si>
    <t>tdamann@marathonpetroleum.com</t>
  </si>
  <si>
    <t>10.136.16.246</t>
  </si>
  <si>
    <t>VMware-42 17 da 53 fc c1 03 00-7f 1c a2 34 80 ed 49 0c</t>
  </si>
  <si>
    <t>10.136.19.246</t>
  </si>
  <si>
    <t>VMware-42 17 b9 a2 ca 8d 95 0f-75 66 c7 bd 4d f5 ee 6c</t>
  </si>
  <si>
    <t>10.136.17.20</t>
  </si>
  <si>
    <t>VMware-42 17 a8 34 c0 95 40 27-a0 c8 db de b7 5e 23 97</t>
  </si>
  <si>
    <t>PO Service Accrual</t>
  </si>
  <si>
    <t>10.136.19.6</t>
  </si>
  <si>
    <t>mplx.mgroupnet.com</t>
  </si>
  <si>
    <t>Laura Cordova</t>
  </si>
  <si>
    <t>LMCordova@marathonpetroleum.com</t>
  </si>
  <si>
    <t>Keoki Fuentes</t>
  </si>
  <si>
    <t>KFuentes@marathonpetroleum.com</t>
  </si>
  <si>
    <t>VMware-42 17 92 6b 7e 1c 15 9f-6e 7a 33 64 60 33 6b 35</t>
  </si>
  <si>
    <t>10.136.16.219</t>
  </si>
  <si>
    <t>VMware-42 17 32 ee e1 8c cf f3-3d 11 0d 00 1b 0f 04 ea</t>
  </si>
  <si>
    <t>10.136.16.221</t>
  </si>
  <si>
    <t>VMware-42 17 76 c3 9d c0 97 56-0c c6 c4 2b bf c7 17 be</t>
  </si>
  <si>
    <t>10.136.20.197</t>
  </si>
  <si>
    <t>VMware-42 17 01 00 f9 df ad 02-ed b6 2c 57 29 11 34 ae</t>
  </si>
  <si>
    <t>10.136.20.198</t>
  </si>
  <si>
    <t>VMware-42 17 6f 52 b5 c2 f7 ed-e6 d2 fe 75 3f 11 b0 8d</t>
  </si>
  <si>
    <t>MPS6723.mgroupnet.com</t>
  </si>
  <si>
    <t>10.136.23.27</t>
  </si>
  <si>
    <t>VMware-42 17 f2 70 3c 72 35 ff-2d 82 9d a4 53 33 4e ce</t>
  </si>
  <si>
    <t>10.136.19.244</t>
  </si>
  <si>
    <t>VMware-42 17 26 c3 69 e4 5c 0c-9c 6b b6 34 1c 5f 78 ad</t>
  </si>
  <si>
    <t>10.136.17.236</t>
  </si>
  <si>
    <t>VMware-42 17 5a 63 b5 8d 43 bf-5b e2 23 a8 ee 21 fd 86</t>
  </si>
  <si>
    <t>Windows ® 2008 Standard without Hyper-V</t>
  </si>
  <si>
    <t>10.136.16.207</t>
  </si>
  <si>
    <t>VMware-42 17 3d fb c8 44 e4 ab-85 31 79 58 0b ca c0 f6</t>
  </si>
  <si>
    <t>10.220.16.101</t>
  </si>
  <si>
    <t>VMware-42 0c 6d 04 11 84 6e b9-77 35 c5 81 e9 28 88 7e</t>
  </si>
  <si>
    <t>10.220.16.102</t>
  </si>
  <si>
    <t>VMware-42 0c d0 00 d9 cc a9 d6-a2 44 3c 55 19 91 09 78</t>
  </si>
  <si>
    <t>10.136.16.101</t>
  </si>
  <si>
    <t>VMware-42 17 8d b6 7a 0b 3a 2a-c8 ed eb d9 5b ba 62 f2</t>
  </si>
  <si>
    <t>10.136.16.102</t>
  </si>
  <si>
    <t>VMware-42 17 82 85 66 3c dd 7b-1a c3 da ed 9a c9 4d 75</t>
  </si>
  <si>
    <t>eCompass</t>
  </si>
  <si>
    <t>10.136.16.210</t>
  </si>
  <si>
    <t>Mary Robbins</t>
  </si>
  <si>
    <t>merobbins@marathonpetroleum.com</t>
  </si>
  <si>
    <t>VMware-42 17 97 66 55 8c 8d 24-b7 27 6d 9c 14 e6 88 02</t>
  </si>
  <si>
    <t>ArcGIS Server G&amp;P</t>
  </si>
  <si>
    <t>10.136.20.98</t>
  </si>
  <si>
    <t>Brandon Jameson</t>
  </si>
  <si>
    <t>BrJameson@marathonpetroleum.com</t>
  </si>
  <si>
    <t>VMware-42 17 5f a8 b9 0e 84 f9-cc 98 41 5b 59 4a e9 95</t>
  </si>
  <si>
    <t>Geocortex</t>
  </si>
  <si>
    <t>10.136.20.99</t>
  </si>
  <si>
    <t>VMware-42 17 55 68 24 4a db ef-85 d0 86 4b 69 c6 69 aa</t>
  </si>
  <si>
    <t>ArcGIS Portal - G&amp;P</t>
  </si>
  <si>
    <t>10.136.20.101</t>
  </si>
  <si>
    <t>VMware-42 17 c9 a7 9a c0 d7 4f-80 f5 83 b9 9f 60 6c f3</t>
  </si>
  <si>
    <t>Field Maps</t>
  </si>
  <si>
    <t>Collector for ArcGIS</t>
  </si>
  <si>
    <t>Survey123 for ArcGIS</t>
  </si>
  <si>
    <t>10.136.20.86</t>
  </si>
  <si>
    <t>VMware-42 17 60 66 95 2c 2d c1-2b 3d dd eb f3 aa af 62</t>
  </si>
  <si>
    <t>10.136.20.87</t>
  </si>
  <si>
    <t>VMware-42 17 70 a0 33 a7 75 ee-a4 98 2c 5a dc 43 77 b7</t>
  </si>
  <si>
    <t>10.136.20.88</t>
  </si>
  <si>
    <t>VMware-42 17 a9 0c 84 30 72 86-d5 9e 13 c2 88 50 37 92</t>
  </si>
  <si>
    <t>Railcar Tracking</t>
  </si>
  <si>
    <t>10.136.18.33</t>
  </si>
  <si>
    <t>VMware-42 17 b1 de f5 58 c5 6e-0a 0c 75 e4 d3 49 a6 6e</t>
  </si>
  <si>
    <t>10.220.19.60</t>
  </si>
  <si>
    <t>VMware-42 0c 7a 65 8e fa 2b a7-9a 8b 79 ca 70 1d b7 56</t>
  </si>
  <si>
    <t>AutoSys (MPC)</t>
  </si>
  <si>
    <t>10.136.19.230</t>
  </si>
  <si>
    <t>VMware-42 17 3a cc dc c8 e6 f2-c0 c7 17 f0 13 16 59 86</t>
  </si>
  <si>
    <t>10.136.19.231</t>
  </si>
  <si>
    <t>VMware-42 17 0a 0f f8 21 cd 4f-f3 3d e9 95 15 97 6f fc</t>
  </si>
  <si>
    <t>10.136.19.234</t>
  </si>
  <si>
    <t>VMware-42 17 6b cf 9b f9 91 c7-b5 65 f3 a0 0a 9a 54 96</t>
  </si>
  <si>
    <t>mps6836-old</t>
  </si>
  <si>
    <t>mps6836-old.mgroupnet.com</t>
  </si>
  <si>
    <t>Inventory OLAP</t>
  </si>
  <si>
    <t>10.136.21.34</t>
  </si>
  <si>
    <t>VMware-42 17 a9 c6 4d 66 e9 61-6b 5e a5 ec bc b0 7c 1f</t>
  </si>
  <si>
    <t>mps6837-old</t>
  </si>
  <si>
    <t>MPS6837-old.mgroupnet.com</t>
  </si>
  <si>
    <t>10.136.21.35</t>
  </si>
  <si>
    <t>VMware-42 17 32 2d e8 5a 15 d2-7a 6a e5 e5 72 95 1f 15</t>
  </si>
  <si>
    <t>mps6838-old</t>
  </si>
  <si>
    <t>mps6838-old.mgroupnet.com</t>
  </si>
  <si>
    <t>10.136.21.36</t>
  </si>
  <si>
    <t>VMware-42 17 e6 51 f4 3f 58 d5-5f c0 c0 69 de 90 e0 08</t>
  </si>
  <si>
    <t>mps6839-old</t>
  </si>
  <si>
    <t>mps6839-old.mgroupnet.com</t>
  </si>
  <si>
    <t>10.136.21.37</t>
  </si>
  <si>
    <t>VMware-42 17 c9 0b 1a af 4b 47-a0 c9 c2 b1 54 0e 21 a3</t>
  </si>
  <si>
    <t>10.136.17.66</t>
  </si>
  <si>
    <t>VMware-42 17 6e 46 d1 22 fc 70-8a aa b2 95 c0 a3 f2 6e</t>
  </si>
  <si>
    <t>mps6841-old</t>
  </si>
  <si>
    <t>mps6841-old.mgroupnet.com</t>
  </si>
  <si>
    <t>10.136.17.67</t>
  </si>
  <si>
    <t>VMware-42 17 25 05 dc a6 19 99-3b 49 df 63 a2 98 63 61</t>
  </si>
  <si>
    <t>Railcar Scheduling App (RSA)</t>
  </si>
  <si>
    <t>10.136.18.109</t>
  </si>
  <si>
    <t>VMware-42 17 94 8b e4 64 c6 cf-02 bb fa 44 00 fa d5 96</t>
  </si>
  <si>
    <t>QC Plus</t>
  </si>
  <si>
    <t>10.136.18.194</t>
  </si>
  <si>
    <t>VMware-42 17 eb fa 7b 2b 27 6e-6f 7c 60 1c 13 08 bd 22</t>
  </si>
  <si>
    <t>SharePoint - G&amp;P</t>
  </si>
  <si>
    <t>10.136.20.154</t>
  </si>
  <si>
    <t>Leslie Vestman</t>
  </si>
  <si>
    <t>LVestman@marathonpetroleum.com</t>
  </si>
  <si>
    <t>VMware-42 17 90 d2 5e ca 37 dd-dd 1b c8 af d3 6c 94 ef</t>
  </si>
  <si>
    <t>MarkWest Asset Repository System (MARS)</t>
  </si>
  <si>
    <t>Anthony Minutillo</t>
  </si>
  <si>
    <t>TMinutillo@marathonpetroleum.com</t>
  </si>
  <si>
    <t>Maya Mistry</t>
  </si>
  <si>
    <t>MMistry@marathonpetroleum.com</t>
  </si>
  <si>
    <t>10.136.20.155</t>
  </si>
  <si>
    <t>VMware-42 17 5e b0 ca 7b 0a 6d-37 c7 11 4b 37 77 b1 6e</t>
  </si>
  <si>
    <t>10.136.20.156</t>
  </si>
  <si>
    <t>VMware-42 17 ae 8a eb ef 22 c9-77 a0 1a f3 f7 bc 79 83</t>
  </si>
  <si>
    <t>10.136.20.157</t>
  </si>
  <si>
    <t>VMware-42 17 15 dd e8 aa b5 2b-da 8b 74 6c 93 24 e4 56</t>
  </si>
  <si>
    <t>10.136.20.158</t>
  </si>
  <si>
    <t>VMware-42 17 67 59 81 07 6b f2-59 da a6 b3 41 09 90 e3</t>
  </si>
  <si>
    <t>10.136.20.159</t>
  </si>
  <si>
    <t>VMware-42 17 69 a1 b1 dc 84 8a-da fa 24 52 bf 28 e7 d9</t>
  </si>
  <si>
    <t>10.136.17.44</t>
  </si>
  <si>
    <t>VMware-42 17 9b 59 48 f3 0e c6-36 2f 8c 01 20 12 09 97</t>
  </si>
  <si>
    <t>10.136.17.45</t>
  </si>
  <si>
    <t>VMware-42 17 a2 ad da 98 f0 40-3f 9d 4c 93 c6 cb 1a bc</t>
  </si>
  <si>
    <t>10.136.17.46</t>
  </si>
  <si>
    <t>VMware-42 17 f8 ed 6c 89 34 08-8c 5d bb 9c 67 53 79 15</t>
  </si>
  <si>
    <t>10.136.17.47</t>
  </si>
  <si>
    <t>VMware-42 17 5f ed 04 72 09 63-ff 3f 7f e6 e3 c8 be 8b</t>
  </si>
  <si>
    <t>10.136.20.195</t>
  </si>
  <si>
    <t>VMware-42 17 2b 5a 4e c0 4d 24-19 5b f8 cd d2 de 00 ae</t>
  </si>
  <si>
    <t>10.136.20.196</t>
  </si>
  <si>
    <t>VMware-42 17 b2 72 74 78 b1 92-5a 0a 09 48 63 1a c1 84</t>
  </si>
  <si>
    <t>10.136.18.84</t>
  </si>
  <si>
    <t>VMware-42 17 6c eb 6f 42 23 5a-25 50 d7 2e aa 2c f8 08</t>
  </si>
  <si>
    <t>BowTieServer</t>
  </si>
  <si>
    <t>10.136.17.10</t>
  </si>
  <si>
    <t>Jason O'Flaherty</t>
  </si>
  <si>
    <t>jloflaherty@marathonpetroleum.com</t>
  </si>
  <si>
    <t>VMware-42 17 a1 c6 fa c4 35 4d-a9 19 2f 99 ce f3 69 9c</t>
  </si>
  <si>
    <t>10.136.18.165</t>
  </si>
  <si>
    <t>VMware-42 17 e3 11 77 67 1f 63-af d6 35 0c 6d a8 ef 70</t>
  </si>
  <si>
    <t>10.136.18.167</t>
  </si>
  <si>
    <t>VMware-42 17 fa e1 e3 dd d6 64-4a 1a 14 58 b8 ec 1e 7a</t>
  </si>
  <si>
    <t>10.136.18.168</t>
  </si>
  <si>
    <t>VMware-42 17 77 8c 87 1f 1e 8d-c5 66 ee c0 27 0b 49 7d</t>
  </si>
  <si>
    <t>10.136.18.169</t>
  </si>
  <si>
    <t>VMware-42 17 68 98 53 ab 0f 79-0b ff 00 47 12 80 cd ed</t>
  </si>
  <si>
    <t>Cafeteria System</t>
  </si>
  <si>
    <t>10.136.20.28</t>
  </si>
  <si>
    <t>Paul Smith</t>
  </si>
  <si>
    <t>PSmith2@Marathonpetroleum.com</t>
  </si>
  <si>
    <t>VMware-42 17 3f 11 ab 0a 4b 91-9c 4e 06 be ba 53 87 db</t>
  </si>
  <si>
    <t>MPS6952.mgroupnet.com</t>
  </si>
  <si>
    <t>RightAngle G&amp;P</t>
  </si>
  <si>
    <t>10.136.20.223</t>
  </si>
  <si>
    <t>Matthew Crider</t>
  </si>
  <si>
    <t>MDCrider@marathonpetroleum.com</t>
  </si>
  <si>
    <t>VMware-42 17 89 8b c1 39 72 29-bf 4c f6 92 6e 50 70 f1</t>
  </si>
  <si>
    <t>MPS6953.mgroupnet.com</t>
  </si>
  <si>
    <t>10.136.20.224</t>
  </si>
  <si>
    <t>VMware-42 17 b6 32 ee f1 e0 4b-68 fc 97 66 67 7d 6b 6f</t>
  </si>
  <si>
    <t>DocAve</t>
  </si>
  <si>
    <t>10.136.18.195</t>
  </si>
  <si>
    <t>Bryan Hansen</t>
  </si>
  <si>
    <t>JBHansen@marathonpetroleum.com</t>
  </si>
  <si>
    <t>VMware-42 17 de 70 ae 46 1c 57-7a 5c 11 14 bd 7f 84 86</t>
  </si>
  <si>
    <t>10.136.16.154</t>
  </si>
  <si>
    <t>VMware-42 17 ed 6a 73 42 49 03-aa e3 11 10 d6 96 b2 55</t>
  </si>
  <si>
    <t>10.136.16.155</t>
  </si>
  <si>
    <t>VMware-42 17 a9 53 76 1a 93 c9-bc 46 65 e4 da bb d1 9b</t>
  </si>
  <si>
    <t>10.136.18.172</t>
  </si>
  <si>
    <t>VMware-42 17 23 56 24 86 da b8-5d 97 b6 39 9f e4 cb 7d</t>
  </si>
  <si>
    <t>Survey Gizmo</t>
  </si>
  <si>
    <t>Group Unknown</t>
  </si>
  <si>
    <t>BZD@marathonpetroleum.com</t>
  </si>
  <si>
    <t>Digital Signage</t>
  </si>
  <si>
    <t>10.136.17.219</t>
  </si>
  <si>
    <t>VMware-42 17 1c e3 da 31 3e b5-17 b4 65 ed ee 17 fb 3b</t>
  </si>
  <si>
    <t>Customer Interaction Center (CIC)</t>
  </si>
  <si>
    <t>10.220.19.206</t>
  </si>
  <si>
    <t>Dale Peverly</t>
  </si>
  <si>
    <t>drpeverly@marathonpetroleum.com</t>
  </si>
  <si>
    <t>Zack Jellison</t>
  </si>
  <si>
    <t>ZJellison@marathonpetroleum.com</t>
  </si>
  <si>
    <t>VMware-42 0c 39 e9 9b 76 c9 ad-bf b1 b8 d8 1d 79 93 65</t>
  </si>
  <si>
    <t>10.136.17.62</t>
  </si>
  <si>
    <t>VMware-42 17 28 78 43 44 cc 34-40 7b 46 49 17 46 24 83</t>
  </si>
  <si>
    <t>10.136.12.206</t>
  </si>
  <si>
    <t>VMware-42 17 52 34 5c fb 48 01-ec b2 7d f0 a5 a3 5d ea</t>
  </si>
  <si>
    <t>10.220.12.206</t>
  </si>
  <si>
    <t>VMware-42 0c fd 8f e6 18 89 c8-1f 41 3c 12 03 16 89 4e</t>
  </si>
  <si>
    <t>10.136.12.205</t>
  </si>
  <si>
    <t>VMware-42 17 b0 c1 d2 bd d3 e5-5b 97 d4 09 9b f1 f8 c3</t>
  </si>
  <si>
    <t>10.220.12.205</t>
  </si>
  <si>
    <t>VMware-42 0c 9b c8 95 1b 53 2d-3f 14 ea c1 77 5b 67 20</t>
  </si>
  <si>
    <t>10.220.17.1</t>
  </si>
  <si>
    <t>VMware-42 39 8f f9 69 79 9a 31-87 ff 44 41 27 a4 42 8e</t>
  </si>
  <si>
    <t>10.220.17.2</t>
  </si>
  <si>
    <t>mpcconnect.com</t>
  </si>
  <si>
    <t>VMware-42 0c e4 03 04 5d 53 3d-cb dc 95 8a b0 91 e1 bb</t>
  </si>
  <si>
    <t>10.220.17.3</t>
  </si>
  <si>
    <t>VMware-42 39 c6 4d 27 f5 12 65-12 20 cb 95 ff f4 a1 69</t>
  </si>
  <si>
    <t>10.220.17.4</t>
  </si>
  <si>
    <t>VMware-42 39 a9 ef 18 e8 0d a0-a6 23 d6 9e 8f 7d 98 e9</t>
  </si>
  <si>
    <t>10.220.17.5</t>
  </si>
  <si>
    <t>VMware-42 39 a1 1f 25 bd 40 38-09 4c 07 30 04 01 a9 7a</t>
  </si>
  <si>
    <t>10.220.17.6</t>
  </si>
  <si>
    <t>VMware-42 39 3e 66 92 ea b7 7d-89 16 f1 92 46 c9 91 41</t>
  </si>
  <si>
    <t>10.220.17.7</t>
  </si>
  <si>
    <t>VMware-42 39 c6 6a 80 c8 57 49-1f a8 43 6b b3 63 7b bf</t>
  </si>
  <si>
    <t>10.220.17.8</t>
  </si>
  <si>
    <t>VMware-42 39 25 5c a9 6f ac b2-fd 14 3f 84 17 7a de 74</t>
  </si>
  <si>
    <t>10.220.17.10</t>
  </si>
  <si>
    <t>VMware-42 39 ba 87 13 36 f8 d6-6f 07 93 56 89 a7 07 86</t>
  </si>
  <si>
    <t>10.220.17.11</t>
  </si>
  <si>
    <t>VMware-42 39 52 46 7f cc d3 ce-2e d3 e5 93 8b 0d 34 72</t>
  </si>
  <si>
    <t>10.220.17.12</t>
  </si>
  <si>
    <t>VMware-42 39 38 f4 d7 1a 28 c4-1c 9f e8 ad 81 a4 ca f5</t>
  </si>
  <si>
    <t>10.220.17.13</t>
  </si>
  <si>
    <t>VMware-42 39 a0 da 45 ab 27 ba-8c 7b d7 54 c3 69 8f 45</t>
  </si>
  <si>
    <t>10.220.17.14</t>
  </si>
  <si>
    <t>VMware-42 39 f2 3c 26 03 b6 7d-21 c3 7d d1 60 4c fc d0</t>
  </si>
  <si>
    <t>10.220.21.84</t>
  </si>
  <si>
    <t>VMware-42 0c ca 99 1d eb 1c ff-36 ba 82 af 6d 8b cb 75</t>
  </si>
  <si>
    <t>LS DMS - DSOL</t>
  </si>
  <si>
    <t>10.220.21.213</t>
  </si>
  <si>
    <t>Joshua Snyder</t>
  </si>
  <si>
    <t>jnsnyder@marathonpetroleum.com</t>
  </si>
  <si>
    <t>IT-L&amp;S-DMS Support</t>
  </si>
  <si>
    <t>Danielle Williams</t>
  </si>
  <si>
    <t>DWilliams@marathonpetroleum.com</t>
  </si>
  <si>
    <t>VMware-42 0c 4f 5d a8 be 6b f5-10 99 f0 9e c2 b6 d5 ea</t>
  </si>
  <si>
    <t>LS DMS - eDoc</t>
  </si>
  <si>
    <t>10.220.21.214</t>
  </si>
  <si>
    <t>VMware-42 0c 85 0f 9f 3c 16 ac-d4 a7 49 c2 cb 29 2d 1b</t>
  </si>
  <si>
    <t>10.220.21.48</t>
  </si>
  <si>
    <t>VMware-42 39 2f fe 3a d8 a0 40-e6 3a d6 40 85 1f 43 6d</t>
  </si>
  <si>
    <t>10.220.21.49</t>
  </si>
  <si>
    <t>VMware-42 39 45 25 88 63 5b bf-d0 ff 41 04 51 e2 20 9e</t>
  </si>
  <si>
    <t>10.220.21.50</t>
  </si>
  <si>
    <t>VMware-42 39 da c4 72 95 f6 e4-01 95 6a 3a 79 54 19 0d</t>
  </si>
  <si>
    <t>10.220.21.51</t>
  </si>
  <si>
    <t>VMware-42 39 5f 24 58 21 ce 46-2c 83 cb 78 ce e0 b2 3c</t>
  </si>
  <si>
    <t>10.220.21.52</t>
  </si>
  <si>
    <t>VMware-42 39 98 2a 0f bd 3a 7d-03 e2 4c 48 0f 88 23 d1</t>
  </si>
  <si>
    <t>10.220.21.53</t>
  </si>
  <si>
    <t>VMware-42 39 cc 32 01 e9 fe 7c-e6 25 e1 87 14 2a f8 2a</t>
  </si>
  <si>
    <t>10.220.21.54</t>
  </si>
  <si>
    <t>VMware-42 39 e6 27 72 60 8f 26-ad 45 09 4b 6c 3b f0 c4</t>
  </si>
  <si>
    <t>10.220.21.55</t>
  </si>
  <si>
    <t>VMware-42 39 30 e2 ab 5a 07 8d-28 70 55 65 fb c7 50 f5</t>
  </si>
  <si>
    <t>10.220.21.43</t>
  </si>
  <si>
    <t>VMware-42 39 0c ad d4 a1 9e 58-7b 44 95 ce 49 39 10 20</t>
  </si>
  <si>
    <t>10.220.17.29</t>
  </si>
  <si>
    <t>VMware-42 39 e3 2f 7f 9c e7 c8-da 92 51 09 4c 79 35 09</t>
  </si>
  <si>
    <t>10.220.17.30</t>
  </si>
  <si>
    <t>VMware-42 39 84 49 0a 46 05 a6-37 2f ab c1 b0 32 78 cc</t>
  </si>
  <si>
    <t>10.220.17.31</t>
  </si>
  <si>
    <t>VMware-42 39 cb fe 8d 1b 29 51-b5 d9 9d 2a 4a 88 81 1d</t>
  </si>
  <si>
    <t>10.220.23.192</t>
  </si>
  <si>
    <t>VMware-42 0c cd 8f 24 a8 63 17-58 4a dc cd cb 6a e9 0a</t>
  </si>
  <si>
    <t>10.220.23.193</t>
  </si>
  <si>
    <t>VMware-42 0c 69 4a 0a c4 fb 22-93 27 c3 70 80 08 1b 54</t>
  </si>
  <si>
    <t>LS DMS - ePub</t>
  </si>
  <si>
    <t>10.220.23.195</t>
  </si>
  <si>
    <t>VMware-42 0c e5 c2 f7 ea 79 ea-7b 78 06 36 16 cf 92 36</t>
  </si>
  <si>
    <t>10.220.23.196</t>
  </si>
  <si>
    <t>VMware-42 0c fb b7 1d 50 2f 35-90 23 49 06 46 7f bc b0</t>
  </si>
  <si>
    <t>10.220.23.197</t>
  </si>
  <si>
    <t>VMware-42 0c e3 e4 2d b4 c0 66-93 48 25 4c cb 9a 22 8c</t>
  </si>
  <si>
    <t>10.220.23.198</t>
  </si>
  <si>
    <t>VMware-42 0c 6d d7 f4 05 8c 22-d0 e5 24 d8 9f 11 f1 68</t>
  </si>
  <si>
    <t>10.220.23.199</t>
  </si>
  <si>
    <t>VMware-42 0c c8 e7 1a 1b e5 29-bd d9 4f 03 83 87 37 87</t>
  </si>
  <si>
    <t>10.220.23.200</t>
  </si>
  <si>
    <t>VMware-42 0c 8f 87 95 65 c0 82-58 57 4a 3b 24 df b2 85</t>
  </si>
  <si>
    <t>10.220.23.201</t>
  </si>
  <si>
    <t>VMware-42 0c 82 9a 8a b6 bc 3e-82 f3 ef ab 89 13 e5 2d</t>
  </si>
  <si>
    <t>10.220.23.202</t>
  </si>
  <si>
    <t>VMware-42 0c 89 a1 c1 06 0e e1-e9 e7 06 05 a7 58 30 1c</t>
  </si>
  <si>
    <t>10.220.23.203</t>
  </si>
  <si>
    <t>VMware-42 0c d3 be b6 d7 7a 6e-1a 83 66 b2 67 37 70 d4</t>
  </si>
  <si>
    <t>10.220.23.204</t>
  </si>
  <si>
    <t>VMware-42 0c 4e 60 3b bf e3 94-54 36 9d 5b 9f 5e 62 00</t>
  </si>
  <si>
    <t>10.220.23.205</t>
  </si>
  <si>
    <t>VMware-42 0c 99 8f ca 6a 46 a2-e7 10 52 ef 72 87 5c 5c</t>
  </si>
  <si>
    <t>10.220.23.209</t>
  </si>
  <si>
    <t>VMware-42 0c 21 7d 19 60 5d 0f-95 06 a8 83 36 1b b7 1f</t>
  </si>
  <si>
    <t>10.220.23.210</t>
  </si>
  <si>
    <t>VMware-42 0c a6 b2 9f 47 18 76-14 d5 83 f1 65 d4 1e 9c</t>
  </si>
  <si>
    <t>10.220.23.211</t>
  </si>
  <si>
    <t>VMware-42 0c 2d c7 ff aa 5b 28-ce 8b ff cf a7 3e 80 43</t>
  </si>
  <si>
    <t>10.220.23.212</t>
  </si>
  <si>
    <t>VMware-42 0c da c3 4f d7 d9 0e-cf 3b 36 d4 99 2e fe 94</t>
  </si>
  <si>
    <t>10.220.23.213</t>
  </si>
  <si>
    <t>VMware-42 0c 28 72 f4 f1 ac 50-df 3d 83 2b c6 b8 09 c9</t>
  </si>
  <si>
    <t>10.220.23.218</t>
  </si>
  <si>
    <t>VMware-42 0c 4b 93 12 9f a8 76-79 bc ae e3 4d 66 52 67</t>
  </si>
  <si>
    <t>10.220.23.219</t>
  </si>
  <si>
    <t>VMware-42 0c 8e 68 a4 45 47 cb-6d ca 1d 06 a8 8e 7a cc</t>
  </si>
  <si>
    <t>10.220.23.220</t>
  </si>
  <si>
    <t>VMware-42 0c 3a 1e a4 f0 b3 d7-7e 0b 29 be ca 4d 31 97</t>
  </si>
  <si>
    <t>10.220.23.221</t>
  </si>
  <si>
    <t>VMware-42 0c ca a7 11 59 ea f6-fb 92 4f 4d d2 4e 6c 3d</t>
  </si>
  <si>
    <t>10.220.23.222</t>
  </si>
  <si>
    <t>VMware-42 0c 2d c1 dd f0 c3 5a-17 bd d4 61 a7 42 ac 4c</t>
  </si>
  <si>
    <t>10.220.23.223</t>
  </si>
  <si>
    <t>VMware-42 0c 9c 09 b2 c9 8b 5d-12 77 b0 c6 49 83 6a 48</t>
  </si>
  <si>
    <t>Quorum Query Module (QQM)</t>
  </si>
  <si>
    <t>10.136.20.242</t>
  </si>
  <si>
    <t>VMware-42 17 22 82 fd 18 63 47-65 b3 36 d4 cb 0e a5 09</t>
  </si>
  <si>
    <t>10.220.21.199</t>
  </si>
  <si>
    <t>VMware-42 39 35 0d 0b ee 4f da-81 74 b3 19 ce c8 5a ef</t>
  </si>
  <si>
    <t>10.220.21.200</t>
  </si>
  <si>
    <t>VMware-42 39 73 c7 46 ea ca 47-6a 92 6c 8d 87 68 dc a5</t>
  </si>
  <si>
    <t>MPS7650.mgroupnet.com</t>
  </si>
  <si>
    <t>10.220.21.197</t>
  </si>
  <si>
    <t>VMware-42 39 60 3e b9 d1 b5 48-ea fd c9 c0 2b f9 d1 83</t>
  </si>
  <si>
    <t>10.220.21.198</t>
  </si>
  <si>
    <t>VMware-42 39 ab 71 30 bb d7 9f-02 86 d6 bf 97 30 39 de</t>
  </si>
  <si>
    <t>10.220.18.35</t>
  </si>
  <si>
    <t>VMware-42 39 4b 5b a1 a2 60 7a-75 97 25 fe bb 5b 0f 50</t>
  </si>
  <si>
    <t>10.220.18.36</t>
  </si>
  <si>
    <t>VMware-42 39 c7 a3 34 ed 0f 02-51 f6 26 b2 3a cf 7d 6f</t>
  </si>
  <si>
    <t>10.220.47.200</t>
  </si>
  <si>
    <t>VMware-42 39 c0 57 ef 5d b2 11-72 b1 e6 32 4f 8b e1 20</t>
  </si>
  <si>
    <t>10.220.47.201</t>
  </si>
  <si>
    <t>VMware-42 39 dd 0d 7d 95 53 d6-ae 56 76 11 e0 8c e5 12</t>
  </si>
  <si>
    <t>10.136.19.58</t>
  </si>
  <si>
    <t>VMware-42 07 88 85 bb 62 ff 12-0d a2 c5 20 25 d4 2c b2</t>
  </si>
  <si>
    <t>10.136.19.59</t>
  </si>
  <si>
    <t>VMware-42 07 13 36 27 76 78 00-02 72 6e 89 38 0c 38 3d</t>
  </si>
  <si>
    <t>10.136.19.56</t>
  </si>
  <si>
    <t>VMware-42 07 f9 53 dc 19 9f 77-f9 ae 98 2d 63 3e 07 2b</t>
  </si>
  <si>
    <t>10.136.19.57</t>
  </si>
  <si>
    <t>VMware-42 07 23 70 d7 db d6 e2-64 bc 24 7b e5 43 44 74</t>
  </si>
  <si>
    <t>10.136.18.4</t>
  </si>
  <si>
    <t>VMware-42 07 2b 14 4d 09 8d f4-19 3c 3f d2 e6 11 bc b5</t>
  </si>
  <si>
    <t>10.136.18.5</t>
  </si>
  <si>
    <t>VMware-42 07 25 20 ea db f1 46-b6 5c 38 2a 64 34 57 60</t>
  </si>
  <si>
    <t>10.136.47.200</t>
  </si>
  <si>
    <t>VMware-42 07 60 12 af fe f1 20-83 e2 f5 5c 46 81 c5 e4</t>
  </si>
  <si>
    <t>POLARIS Pipeline Manager</t>
  </si>
  <si>
    <t>10.220.20.233</t>
  </si>
  <si>
    <t>VMware-42 39 ba 90 94 82 51 a1-ae 3b 43 30 99 77 1a 56</t>
  </si>
  <si>
    <t>Acumen</t>
  </si>
  <si>
    <t>John Longanbach</t>
  </si>
  <si>
    <t>JCLonganbach@Marathonpetroleum.com</t>
  </si>
  <si>
    <t>10.220.20.234</t>
  </si>
  <si>
    <t>VMware-42 39 59 f8 bd df dd 20-eb c4 84 f9 16 7d 7b aa</t>
  </si>
  <si>
    <t>10.220.47.56</t>
  </si>
  <si>
    <t>VMware-42 0c f8 c8 f3 aa 8e 3e-f9 dc 4f b4 c8 66 ad b0</t>
  </si>
  <si>
    <t>10.220.47.57</t>
  </si>
  <si>
    <t>VMware-42 0c 3d f6 c2 13 85 84-ac 62 1e c2 39 e3 6d f1</t>
  </si>
  <si>
    <t>10.220.47.58</t>
  </si>
  <si>
    <t>VMware-42 0c e8 de 40 46 b1 28-d5 d1 2d e2 95 58 a2 db</t>
  </si>
  <si>
    <t>10.220.47.61</t>
  </si>
  <si>
    <t>VMware-42 0c fc b7 47 49 40 78-e0 a4 ca ef 60 ba 18 50</t>
  </si>
  <si>
    <t>10.220.47.62</t>
  </si>
  <si>
    <t>VMware-42 0c b4 20 19 95 2d 37-86 a0 b9 ca 37 b2 59 7e</t>
  </si>
  <si>
    <t>10.136.47.222</t>
  </si>
  <si>
    <t>VMware-42 07 2b af 22 7f 2b 0a-07 bd 74 46 8e 7c 01 94</t>
  </si>
  <si>
    <t>10.136.47.223</t>
  </si>
  <si>
    <t>VMware-42 07 65 7f 08 03 6b f5-38 1c 33 a8 3e e4 ef 92</t>
  </si>
  <si>
    <t>10.136.47.70</t>
  </si>
  <si>
    <t>VMware-42 17 1c 7e c5 4b f4 61-ee 03 ee 49 51 ab bd d3</t>
  </si>
  <si>
    <t>DamagePlus</t>
  </si>
  <si>
    <t>10.136.47.71</t>
  </si>
  <si>
    <t>VMware-42 17 73 54 ae cc 5d ff-59 33 26 cb 81 65 a4 2b</t>
  </si>
  <si>
    <t>DSS-100</t>
  </si>
  <si>
    <t>10.136.47.72</t>
  </si>
  <si>
    <t>IT-REF-SIMTRONICS Support</t>
  </si>
  <si>
    <t>VMware-42 17 5b 2b 2d 26 cc 5d-3c f6 e9 13 12 00 62 7e</t>
  </si>
  <si>
    <t>10.136.47.73</t>
  </si>
  <si>
    <t>VMware-42 17 35 ae c2 6d f8 fb-7e 17 ec 58 b2 84 9c e4</t>
  </si>
  <si>
    <t>10.136.47.74</t>
  </si>
  <si>
    <t>VMware-42 17 7a d8 cf fd 3d d2-fc 5f e6 3a 54 2f 1a 94</t>
  </si>
  <si>
    <t>10.136.47.34</t>
  </si>
  <si>
    <t>VMware-42 17 90 a2 fc 04 40 ef-ff fb de 0f 20 95 ea 9d</t>
  </si>
  <si>
    <t>MPT4619.mgroupnet.com</t>
  </si>
  <si>
    <t>WebCtrl Building Automation System</t>
  </si>
  <si>
    <t>10.220.47.183</t>
  </si>
  <si>
    <t>VMware-42 0c db 1a 9c a4 3c a6-81 7d d4 be 05 8b c5 df</t>
  </si>
  <si>
    <t>10.220.47.144</t>
  </si>
  <si>
    <t>VMware-42 0c 03 75 3e ff 4b 7c-49 83 d4 33 cd 57 e8 0a</t>
  </si>
  <si>
    <t>10.220.47.145</t>
  </si>
  <si>
    <t>VMware-42 0c aa b9 dd 7f 12 59-5d 43 bc 8f c9 d5 a2 bd</t>
  </si>
  <si>
    <t>10.220.47.146</t>
  </si>
  <si>
    <t>VMware-42 0c 1e 1d 09 9e 8d 17-02 fa 17 91 7c ca 2f b4</t>
  </si>
  <si>
    <t>10.220.47.147</t>
  </si>
  <si>
    <t>VMware-42 0c 15 5a b6 8c fe 80-b2 19 5a 14 8a 6d ad 3e</t>
  </si>
  <si>
    <t>10.220.47.148</t>
  </si>
  <si>
    <t>VMware-42 0c 65 3b 5c 25 de 7c-df 8e e9 c7 0a aa dd 68</t>
  </si>
  <si>
    <t>10.220.47.149</t>
  </si>
  <si>
    <t>VMware-42 0c 66 df 41 bd 9e 8a-cf 64 89 11 e2 61 32 03</t>
  </si>
  <si>
    <t>10.220.47.150</t>
  </si>
  <si>
    <t>VMware-42 0c 54 4d a9 49 fe 00-73 27 16 28 2e 06 92 c9</t>
  </si>
  <si>
    <t>10.220.47.151</t>
  </si>
  <si>
    <t>VMware-42 0c 78 fd 9a 8d 83 6e-4d 1b 0a 05 85 13 6b 56</t>
  </si>
  <si>
    <t>10.220.47.152</t>
  </si>
  <si>
    <t>VMware-42 0c bb 85 db 87 26 76-2e cc d5 cd 2d b7 43 4c</t>
  </si>
  <si>
    <t>10.220.47.153</t>
  </si>
  <si>
    <t>VMware-42 0c ff 87 ca c6 fd cd-62 1f ed 2b d7 13 d2 61</t>
  </si>
  <si>
    <t>10.220.47.114</t>
  </si>
  <si>
    <t>VMware-42 0c 9c c0 74 d4 e9 9d-21 38 74 f4 4d d9 6e f3</t>
  </si>
  <si>
    <t>Sales Forecast Manager</t>
  </si>
  <si>
    <t>10.220.47.112</t>
  </si>
  <si>
    <t>Eric Schroeder</t>
  </si>
  <si>
    <t>ejschroeder@marathonpetroleum.com</t>
  </si>
  <si>
    <t>March Chruszcz</t>
  </si>
  <si>
    <t>mchruszcz@marathonpetroleum.com</t>
  </si>
  <si>
    <t>VMware-42 0c f3 bf 3e 30 6f 74-73 b3 b7 bb 89 ff 22 5a</t>
  </si>
  <si>
    <t>10.220.47.113</t>
  </si>
  <si>
    <t>VMware-42 0c e1 f6 dc 78 2b e4-91 0e 5b 93 16 04 c8 58</t>
  </si>
  <si>
    <t>10.136.47.104</t>
  </si>
  <si>
    <t>VMware-42 17 30 8e c8 36 b6 76-c7 4c 1d db 6e 44 07 88</t>
  </si>
  <si>
    <t>10.136.47.105</t>
  </si>
  <si>
    <t>VMware-42 17 a4 42 5d d9 c7 51-18 34 f0 30 5f 81 12 25</t>
  </si>
  <si>
    <t>10.136.47.106</t>
  </si>
  <si>
    <t>VMware-42 17 94 b8 f6 78 db 50-2b 7f fe d3 a8 5b c3 ff</t>
  </si>
  <si>
    <t>10.136.47.107</t>
  </si>
  <si>
    <t>VMware-42 17 b5 af 73 07 cb fb-d9 b3 ec 99 a9 cd dc 48</t>
  </si>
  <si>
    <t>10.136.47.108</t>
  </si>
  <si>
    <t>VMware-42 17 6f fe 62 60 1a 45-bd c8 5f ad ed d0 49 75</t>
  </si>
  <si>
    <t>10.136.47.109</t>
  </si>
  <si>
    <t>VMware-42 17 34 96 d8 1e 1e 76-97 8a 78 79 64 50 e3 8d</t>
  </si>
  <si>
    <t>10.136.47.110</t>
  </si>
  <si>
    <t>VMware-42 17 8a 36 02 54 11 3f-ba 97 fa ca 61 8e 62 22</t>
  </si>
  <si>
    <t>10.136.47.111</t>
  </si>
  <si>
    <t>VMware-42 17 f3 e3 21 5e ed d3-f3 7d e5 64 a9 61 1f 39</t>
  </si>
  <si>
    <t>10.136.47.112</t>
  </si>
  <si>
    <t>VMware-42 17 50 0f 97 91 39 c5-da a8 82 67 7c 9d e2 09</t>
  </si>
  <si>
    <t>10.136.47.113</t>
  </si>
  <si>
    <t>VMware-42 17 40 f0 05 de 56 d2-28 8f 68 c4 fd 11 8a 90</t>
  </si>
  <si>
    <t>10.136.47.114</t>
  </si>
  <si>
    <t>VMware-42 17 69 c5 ec f7 be aa-fb 63 27 e7 0f d1 82 9d</t>
  </si>
  <si>
    <t>10.136.47.115</t>
  </si>
  <si>
    <t>VMware-42 17 d1 72 ec 3a d4 52-b4 7f 5d 17 cf 14 20 52</t>
  </si>
  <si>
    <t>10.136.47.116</t>
  </si>
  <si>
    <t>VMware-42 17 d4 d7 6a 82 a6 9a-be d3 26 43 de cf 3b f9</t>
  </si>
  <si>
    <t>10.136.47.117</t>
  </si>
  <si>
    <t>VMware-42 17 49 79 4c 94 93 f4-68 31 64 e8 ff ea 70 b7</t>
  </si>
  <si>
    <t>10.136.47.118</t>
  </si>
  <si>
    <t>VMware-42 17 ef 34 da 2e 46 e2-f7 d4 f3 c0 f3 0c b7 2f</t>
  </si>
  <si>
    <t>SPI</t>
  </si>
  <si>
    <t>10.136.47.133</t>
  </si>
  <si>
    <t>Vicki Hutson</t>
  </si>
  <si>
    <t>vhutson@marathonpetroleum.com</t>
  </si>
  <si>
    <t>Sam Billmaier</t>
  </si>
  <si>
    <t>SBillmaier@marathonpetroleum.com</t>
  </si>
  <si>
    <t>VMware-42 17 93 f7 7b 6c b3 bb-c9 72 97 59 d4 c9 c8 5e</t>
  </si>
  <si>
    <t>10.136.47.134</t>
  </si>
  <si>
    <t>VMware-42 17 8d 6a 60 21 b7 71-24 e8 61 f4 72 c5 13 0f</t>
  </si>
  <si>
    <t>10.136.47.135</t>
  </si>
  <si>
    <t>VMware-42 17 88 a8 cd 77 12 12-03 89 c8 9b 63 76 49 6c</t>
  </si>
  <si>
    <t>10.136.47.136</t>
  </si>
  <si>
    <t>VMware-42 17 7c 8f a6 73 2b 9c-39 35 6d 24 d0 88 29 be</t>
  </si>
  <si>
    <t>10.136.47.137</t>
  </si>
  <si>
    <t>VMware-42 17 de bb 84 87 24 a7-e7 8e 34 09 08 f2 6d 88</t>
  </si>
  <si>
    <t>10.136.47.138</t>
  </si>
  <si>
    <t>VMware-42 17 83 e3 9d 53 fe 17-fa 25 e9 53 aa 18 5c 5c</t>
  </si>
  <si>
    <t>10.136.47.139</t>
  </si>
  <si>
    <t>VMware-42 17 b3 f7 39 04 8a 14-10 3f 12 fc d2 6d 7f e9</t>
  </si>
  <si>
    <t>10.136.47.140</t>
  </si>
  <si>
    <t>VMware-42 17 10 99 bb be 93 20-2a 13 c0 62 b8 86 99 b7</t>
  </si>
  <si>
    <t>10.136.47.141</t>
  </si>
  <si>
    <t>VMware-42 17 19 eb 77 5f 7d bb-a5 59 67 c4 27 34 66 79</t>
  </si>
  <si>
    <t>10.136.47.142</t>
  </si>
  <si>
    <t>VMware-42 17 68 09 14 46 e3 d8-07 8d 4a f4 9a 8b d6 c7</t>
  </si>
  <si>
    <t>10.136.47.143</t>
  </si>
  <si>
    <t>VMware-42 17 96 a5 89 b4 54 e7-b6 56 a3 0a 3d 21 44 37</t>
  </si>
  <si>
    <t>10.136.47.146</t>
  </si>
  <si>
    <t>VMware-42 17 b3 91 75 1b 8e 2c-34 8f e7 d1 ea 3e 6a 0e</t>
  </si>
  <si>
    <t>10.136.47.147</t>
  </si>
  <si>
    <t>VMware-42 17 df 26 1b 5e 98 52-23 15 63 e8 f8 a2 7f ee</t>
  </si>
  <si>
    <t>10.136.47.148</t>
  </si>
  <si>
    <t>VMware-42 17 6b 42 3e 01 1e fc-c8 2d da d4 99 89 10 62</t>
  </si>
  <si>
    <t>10.136.47.149</t>
  </si>
  <si>
    <t>VMware-42 17 7e d5 7f 61 f6 aa-97 65 93 a3 f0 45 86 61</t>
  </si>
  <si>
    <t>10.136.47.150</t>
  </si>
  <si>
    <t>VMware-42 17 7d 94 94 ca 2e d3-c1 47 b2 96 2e 37 c6 ab</t>
  </si>
  <si>
    <t>10.136.47.151</t>
  </si>
  <si>
    <t>VMware-42 17 2e 97 f6 7a 2e eb-95 4f e8 25 cd be d8 64</t>
  </si>
  <si>
    <t>10.136.47.152</t>
  </si>
  <si>
    <t>VMware-42 17 7e e7 39 05 0d fa-bc 1e 46 33 3e 18 f8 19</t>
  </si>
  <si>
    <t>10.136.47.153</t>
  </si>
  <si>
    <t>VMware-42 17 7e 23 dd 38 c3 8a-f6 08 f4 f9 9d e7 f2 0e</t>
  </si>
  <si>
    <t>10.136.47.154</t>
  </si>
  <si>
    <t>VMware-42 17 e6 59 ea 89 d5 91-45 e7 18 2b 55 83 df 96</t>
  </si>
  <si>
    <t>10.136.47.155</t>
  </si>
  <si>
    <t>VMware-42 17 b7 c0 d0 90 2b 9c-dd e8 4f af c0 e7 50 0b</t>
  </si>
  <si>
    <t>10.136.47.156</t>
  </si>
  <si>
    <t>VMware-42 17 cd df 5e 64 16 6b-a0 b4 c2 05 97 b5 25 b0</t>
  </si>
  <si>
    <t>10.136.47.157</t>
  </si>
  <si>
    <t>VMware-42 17 43 74 dc 90 42 51-06 9e c1 bf 3d 30 49 83</t>
  </si>
  <si>
    <t>10.136.47.158</t>
  </si>
  <si>
    <t>VMware-42 17 bd af ff da 79 51-de d2 80 33 d1 e4 57 36</t>
  </si>
  <si>
    <t>10.136.47.159</t>
  </si>
  <si>
    <t>VMware-42 17 50 af 39 97 b2 63-2c ef 1f 23 50 6b f2 1f</t>
  </si>
  <si>
    <t>10.136.47.160</t>
  </si>
  <si>
    <t>VMware-42 17 8f f2 99 fe 13 62-c0 13 fe 0e 15 27 fc d8</t>
  </si>
  <si>
    <t>10.136.47.161</t>
  </si>
  <si>
    <t>VMware-42 17 31 b7 6f 6c 5b f6-cf 86 d2 82 3d ae eb 32</t>
  </si>
  <si>
    <t>10.136.47.28</t>
  </si>
  <si>
    <t>VMware-42 17 63 b7 4e 10 f3 8c-ec 08 0c 41 6b c8 f0 73</t>
  </si>
  <si>
    <t>10.136.47.29</t>
  </si>
  <si>
    <t>VMware-42 17 d2 e3 df 22 ee 96-9b 6d 9f d7 7b f5 98 b3</t>
  </si>
  <si>
    <t>10.136.46.195</t>
  </si>
  <si>
    <t>VMware-42 17 ac 3d c3 aa a0 75-54 37 1c 5e e7 23 44 70</t>
  </si>
  <si>
    <t>10.136.46.196</t>
  </si>
  <si>
    <t>VMware-42 17 23 33 7b 44 ea cb-27 94 c4 90 12 e2 8c f2</t>
  </si>
  <si>
    <t>10.136.46.197</t>
  </si>
  <si>
    <t>VMware-42 17 fc bf 3c c3 eb 71-c4 1f 2c e3 77 09 b8 2d</t>
  </si>
  <si>
    <t>10.136.46.198</t>
  </si>
  <si>
    <t>VMware-42 17 4e e9 4d 1b c2 4f-2c 6f fb 99 d5 89 ad 87</t>
  </si>
  <si>
    <t>10.136.46.199</t>
  </si>
  <si>
    <t>VMware-42 17 83 96 28 0c 63 de-03 0e f0 00 22 d0 13 2f</t>
  </si>
  <si>
    <t>10.136.46.200</t>
  </si>
  <si>
    <t>VMware-42 17 f6 05 e8 fc 53 48-cf a4 6f 99 fa af 80 ed</t>
  </si>
  <si>
    <t>10.136.46.201</t>
  </si>
  <si>
    <t>VMware-42 17 91 e1 44 83 f0 16-3c 7d d7 45 a4 3a 37 fe</t>
  </si>
  <si>
    <t>10.136.46.202</t>
  </si>
  <si>
    <t>VMware-42 17 9e 62 44 86 d3 4d-bc bc 92 35 a9 6b db 4e</t>
  </si>
  <si>
    <t>10.136.46.203</t>
  </si>
  <si>
    <t>VMware-42 17 7e c2 a2 d6 43 6c-e5 d1 ec 25 ba 96 e9 3b</t>
  </si>
  <si>
    <t>10.136.46.204</t>
  </si>
  <si>
    <t>VMware-42 17 70 b9 29 71 87 f9-98 21 0a f4 5e ff a0 02</t>
  </si>
  <si>
    <t>10.136.46.205</t>
  </si>
  <si>
    <t>VMware-42 17 bb 48 d9 44 97 1e-e1 75 97 60 ec 4d e2 e5</t>
  </si>
  <si>
    <t>10.136.46.206</t>
  </si>
  <si>
    <t>VMware-42 17 ce bd f9 24 6c f0-1f 11 56 09 52 4c 7b b9</t>
  </si>
  <si>
    <t>10.136.46.207</t>
  </si>
  <si>
    <t>VMware-42 17 54 4b e5 41 25 a7-4d 63 e8 6e 51 64 68 a5</t>
  </si>
  <si>
    <t>10.136.46.208</t>
  </si>
  <si>
    <t>VMware-42 17 51 2e 3a 5f 4a 71-d7 61 18 53 62 68 d8 b0</t>
  </si>
  <si>
    <t>10.136.46.209</t>
  </si>
  <si>
    <t>VMware-42 17 d7 e7 7d 3a 52 44-eb fa d2 b5 e4 4f 05 51</t>
  </si>
  <si>
    <t>10.136.46.210</t>
  </si>
  <si>
    <t>VMware-42 17 d3 a6 59 e7 f9 52-80 5c e6 ad 14 9f 1d 24</t>
  </si>
  <si>
    <t>10.136.46.211</t>
  </si>
  <si>
    <t>VMware-42 17 4d eb 36 08 e8 8c-06 46 e1 2f f7 2c 15 3f</t>
  </si>
  <si>
    <t>10.136.46.212</t>
  </si>
  <si>
    <t>VMware-42 17 ee 9d e2 4d a2 c2-75 05 b3 14 de d4 ed 73</t>
  </si>
  <si>
    <t>10.136.46.213</t>
  </si>
  <si>
    <t>VMware-42 17 d5 3c 04 c7 53 85-a8 76 cf c0 8f 56 bb 07</t>
  </si>
  <si>
    <t>10.136.46.214</t>
  </si>
  <si>
    <t>VMware-42 17 c2 d3 07 0d dd 1d-5a d6 ad 2a 3b 31 2e 69</t>
  </si>
  <si>
    <t>10.136.46.215</t>
  </si>
  <si>
    <t>VMware-42 17 ab 64 13 c6 1a 59-17 47 8c 4c e8 fc 12 d1</t>
  </si>
  <si>
    <t>10.136.46.216</t>
  </si>
  <si>
    <t>VMware-42 17 a6 6a df e9 9a 51-54 5e d8 61 45 32 c9 9f</t>
  </si>
  <si>
    <t>10.136.40.4</t>
  </si>
  <si>
    <t>VMware-42 17 fe 1a 97 fb 50 94-d0 f0 31 9f 4d 8d 6f 24</t>
  </si>
  <si>
    <t>10.136.40.152</t>
  </si>
  <si>
    <t>VMware-42 17 e9 9c 1e 38 f7 fd-e0 cd 22 8a 86 f4 06 be</t>
  </si>
  <si>
    <t>10.136.46.219</t>
  </si>
  <si>
    <t>VMware-42 17 a3 ad 8b 93 3c 1a-41 39 27 d9 37 5a 50 f6</t>
  </si>
  <si>
    <t>10.136.40.153</t>
  </si>
  <si>
    <t>VMware-42 17 ea 4c 78 c2 4e 51-ca 2b 47 40 00 6e 74 4d</t>
  </si>
  <si>
    <t>10.136.46.221</t>
  </si>
  <si>
    <t>VMware-42 17 8e d9 78 bd 38 07-9d 6e 64 4f 0e 24 77 6d</t>
  </si>
  <si>
    <t>10.136.46.222</t>
  </si>
  <si>
    <t>VMware-42 17 31 2e 54 1c e2 06-73 a1 fb cc 80 44 7a 15</t>
  </si>
  <si>
    <t>10.136.46.223</t>
  </si>
  <si>
    <t>VMware-42 17 c6 9f de 98 3c b8-da 66 46 c0 51 aa 43 b4</t>
  </si>
  <si>
    <t>10.136.46.224</t>
  </si>
  <si>
    <t>VMware-42 17 49 cb 49 93 c8 d1-9d 56 6b b5 69 47 7e 4a</t>
  </si>
  <si>
    <t>10.136.46.225</t>
  </si>
  <si>
    <t>VMware-42 17 fa 33 5b 4b 37 50-4f ad e7 03 c5 7c 20 b9</t>
  </si>
  <si>
    <t>10.136.46.226</t>
  </si>
  <si>
    <t>VMware-42 17 8c 1c 76 64 e5 75-c8 a2 af e9 13 79 c0 fc</t>
  </si>
  <si>
    <t>10.136.46.227</t>
  </si>
  <si>
    <t>VMware-42 17 89 b2 9e 3c 14 a3-42 b3 f3 0f 03 8a e5 eb</t>
  </si>
  <si>
    <t>10.136.46.228</t>
  </si>
  <si>
    <t>VMware-42 17 4e 15 d0 25 5e c9-fa 0a 4b bc 4b be 1d ff</t>
  </si>
  <si>
    <t>10.136.46.229</t>
  </si>
  <si>
    <t>VMware-42 17 70 47 1e 54 d0 f4-d6 58 3a 67 7c de 1a 89</t>
  </si>
  <si>
    <t>10.136.46.230</t>
  </si>
  <si>
    <t>VMware-42 17 bb 96 c9 da ed aa-67 28 23 66 58 46 61 8a</t>
  </si>
  <si>
    <t>10.136.46.231</t>
  </si>
  <si>
    <t>VMware-42 17 2d 60 3e 9d 38 3a-b8 5f 34 29 6a 1e bf fc</t>
  </si>
  <si>
    <t>10.136.46.232</t>
  </si>
  <si>
    <t>VMware-42 17 da c4 bc 4b 0f 6a-b6 0c dd 7a 0b 24 83 9c</t>
  </si>
  <si>
    <t>10.136.46.233</t>
  </si>
  <si>
    <t>VMware-42 17 36 cd d0 af e4 d5-ee d1 6b 57 9a bb 53 2b</t>
  </si>
  <si>
    <t>10.136.46.234</t>
  </si>
  <si>
    <t>VMware-42 17 20 85 f4 48 5d 2b-89 7e 5c 85 f0 a6 cd 72</t>
  </si>
  <si>
    <t>10.136.46.235</t>
  </si>
  <si>
    <t>VMware-42 17 1b 36 9d f3 67 09-1a de 36 0c e7 e4 9a f3</t>
  </si>
  <si>
    <t>10.136.46.236</t>
  </si>
  <si>
    <t>VMware-42 17 9a d6 39 a4 4f d3-5b 63 d9 17 08 78 f8 2f</t>
  </si>
  <si>
    <t>10.136.46.237</t>
  </si>
  <si>
    <t>VMware-42 17 aa 03 4c c1 fa 90-80 59 a9 48 4d f8 ca 2b</t>
  </si>
  <si>
    <t>10.136.46.238</t>
  </si>
  <si>
    <t>VMware-42 17 24 8e 55 0e c3 b5-fd 95 42 b7 58 6c ea 8b</t>
  </si>
  <si>
    <t>10.136.40.108</t>
  </si>
  <si>
    <t>VMware-42 17 6b d2 10 4c 4d c1-60 17 83 ca d9 0d e5 a8</t>
  </si>
  <si>
    <t>10.136.40.154</t>
  </si>
  <si>
    <t>VMware-42 17 34 e7 4f 5a 53 d1-cd 05 43 3d b9 41 b6 cd</t>
  </si>
  <si>
    <t>10.136.46.241</t>
  </si>
  <si>
    <t>VMware-42 17 cc 4a 5d 63 5c b0-aa b9 dd b4 db 2c 75 69</t>
  </si>
  <si>
    <t>10.136.46.242</t>
  </si>
  <si>
    <t>VMware-42 17 0a 3e 15 d9 a7 6b-18 91 48 b6 bf 2c ea ae</t>
  </si>
  <si>
    <t>10.136.46.243</t>
  </si>
  <si>
    <t>VMware-42 17 46 44 38 7f c8 90-ec 4d b1 82 7a b7 67 89</t>
  </si>
  <si>
    <t>10.136.46.244</t>
  </si>
  <si>
    <t>VMware-42 17 1a b1 2b 25 69 67-e1 0d 92 ce ed 57 da b3</t>
  </si>
  <si>
    <t>10.136.40.22</t>
  </si>
  <si>
    <t>VMware-42 17 8a 07 e5 51 98 db-15 73 2e 0a 26 b2 3b c1</t>
  </si>
  <si>
    <t>10.136.46.246</t>
  </si>
  <si>
    <t>VMware-42 17 da 52 7d 60 54 f1-51 04 54 33 fc be 5f 09</t>
  </si>
  <si>
    <t>10.136.46.247</t>
  </si>
  <si>
    <t>VMware-42 17 9e b5 26 c2 b8 e6-ce b0 70 af 11 60 5d 55</t>
  </si>
  <si>
    <t>10.136.46.248</t>
  </si>
  <si>
    <t>VMware-42 17 07 d3 f8 2a 9b 08-d9 8c 3e 4d a4 6f f6 8f</t>
  </si>
  <si>
    <t>10.136.46.249</t>
  </si>
  <si>
    <t>VMware-42 17 77 20 1d cf aa a4-0f f8 99 5d 22 d9 74 69</t>
  </si>
  <si>
    <t>10.136.46.250</t>
  </si>
  <si>
    <t>VMware-42 17 78 f2 d5 b4 87 f2-a2 0c 03 5d 6a 71 e5 3d</t>
  </si>
  <si>
    <t>10.136.46.251</t>
  </si>
  <si>
    <t>VMware-42 17 ae f9 04 7f ff 85-6e de eb 76 37 58 8b 4e</t>
  </si>
  <si>
    <t>10.136.40.157</t>
  </si>
  <si>
    <t>VMware-42 17 bb 3e 5e d4 4c 76-1d aa df d8 de 18 14 c1</t>
  </si>
  <si>
    <t>10.136.46.253</t>
  </si>
  <si>
    <t>VMware-42 17 61 e3 5b e2 9a 46-53 0c 4e 6f 39 d0 58 66</t>
  </si>
  <si>
    <t>10.136.46.254</t>
  </si>
  <si>
    <t>VMware-42 17 43 c8 cd ff 7f 5f-86 84 c9 a6 89 b0 4e af</t>
  </si>
  <si>
    <t>10.136.47.3</t>
  </si>
  <si>
    <t>VMware-42 17 4c f2 5b 32 3a 29-5a 7c 7d cd f8 de 06 5c</t>
  </si>
  <si>
    <t>10.136.47.4</t>
  </si>
  <si>
    <t>VMware-42 17 4e ab 46 9e b1 89-79 fa 29 36 8a 7a 03 f6</t>
  </si>
  <si>
    <t>10.136.47.5</t>
  </si>
  <si>
    <t>VMware-42 17 f5 66 c7 c9 97 93-e6 7d 39 d8 82 02 0c 2e</t>
  </si>
  <si>
    <t>10.136.47.6</t>
  </si>
  <si>
    <t>VMware-42 17 0c 2d 55 63 4c 98-2f b1 79 ec a7 59 7c b8</t>
  </si>
  <si>
    <t>10.136.47.7</t>
  </si>
  <si>
    <t>VMware-42 17 0d b8 21 7e 94 9e-be 67 00 7c 2d 9d 63 1d</t>
  </si>
  <si>
    <t>10.136.47.8</t>
  </si>
  <si>
    <t>VMware-42 17 02 ae e5 84 93 48-5e 02 ca 55 b5 da e8 b8</t>
  </si>
  <si>
    <t>10.136.47.9</t>
  </si>
  <si>
    <t>VMware-42 17 6d 5e b4 bc 33 2e-3d a9 e5 f7 f1 6e 48 83</t>
  </si>
  <si>
    <t>10.136.47.10</t>
  </si>
  <si>
    <t>VMware-42 17 65 68 9b 25 94 de-ea b9 4f 07 ee 77 49 d3</t>
  </si>
  <si>
    <t>10.136.47.11</t>
  </si>
  <si>
    <t>VMware-42 17 74 0e 43 5c 51 cf-c4 bc c5 5e 38 68 16 13</t>
  </si>
  <si>
    <t>10.136.40.109</t>
  </si>
  <si>
    <t>VMware-42 17 fa b8 f9 b4 60 42-83 5e 0b b6 16 fb a2 2b</t>
  </si>
  <si>
    <t>10.136.47.13</t>
  </si>
  <si>
    <t>VMware-42 17 e1 46 38 be 6c 5b-21 cd 8b 20 bb 44 0c 81</t>
  </si>
  <si>
    <t>10.136.47.14</t>
  </si>
  <si>
    <t>VMware-42 17 e1 4c 1f 87 ff 47-20 f8 23 17 f6 70 68 5d</t>
  </si>
  <si>
    <t>10.136.47.15</t>
  </si>
  <si>
    <t>VMware-42 17 2a 01 68 b4 99 c7-be 3b 71 a4 09 f6 d5 0d</t>
  </si>
  <si>
    <t>10.136.47.16</t>
  </si>
  <si>
    <t>VMware-42 17 38 06 ce 0f 92 f0-5e d7 40 0c b1 6f e1 32</t>
  </si>
  <si>
    <t>10.136.47.17</t>
  </si>
  <si>
    <t>VMware-42 17 83 90 83 f6 fa 40-f0 d8 a3 82 bc 24 40 8e</t>
  </si>
  <si>
    <t>10.136.47.18</t>
  </si>
  <si>
    <t>VMware-42 17 93 72 96 43 e6 ff-02 ee ad 13 4b 74 68 1e</t>
  </si>
  <si>
    <t>10.136.47.19</t>
  </si>
  <si>
    <t>VMware-42 17 45 5b 0b e5 af 8f-db ed 0d 85 eb b3 3d 1f</t>
  </si>
  <si>
    <t>10.136.47.20</t>
  </si>
  <si>
    <t>VMware-42 17 85 37 9f 1f 20 de-f7 7b bf 02 f8 19 05 ce</t>
  </si>
  <si>
    <t>10.136.47.21</t>
  </si>
  <si>
    <t>VMware-42 17 27 07 49 05 67 60-c6 73 fb ec c7 3a 80 0b</t>
  </si>
  <si>
    <t>10.136.47.22</t>
  </si>
  <si>
    <t>VMware-42 17 ed 69 ba 9b 9a 6c-f4 58 ba ad 0f c9 6c f3</t>
  </si>
  <si>
    <t>10.136.18.217</t>
  </si>
  <si>
    <t>VMware-42 07 e1 e9 e0 05 34 2c-b5 81 35 9d c5 7c d8 59</t>
  </si>
  <si>
    <t>10.220.17.47</t>
  </si>
  <si>
    <t>VMware-42 39 77 df e4 7e 96 06-8c 21 80 6e 45 98 8a fa</t>
  </si>
  <si>
    <t xml:space="preserve">CompressionInsight </t>
  </si>
  <si>
    <t>10.220.113.142</t>
  </si>
  <si>
    <t>VMware-42 0c 80 5c 10 74 68 57-15 c3 b2 81 07 a5 c1 02</t>
  </si>
  <si>
    <t>10.220.120.105</t>
  </si>
  <si>
    <t>VMware-42 0c bd 69 37 c7 ea ed-cc 00 62 c0 c3 0e 22 bd</t>
  </si>
  <si>
    <t>10.220.120.106</t>
  </si>
  <si>
    <t>VMware-42 0c aa d7 bf bd 8d 76-a9 a6 b3 97 9e 60 f7 0c</t>
  </si>
  <si>
    <t>10.220.120.107</t>
  </si>
  <si>
    <t>VMware-42 0c f7 b8 45 3d ea 91-d9 3f 38 97 bf aa f4 0b</t>
  </si>
  <si>
    <t>10.220.120.108</t>
  </si>
  <si>
    <t>VMware-42 0c 24 ff 8d 36 15 24-00 43 97 a2 28 7a f6 c3</t>
  </si>
  <si>
    <t>10.220.120.109</t>
  </si>
  <si>
    <t>VMware-42 0c 59 19 7d f7 4b 55-d9 35 e8 d3 e1 0b 58 11</t>
  </si>
  <si>
    <t>10.220.120.110</t>
  </si>
  <si>
    <t>VMware-42 0c 27 4c 80 6b b4 b5-ea 1c 7c df 97 ce 48 96</t>
  </si>
  <si>
    <t>10.220.120.111</t>
  </si>
  <si>
    <t>VMware-42 0c a9 38 af af 52 b4-36 fd 7a b3 3c eb ea ee</t>
  </si>
  <si>
    <t>10.220.119.166</t>
  </si>
  <si>
    <t>VMware-42 0c a5 7a 48 c8 b9 92-5e 46 09 d8 38 d8 c4 a9</t>
  </si>
  <si>
    <t>10.220.112.124</t>
  </si>
  <si>
    <t>VMware-42 0c ef e1 fe 1e 6d 01-aa 43 ee fc 9b 8e 15 fc</t>
  </si>
  <si>
    <t>10.220.16.254</t>
  </si>
  <si>
    <t>VMware-42 39 de 45 59 d3 ba 80-5b 33 d2 a8 85 ae e5 fd</t>
  </si>
  <si>
    <t>10.220.16.220</t>
  </si>
  <si>
    <t>VMware-42 39 ed a6 d2 66 8f a3-d8 81 3d cf 93 83 31 63</t>
  </si>
  <si>
    <t>10.220.20.147</t>
  </si>
  <si>
    <t>VMware-42 39 07 5d 79 61 d2 bc-ea 58 2d 54 e4 e4 9b b5</t>
  </si>
  <si>
    <t>10.220.20.148</t>
  </si>
  <si>
    <t>VMware-42 39 6f 90 d8 61 90 45-46 4f 6d 73 71 79 ec 61</t>
  </si>
  <si>
    <t>10.220.20.149</t>
  </si>
  <si>
    <t>VMware-42 39 c5 8d 37 81 ac e0-99 fe 70 9d b3 3d 53 87</t>
  </si>
  <si>
    <t>10.220.16.76</t>
  </si>
  <si>
    <t>VMware-42 39 90 ac d2 2f 25 87-9b bb a3 53 9f d7 4d 4c</t>
  </si>
  <si>
    <t>10.220.21.181</t>
  </si>
  <si>
    <t>VMware-42 39 56 b6 94 3c 7e 3d-28 64 22 df 6c a8 43 55</t>
  </si>
  <si>
    <t>10.220.16.13</t>
  </si>
  <si>
    <t>VMware-42 39 64 40 91 50 b7 e9-b2 20 7b bf 21 8e 32 f1</t>
  </si>
  <si>
    <t>10.220.16.14</t>
  </si>
  <si>
    <t>VMware-42 39 f7 af 7d d2 f6 e7-03 ae 5d e7 6c 65 b3 29</t>
  </si>
  <si>
    <t>10.220.22.109</t>
  </si>
  <si>
    <t>VMware-42 39 47 af ba 8d 5d f4-05 e8 84 1b 98 4f f1 35</t>
  </si>
  <si>
    <t>10.220.22.184</t>
  </si>
  <si>
    <t>VMware-42 39 78 2f 75 9d 76 0d-9d 3f bb 56 73 69 f0 92</t>
  </si>
  <si>
    <t>10.220.112.48</t>
  </si>
  <si>
    <t>VMware-42 0c d9 e6 d9 b7 16 73-e4 1a 47 58 6e ba e4 cb</t>
  </si>
  <si>
    <t>10.220.12.208</t>
  </si>
  <si>
    <t>VMware-42 0c 4e c5 6f 5a 0b cc-21 60 c1 99 f2 9e 0e 20</t>
  </si>
  <si>
    <t>10.220.12.207</t>
  </si>
  <si>
    <t>VMware-42 0c 1f 2f 30 9d cf b5-de 3a d8 2a 17 fb ee 85</t>
  </si>
  <si>
    <t>10.220.17.68</t>
  </si>
  <si>
    <t>VMware-42 1f 10 b7 0c 4d 5d 30-b7 cb aa 85 30 a9 19 56</t>
  </si>
  <si>
    <t>10.220.17.69</t>
  </si>
  <si>
    <t>VMware-42 1f e0 ff 56 b2 b9 c3-36 58 67 bf 37 1a 32 92</t>
  </si>
  <si>
    <t>10.220.17.70</t>
  </si>
  <si>
    <t>test.mpcconnect.com</t>
  </si>
  <si>
    <t>VMware-42 1f 06 25 7c 67 fd 0d-20 81 1e 6f be fc 27 9b</t>
  </si>
  <si>
    <t>10.220.17.71</t>
  </si>
  <si>
    <t>VMware-42 1f 98 b2 5c 97 e6 4c-2c fe f7 79 c8 9c c4 da</t>
  </si>
  <si>
    <t>10.220.17.72</t>
  </si>
  <si>
    <t>VMware-42 1f 70 a1 c2 41 a9 34-f2 af ac f9 90 02 fd 3f</t>
  </si>
  <si>
    <t>10.220.17.73</t>
  </si>
  <si>
    <t>VMware-42 1f 4a b2 7f fa 16 24-8c 68 8b 7f ea 4b cd 86</t>
  </si>
  <si>
    <t>10.220.17.75</t>
  </si>
  <si>
    <t>VMware-42 1f c0 21 1f 46 5b b1-a4 82 b1 1b 65 80 0b f4</t>
  </si>
  <si>
    <t>MTS7311.mgroupnet.com</t>
  </si>
  <si>
    <t>10.220.16.137</t>
  </si>
  <si>
    <t>VMware-42 39 d8 4c 9a 31 3d c4-f4 7b 99 73 c2 e0 ec 66</t>
  </si>
  <si>
    <t>10.220.17.76</t>
  </si>
  <si>
    <t>VMware-56 4d fc 5a 72 28 26 2b-66 31 d3 2c ec e6 ad 6a</t>
  </si>
  <si>
    <t>10.220.114.173</t>
  </si>
  <si>
    <t>VMware-42 0c 4b 14 9f f3 0a b4-db db 45 2b a9 b0 3c ff</t>
  </si>
  <si>
    <t>10.220.21.33</t>
  </si>
  <si>
    <t>VMware-42 39 d7 ac c4 a4 c9 71-4a 28 16 d9 fe c5 97 3a</t>
  </si>
  <si>
    <t>10.220.21.34</t>
  </si>
  <si>
    <t>VMware-42 39 9c 88 12 08 ae d2-76 2f c6 de 19 71 18 e0</t>
  </si>
  <si>
    <t>10.220.21.36</t>
  </si>
  <si>
    <t>VMware-42 39 7d dc fc 52 27 71-69 55 8e 5a 44 49 19 a6</t>
  </si>
  <si>
    <t>10.220.21.37</t>
  </si>
  <si>
    <t>VMware-42 39 4c d5 8c e5 a2 2d-82 66 d1 3c 23 2f f3 c8</t>
  </si>
  <si>
    <t>10.220.21.38</t>
  </si>
  <si>
    <t>VMware-42 39 6a c0 96 b8 db 0a-52 72 b9 89 5e 67 ed 2f</t>
  </si>
  <si>
    <t>10.220.21.39</t>
  </si>
  <si>
    <t>VMware-42 39 de 68 4b ef 39 f7-23 b6 f9 27 8d b4 e0 c5</t>
  </si>
  <si>
    <t>10.220.21.40</t>
  </si>
  <si>
    <t>VMware-42 39 98 30 aa 78 92 81-74 7a 72 e3 3c 21 70 52</t>
  </si>
  <si>
    <t>10.220.21.42</t>
  </si>
  <si>
    <t>VMware-42 39 4b 3d 84 dd 0e e9-14 d6 80 0d e8 a2 87 14</t>
  </si>
  <si>
    <t>10.220.112.188</t>
  </si>
  <si>
    <t>VMware-42 0c 13 2a 4f 46 ee b9-a7 91 a2 4c 66 30 6c d2</t>
  </si>
  <si>
    <t>10.220.112.189</t>
  </si>
  <si>
    <t>VMware-42 0c ba ca af cb b1 b2-96 4a e5 20 ce d1 fc c8</t>
  </si>
  <si>
    <t>10.220.112.190</t>
  </si>
  <si>
    <t>VMware-42 0c 90 fa 4f e6 4a 54-74 2a 44 57 21 82 0d 5b</t>
  </si>
  <si>
    <t>10.220.112.191</t>
  </si>
  <si>
    <t>VMware-42 0c c8 1d 18 d0 57 3a-77 da 7d f3 4f 30 4a 5d</t>
  </si>
  <si>
    <t>10.220.112.192</t>
  </si>
  <si>
    <t>VMware-42 0c 42 dd 35 7a 25 d7-60 a8 34 08 67 75 16 e8</t>
  </si>
  <si>
    <t>10.220.112.193</t>
  </si>
  <si>
    <t>VMware-42 0c 17 37 6a 5c 2f 07-db 52 dc f1 d3 04 65 38</t>
  </si>
  <si>
    <t>10.220.112.194</t>
  </si>
  <si>
    <t>VMware-56 4d 36 56 2d bc ca 6c-1f ea 3f 3e 99 c8 0f 42</t>
  </si>
  <si>
    <t>10.220.112.195</t>
  </si>
  <si>
    <t>VMware-42 0c 96 43 ce 5e ab ad-d5 65 52 cc b9 9e f5 36</t>
  </si>
  <si>
    <t>10.220.112.196</t>
  </si>
  <si>
    <t>VMware-42 0c 48 7e 8b cf 4e bb-26 04 c7 77 50 90 cc 85</t>
  </si>
  <si>
    <t>10.220.112.198</t>
  </si>
  <si>
    <t>VMware-42 0c 8c d1 cd 4e 81 34-eb de 62 5f fe 1b 43 e8</t>
  </si>
  <si>
    <t>10.220.112.199</t>
  </si>
  <si>
    <t>VMware-42 0c 2c 06 c1 11 82 77-2b fc 6b 6e 4f 45 e0 1b</t>
  </si>
  <si>
    <t>10.220.112.204</t>
  </si>
  <si>
    <t>VMware-42 0c 41 3f 36 e7 b1 ec-d4 d0 44 bd f2 70 fb 40</t>
  </si>
  <si>
    <t>10.220.112.205</t>
  </si>
  <si>
    <t>VMware-42 0c ac 52 24 fb b6 10-18 bb 59 a3 9b 3a 6a 8c</t>
  </si>
  <si>
    <t>10.220.112.208</t>
  </si>
  <si>
    <t>VMware-42 0c 86 ec a6 f1 36 8f-a8 37 5a b2 14 8a 8c d4</t>
  </si>
  <si>
    <t>mtzrs780</t>
  </si>
  <si>
    <t>MTZRS780.mgroupnet.com</t>
  </si>
  <si>
    <t>MPC Martinez CA Refinery</t>
  </si>
  <si>
    <t>10.197.24.10</t>
  </si>
  <si>
    <t>VMware-42 23 43 8f e0 aa 53 e2-f3 7f 5f 55 54 97 d0 b7</t>
  </si>
  <si>
    <t>MTZRS782.mgroupnet.com</t>
  </si>
  <si>
    <t>10.197.24.14</t>
  </si>
  <si>
    <t>VMware-42 23 77 0a b4 26 b0 61-e4 8c 72 d7 c5 6b 20 1b</t>
  </si>
  <si>
    <t>mtzrs790</t>
  </si>
  <si>
    <t>MTZRS790.mgroupnet.com</t>
  </si>
  <si>
    <t>10.197.24.11</t>
  </si>
  <si>
    <t>VMware-42 23 53 e8 a2 9e 88 4b-ea f5 d4 56 9a 53 0a d0</t>
  </si>
  <si>
    <t>MTZRS791.mgroupnet.com</t>
  </si>
  <si>
    <t>10.197.24.15</t>
  </si>
  <si>
    <t>VMware-42 23 04 93 c4 6e ce 9a-ea 81 f0 1c 69 b5 c1 32</t>
  </si>
  <si>
    <t>mtzrs935</t>
  </si>
  <si>
    <t>MTZRS935.mgroupnet.com</t>
  </si>
  <si>
    <t>10.197.24.67</t>
  </si>
  <si>
    <t>VMware-42 23 61 23 2f ca b8 03-f3 50 ba e2 5c 63 04 8a</t>
  </si>
  <si>
    <t>MZREFA06.mgroupnet.com</t>
  </si>
  <si>
    <t>PHA-Pro</t>
  </si>
  <si>
    <t>10.197.24.61</t>
  </si>
  <si>
    <t>MZREFA36.mgroupnet.com</t>
  </si>
  <si>
    <t>10.197.24.116</t>
  </si>
  <si>
    <t>MZREFA60.Tesoropetroleum.com</t>
  </si>
  <si>
    <t>10.112.5.60</t>
  </si>
  <si>
    <t>mzreft10</t>
  </si>
  <si>
    <t>mzreft10.Tesoropetroleum.com</t>
  </si>
  <si>
    <t>10.112.5.7</t>
  </si>
  <si>
    <t>VMware-42 0b e9 c3 59 15 1a 8a-12 1d 57 a4 c6 b0 99 c0</t>
  </si>
  <si>
    <t>ROBLS941.mgroupnet.com</t>
  </si>
  <si>
    <t>MPC Robinson IL Refinery</t>
  </si>
  <si>
    <t>10.200.96.106</t>
  </si>
  <si>
    <t>ROBRS401.mgroupnet.com</t>
  </si>
  <si>
    <t>Deadleg</t>
  </si>
  <si>
    <t>10.200.0.10</t>
  </si>
  <si>
    <t>BuildingInspection</t>
  </si>
  <si>
    <t>EnvironmentalEvents</t>
  </si>
  <si>
    <t>Doc Lib Revision Comments</t>
  </si>
  <si>
    <t>BBS Systems</t>
  </si>
  <si>
    <t>Jordan McFarland</t>
  </si>
  <si>
    <t>jordanmcfarl@marathonpetroleum.com</t>
  </si>
  <si>
    <t>DocDest</t>
  </si>
  <si>
    <t>PSMSuggestions</t>
  </si>
  <si>
    <t>PsmSite</t>
  </si>
  <si>
    <t>EmployeeTrainingVerification</t>
  </si>
  <si>
    <t>Open Flare Events</t>
  </si>
  <si>
    <t>BBSObservations</t>
  </si>
  <si>
    <t>PendingProjectDocControl</t>
  </si>
  <si>
    <t>AlkyTesting</t>
  </si>
  <si>
    <t>ConfinedSpace</t>
  </si>
  <si>
    <t>Design</t>
  </si>
  <si>
    <t>AbsenceReport</t>
  </si>
  <si>
    <t>Pressurized Enclosures</t>
  </si>
  <si>
    <t>TrainingSignIn</t>
  </si>
  <si>
    <t>LabSamplePoints</t>
  </si>
  <si>
    <t>LeakRepair</t>
  </si>
  <si>
    <t>Doc Lib Quick Search</t>
  </si>
  <si>
    <t>FirstJobStart</t>
  </si>
  <si>
    <t>ROBRS605.mgroupnet.com</t>
  </si>
  <si>
    <t>10.200.0.25</t>
  </si>
  <si>
    <t>ROBRS780.mgroupnet.com</t>
  </si>
  <si>
    <t>10.200.3.14</t>
  </si>
  <si>
    <t>ROBRS781.mgroupnet.com</t>
  </si>
  <si>
    <t>10.200.3.15</t>
  </si>
  <si>
    <t>ROBRS782.mgroupnet.com</t>
  </si>
  <si>
    <t>10.200.0.1</t>
  </si>
  <si>
    <t>ROBRS790.mgroupnet.com</t>
  </si>
  <si>
    <t>10.200.0.45</t>
  </si>
  <si>
    <t>ROBRS791.mgroupnet.com</t>
  </si>
  <si>
    <t>10.200.0.46</t>
  </si>
  <si>
    <t>ROBRS929.mgroupnet.com</t>
  </si>
  <si>
    <t>PiLabCopy</t>
  </si>
  <si>
    <t>10.200.0.3</t>
  </si>
  <si>
    <t>CleanScan</t>
  </si>
  <si>
    <t>CEMAnalyzerEmailer_Morning</t>
  </si>
  <si>
    <t>LowO2OverRideByPassMonthly</t>
  </si>
  <si>
    <t>BrineScheduler</t>
  </si>
  <si>
    <t>Workloud_OT_Import</t>
  </si>
  <si>
    <t>ACM_Import</t>
  </si>
  <si>
    <t>BerwangerCopy</t>
  </si>
  <si>
    <t>RCRA Monthly Report</t>
  </si>
  <si>
    <t>PiBrineTruckSchedule</t>
  </si>
  <si>
    <t>Holler Mail</t>
  </si>
  <si>
    <t>TRGTCALCCOPY</t>
  </si>
  <si>
    <t>LowO2OverRideByPassDaily</t>
  </si>
  <si>
    <t>lenelserverroomreport</t>
  </si>
  <si>
    <t>FreezeSummary</t>
  </si>
  <si>
    <t>HourlySupplyService</t>
  </si>
  <si>
    <t>SACORA1312.Tesoropetroleum.com</t>
  </si>
  <si>
    <t>10.240.145.62</t>
  </si>
  <si>
    <t>VMware-42 0e 37 76 93 22 dc 6a-ed 66 5d fd 91 59 7b dd</t>
  </si>
  <si>
    <t>sacora1491.Tesoropetroleum.com</t>
  </si>
  <si>
    <t>10.240.81.74</t>
  </si>
  <si>
    <t>VMware-42 0e 62 80 76 1f 11 2f-4b 14 4c 4d 70 96 80 cf</t>
  </si>
  <si>
    <t>sacora1498.Tesoropetroleum.com</t>
  </si>
  <si>
    <t>10.32.9.215</t>
  </si>
  <si>
    <t>sacora1545.Tesoropetroleum.com</t>
  </si>
  <si>
    <t>Endur</t>
  </si>
  <si>
    <t>10.57.0.207</t>
  </si>
  <si>
    <t>Philippe Waked</t>
  </si>
  <si>
    <t>PGWaked@Marathonpetroleum.com</t>
  </si>
  <si>
    <t>Michele Villarreal</t>
  </si>
  <si>
    <t>MSVillarreal@Marathonpetroleum.com</t>
  </si>
  <si>
    <t>sacora1547.Tesoropetroleum.com</t>
  </si>
  <si>
    <t>10.57.0.208</t>
  </si>
  <si>
    <t>sacora1623.Tesoropetroleum.com</t>
  </si>
  <si>
    <t>10.240.81.106</t>
  </si>
  <si>
    <t>VMware-42 0e b6 3b bc 9c ed 35-06 83 db bf 6e a3 88 10</t>
  </si>
  <si>
    <t>sacora1624.Tesoropetroleum.com</t>
  </si>
  <si>
    <t>10.240.81.107</t>
  </si>
  <si>
    <t>VMware-42 0e da aa e1 56 67 f7-c4 30 2f 5d 40 c1 43 2c</t>
  </si>
  <si>
    <t>sacora1641.Tesoropetroleum.com</t>
  </si>
  <si>
    <t>10.240.81.111</t>
  </si>
  <si>
    <t>VMware-42 0e aa 17 e5 10 ba 2d-1a d6 c2 6b f7 95 0a 15</t>
  </si>
  <si>
    <t>sacora1655.Tesoropetroleum.com</t>
  </si>
  <si>
    <t>10.240.81.146</t>
  </si>
  <si>
    <t>VMware-42 0e 76 88 eb c7 0f ce-b3 75 b9 2f f0 84 40 74</t>
  </si>
  <si>
    <t>sacora1762.Tesoropetroleum.com</t>
  </si>
  <si>
    <t>10.240.81.150</t>
  </si>
  <si>
    <t>VMware-42 0e ec 2f 02 32 8e eb-ad 39 ce 07 f0 aa 2f 4a</t>
  </si>
  <si>
    <t>SACORA1985.Tesoropetroleum.com</t>
  </si>
  <si>
    <t>10.32.9.58</t>
  </si>
  <si>
    <t>sacora60.Tesoropetroleum.com</t>
  </si>
  <si>
    <t>10.240.81.68</t>
  </si>
  <si>
    <t>VMware-42 0e 71 80 3c 08 d1 c4-b0 cf 85 3b 96 ef 24 4a</t>
  </si>
  <si>
    <t>sacora61.Tesoropetroleum.com</t>
  </si>
  <si>
    <t>10.240.81.81</t>
  </si>
  <si>
    <t>VMware-42 0e dd d9 1e 62 f5 f8-fe a7 9b 41 0d 65 bd 79</t>
  </si>
  <si>
    <t>sacord157.Tesoropetroleum.com</t>
  </si>
  <si>
    <t>Windows ® 2008 Enterprise</t>
  </si>
  <si>
    <t>10.240.213.103</t>
  </si>
  <si>
    <t>VMware-42 0e 2c 71 e2 2c 44 4e-89 3f b1 8b 42 02 e3 8c</t>
  </si>
  <si>
    <t>sacord180.Tesoropetroleum.com</t>
  </si>
  <si>
    <t>10.32.19.92</t>
  </si>
  <si>
    <t>VMware-42 14 62 ab 4b 0b a4 ff-35 92 f9 20 6e 8e dc 62</t>
  </si>
  <si>
    <t>SLCAFE.Tesoropetroleum.com</t>
  </si>
  <si>
    <t>MPC Salt Lake City UT Refinery</t>
  </si>
  <si>
    <t>10.80.227.38</t>
  </si>
  <si>
    <t>SLCRS402.Tesoropetroleum.com</t>
  </si>
  <si>
    <t>OT Tracker</t>
  </si>
  <si>
    <t>10.80.227.120</t>
  </si>
  <si>
    <t>Brent Olsen</t>
  </si>
  <si>
    <t>BSOlsen@Marathonpetroleum.com</t>
  </si>
  <si>
    <t>Michelle Blumberg</t>
  </si>
  <si>
    <t>MABlumberg@Marathonpetroleum.com</t>
  </si>
  <si>
    <t>IT-FIN-App Support</t>
  </si>
  <si>
    <t>Fastlook Viewer</t>
  </si>
  <si>
    <t>slcrs780</t>
  </si>
  <si>
    <t>SLCRS780.mgroupnet.com</t>
  </si>
  <si>
    <t>10.201.24.10</t>
  </si>
  <si>
    <t>VMware-42 24 32 86 f2 88 d4 34-00 e0 f2 73 0f 8f 66 56</t>
  </si>
  <si>
    <t>slcrs790</t>
  </si>
  <si>
    <t>SLCRS790.mgroupnet.com</t>
  </si>
  <si>
    <t>10.201.24.11</t>
  </si>
  <si>
    <t>VMware-42 24 18 3f 01 20 d9 f7-dc 5f e6 7d b8 73 04 4f</t>
  </si>
  <si>
    <t>slcrs935</t>
  </si>
  <si>
    <t>SLCRS935.mgroupnet.com</t>
  </si>
  <si>
    <t>10.201.24.25</t>
  </si>
  <si>
    <t>VMware-42 24 b4 dd c4 9c e1 da-66 89 7a 41 41 55 3d d0</t>
  </si>
  <si>
    <t>SLREFA07.Tesoropetroleum.com</t>
  </si>
  <si>
    <t>TRBOnet</t>
  </si>
  <si>
    <t>10.80.87.5</t>
  </si>
  <si>
    <t>slrefa21.Tesoropetroleum.com</t>
  </si>
  <si>
    <t>DocReserve</t>
  </si>
  <si>
    <t>172.20.191.150</t>
  </si>
  <si>
    <t>Tina Penman</t>
  </si>
  <si>
    <t>TEPenman@Marathonpetroleum.com</t>
  </si>
  <si>
    <t>slrefa22.Tesoropetroleum.com</t>
  </si>
  <si>
    <t>172.20.191.151</t>
  </si>
  <si>
    <t>SLREFA32.mgroupnet.com</t>
  </si>
  <si>
    <t>10.201.24.116</t>
  </si>
  <si>
    <t>SLREFD06.Tesoropetroleum.com</t>
  </si>
  <si>
    <t>10.80.227.48</t>
  </si>
  <si>
    <t>SLREFW02.Tesoropetroleum.com</t>
  </si>
  <si>
    <t>CEMS Alert</t>
  </si>
  <si>
    <t>10.80.227.16</t>
  </si>
  <si>
    <t>Morgan Sites</t>
  </si>
  <si>
    <t>MSites@Marathonpetroleum.com</t>
  </si>
  <si>
    <t>slxenapp01</t>
  </si>
  <si>
    <t>SLXENAPP01.Tesoropetroleum.com</t>
  </si>
  <si>
    <t>10.80.227.19</t>
  </si>
  <si>
    <t>VMware-42 2d be 1b cb 5c d2 3c-4e c1 d4 4a db 99 fe 83</t>
  </si>
  <si>
    <t>SPPPE9728.Tesoropetroleum.com</t>
  </si>
  <si>
    <t>10.206.1.65</t>
  </si>
  <si>
    <t>VMware-42 3d 33 a6 b7 2b be 41-64 ab 57 78 c2 3b f0 c3</t>
  </si>
  <si>
    <t>SPPRS720.mgroupnet.com</t>
  </si>
  <si>
    <t>10.203.24.116</t>
  </si>
  <si>
    <t>SPPRS780.mgroupnet.com</t>
  </si>
  <si>
    <t>10.203.24.10</t>
  </si>
  <si>
    <t>SPPRS781.mgroupnet.com</t>
  </si>
  <si>
    <t>10.203.24.13</t>
  </si>
  <si>
    <t>SPPRS782.mgroupnet.com</t>
  </si>
  <si>
    <t>10.203.24.14</t>
  </si>
  <si>
    <t>SPPRS790.mgroupnet.com</t>
  </si>
  <si>
    <t>10.203.24.11</t>
  </si>
  <si>
    <t>SPPRS791.mgroupnet.com</t>
  </si>
  <si>
    <t>10.203.24.15</t>
  </si>
  <si>
    <t>spprs935</t>
  </si>
  <si>
    <t>SPPRS935.mgroupnet.com</t>
  </si>
  <si>
    <t>10.203.24.25</t>
  </si>
  <si>
    <t>VMware-42 02 d6 dd 9c f1 ba b1-f9 3e a8 97 98 9e 6c 5a</t>
  </si>
  <si>
    <t>TMP150CVM01.Tesoropetroleum.com</t>
  </si>
  <si>
    <t>MPC Tempe AZ</t>
  </si>
  <si>
    <t>10.16.30.174</t>
  </si>
  <si>
    <t>VMware-42 2c 50 16 c5 42 bb fa-65 57 32 aa 70 b9 d0 e6</t>
  </si>
  <si>
    <t>TMP150DP01.wr.westernrefining.net</t>
  </si>
  <si>
    <t>10.70.48.123</t>
  </si>
  <si>
    <t>ec2b5bd6-a35c-2799-40a7-7405406e4c2c</t>
  </si>
  <si>
    <t>TMP150ETW0101.wr.westernrefining.net</t>
  </si>
  <si>
    <t>RightAngle - WNR</t>
  </si>
  <si>
    <t>10.70.56.205</t>
  </si>
  <si>
    <t>ec2167eb-99c6-75c3-b0bd-72d591cac65b</t>
  </si>
  <si>
    <t>TMP150ETW0102.wr.westernrefining.net</t>
  </si>
  <si>
    <t>10.70.56.209</t>
  </si>
  <si>
    <t>ec2e0ff6-dfc6-7398-69e1-2ae3d3a23993</t>
  </si>
  <si>
    <t>TMP150NPRT01.Tesoropetroleum.com</t>
  </si>
  <si>
    <t>Qlikview - ANDV</t>
  </si>
  <si>
    <t>10.70.49.41</t>
  </si>
  <si>
    <t>Michael Gardner</t>
  </si>
  <si>
    <t>MGardner@Marathonpetroleum.com</t>
  </si>
  <si>
    <t>ec23f807-b0da-2fb3-941c-ea1a61190d69</t>
  </si>
  <si>
    <t>TMP150PDA3.wr.westernrefining.net</t>
  </si>
  <si>
    <t>10.70.49.140</t>
  </si>
  <si>
    <t>ec2c5266-617e-7edd-edca-2656eef1aff8</t>
  </si>
  <si>
    <t>TMP150PDA4.wr.westernrefining.net</t>
  </si>
  <si>
    <t>10.70.48.111</t>
  </si>
  <si>
    <t>ec2ef40f-85c0-0eee-a1d9-1cd73fa6a8b2</t>
  </si>
  <si>
    <t>TMP150PDB3.wr.westernrefining.net</t>
  </si>
  <si>
    <t>10.70.48.140</t>
  </si>
  <si>
    <t>ec2983c4-d4f9-2c5a-da41-0fa0fd0145ce</t>
  </si>
  <si>
    <t>TMP150PDB4.wr.westernrefining.net</t>
  </si>
  <si>
    <t>10.70.48.75</t>
  </si>
  <si>
    <t>ec257045-8ff9-ee8b-8b4c-0ace2419a2d2</t>
  </si>
  <si>
    <t>TMP150PDW5.wr.westernrefining.net</t>
  </si>
  <si>
    <t>10.70.48.53</t>
  </si>
  <si>
    <t>ec2965f7-d19b-8dc2-72ad-56b4f219b589</t>
  </si>
  <si>
    <t>TMP150PDW6.wr.westernrefining.net</t>
  </si>
  <si>
    <t>10.70.49.171</t>
  </si>
  <si>
    <t>ec28f858-58aa-fd48-1ba0-5296f47b4a42</t>
  </si>
  <si>
    <t>TMP150QLKP01.Tesoropetroleum.com</t>
  </si>
  <si>
    <t>10.70.48.82</t>
  </si>
  <si>
    <t>ec227606-1fdd-1248-538b-5d843b2461a9</t>
  </si>
  <si>
    <t>TMP150QLKV01.Tesoropetroleum.com</t>
  </si>
  <si>
    <t>10.70.48.150</t>
  </si>
  <si>
    <t>ec2e4eac-81e1-e682-cf20-012f84ee7256</t>
  </si>
  <si>
    <t>TMP150QLKW01.Tesoropetroleum.com</t>
  </si>
  <si>
    <t>10.70.49.178</t>
  </si>
  <si>
    <t>ec25297b-22fb-5b4d-91e7-4a80e7abe94b</t>
  </si>
  <si>
    <t>TSA-mps7462</t>
  </si>
  <si>
    <t>TSA</t>
  </si>
  <si>
    <t>10.40.55.136</t>
  </si>
  <si>
    <t>VMware-42 0c d5 f8 09 fc 62 8c-2c 41 a1 2d 92 f6 c5 51</t>
  </si>
  <si>
    <t>tu1vwasp046.Tesoropetroleum.com</t>
  </si>
  <si>
    <t>myLOA Application (Legacy A)</t>
  </si>
  <si>
    <t>10.240.81.230</t>
  </si>
  <si>
    <t>Rebecca Volino</t>
  </si>
  <si>
    <t>RJVolino@Marathonpetroleum.com</t>
  </si>
  <si>
    <t>Denise Anders</t>
  </si>
  <si>
    <t>DeAnders@marathonpetroleum.com</t>
  </si>
  <si>
    <t>VMware-42 0e e9 d5 ab 0d 5c 45-07 8a a5 e1 e4 8d 15 8a</t>
  </si>
  <si>
    <t>tu1vwasp113.Tesoropetroleum.com</t>
  </si>
  <si>
    <t>10.240.49.98</t>
  </si>
  <si>
    <t>Joanne Grubb</t>
  </si>
  <si>
    <t>jrgrubb@marathonpetroleum.com</t>
  </si>
  <si>
    <t>Michelle Broad</t>
  </si>
  <si>
    <t>mabroad@marathonpetroleum.com</t>
  </si>
  <si>
    <t>VMware-42 0e a8 06 c3 b7 0d 0e-c7 b6 4f 70 7b 86 bf 1f</t>
  </si>
  <si>
    <t>SigmaFine</t>
  </si>
  <si>
    <t>Leanne Kelly</t>
  </si>
  <si>
    <t>LWKelly@Marathonpetroleum.com</t>
  </si>
  <si>
    <t>IT-ACCTG-Ref Acctg Support</t>
  </si>
  <si>
    <t>tu1vwasp114.Tesoropetroleum.com</t>
  </si>
  <si>
    <t>10.240.49.99</t>
  </si>
  <si>
    <t>VMware-42 3d d0 7c 10 f5 a1 9c-a3 9e be 1e 50 f1 9c 3c</t>
  </si>
  <si>
    <t>tu1vwasp115.Tesoropetroleum.com</t>
  </si>
  <si>
    <t>10.240.49.100</t>
  </si>
  <si>
    <t>tu1vwasp116.Tesoropetroleum.com</t>
  </si>
  <si>
    <t>10.240.49.101</t>
  </si>
  <si>
    <t>VMware-42 0e a2 70 c6 b8 97 d1-93 e7 cf 28 91 cb 0a 30</t>
  </si>
  <si>
    <t>tu1vwasp117.Tesoropetroleum.com</t>
  </si>
  <si>
    <t>10.240.49.102</t>
  </si>
  <si>
    <t>tu1vwasp118.Tesoropetroleum.com</t>
  </si>
  <si>
    <t>10.240.49.103</t>
  </si>
  <si>
    <t>VMware-42 1f fd 4b e3 ee 08 8d-d3 04 c9 bb 79 ed 07 d4</t>
  </si>
  <si>
    <t>tu1vwasp119.Tesoropetroleum.com</t>
  </si>
  <si>
    <t>10.240.49.104</t>
  </si>
  <si>
    <t>VMware-42 0e 91 48 69 7f f0 2f-6f bf 42 20 df e9 2a 8d</t>
  </si>
  <si>
    <t>tu1vwaspi301.Tesoropetroleum.com</t>
  </si>
  <si>
    <t>10.240.80.37</t>
  </si>
  <si>
    <t>VMware-42 19 5b 65 c2 a8 32 65-47 81 4b e7 ac 13 80 25</t>
  </si>
  <si>
    <t>tu1vwaspj101.Tesoropetroleum.com</t>
  </si>
  <si>
    <t>10.240.80.34</t>
  </si>
  <si>
    <t>VMware-42 2f d5 46 e2 3b 9b 6b-37 6e e4 5a 9a 1d f3 56</t>
  </si>
  <si>
    <t>tu1vwaspj102.Tesoropetroleum.com</t>
  </si>
  <si>
    <t>10.240.80.35</t>
  </si>
  <si>
    <t>VMware-42 2f 9b 37 35 8e fc 00-a0 43 ab 7a aa 0f b9 ab</t>
  </si>
  <si>
    <t>tu1vwaspj103.Tesoropetroleum.com</t>
  </si>
  <si>
    <t>10.240.80.36</t>
  </si>
  <si>
    <t>VMware-42 22 2e a8 74 4d cb a2-e9 51 d7 04 d1 be f9 98</t>
  </si>
  <si>
    <t>tu1vwdbp023.Tesoropetroleum.com</t>
  </si>
  <si>
    <t>10.240.213.139</t>
  </si>
  <si>
    <t>VMware-42 0e 97 26 b9 e2 0f 6b-1b 4b bd 58 eb d0 fd 8f</t>
  </si>
  <si>
    <t>tu1vwwsp006.Tesoropetroleum.com</t>
  </si>
  <si>
    <t>Track - On Prem</t>
  </si>
  <si>
    <t>10.240.81.12</t>
  </si>
  <si>
    <t>Kip Murray</t>
  </si>
  <si>
    <t>kemurray@marathonpetroleum.com</t>
  </si>
  <si>
    <t>IT-ACCTG-Track Support</t>
  </si>
  <si>
    <t>Mitchell Campbell</t>
  </si>
  <si>
    <t>MiCampbell@marathonpetroleum.com</t>
  </si>
  <si>
    <t>VMware-42 0e 10 21 26 43 6c 02-3e 7d 2e cb 22 a2 18 a8</t>
  </si>
  <si>
    <t>tu1vwwsp007.Tesoropetroleum.com</t>
  </si>
  <si>
    <t>10.240.83.41</t>
  </si>
  <si>
    <t>VMware-42 0e 48 0f 34 dd 24 e7-e6 e4 a7 52 79 83 8f bf</t>
  </si>
  <si>
    <t>Linux SuSE</t>
  </si>
  <si>
    <t>12</t>
  </si>
  <si>
    <t>10.57.0.150</t>
  </si>
  <si>
    <t>0000-0008-3447-6260-8060-7445-59</t>
  </si>
  <si>
    <t>10.57.0.151</t>
  </si>
  <si>
    <t>0000-0017-1921-6715-8034-1566-08</t>
  </si>
  <si>
    <t>TXCLS941.mgroupnet.com</t>
  </si>
  <si>
    <t>10.202.96.150</t>
  </si>
  <si>
    <t>txc.mapllc.com</t>
  </si>
  <si>
    <t>TXCRS605.mgroupnet.com</t>
  </si>
  <si>
    <t>10.202.0.71</t>
  </si>
  <si>
    <t>TXCRS780.mgroupnet.com</t>
  </si>
  <si>
    <t>10.202.0.74</t>
  </si>
  <si>
    <t>TXCRS781.mgroupnet.com</t>
  </si>
  <si>
    <t>10.202.0.73</t>
  </si>
  <si>
    <t>TXCRS790.mgroupnet.com</t>
  </si>
  <si>
    <t>10.202.0.42</t>
  </si>
  <si>
    <t>Environment</t>
  </si>
  <si>
    <t>State</t>
  </si>
  <si>
    <t>Number</t>
  </si>
  <si>
    <t>Item</t>
  </si>
  <si>
    <t>Priority</t>
  </si>
  <si>
    <t>Short description</t>
  </si>
  <si>
    <t>Assignment group</t>
  </si>
  <si>
    <t>Assigned to</t>
  </si>
  <si>
    <t>Please provide specific details and why the requested server needs them</t>
  </si>
  <si>
    <t>User Information</t>
  </si>
  <si>
    <t xml:space="preserve">Unique Windows features or Installation of Application Dependencies?  </t>
  </si>
  <si>
    <t>Assignment Group</t>
  </si>
  <si>
    <t>Correlation Display</t>
  </si>
  <si>
    <t>Correlation ID</t>
  </si>
  <si>
    <t>Details of Request</t>
  </si>
  <si>
    <t>G&amp;P Category</t>
  </si>
  <si>
    <t>Requested For</t>
  </si>
  <si>
    <t>Request Type</t>
  </si>
  <si>
    <t>Requested by</t>
  </si>
  <si>
    <t>Requested for</t>
  </si>
  <si>
    <t>Service</t>
  </si>
  <si>
    <t>Short Description</t>
  </si>
  <si>
    <t>With which system are you having an issue</t>
  </si>
  <si>
    <t>SCTASK0283955</t>
  </si>
  <si>
    <t>Other Request</t>
  </si>
  <si>
    <t>3 Day</t>
  </si>
  <si>
    <t>Open</t>
  </si>
  <si>
    <t>Please create an entry in the ESL for Azure SQL Server PaaS iacsqlpaas916</t>
  </si>
  <si>
    <t>IT-INFR-Hybrid Cloud Asset Mgmt</t>
  </si>
  <si>
    <t>false</t>
  </si>
  <si>
    <t>Newly provisioned Azure SQL Server PaaS iacsqlpaas916</t>
  </si>
  <si>
    <t>IaC User</t>
  </si>
  <si>
    <t>SCTASK0283952</t>
  </si>
  <si>
    <t>SCTASK0283949</t>
  </si>
  <si>
    <t>SCTASK0283946</t>
  </si>
  <si>
    <t>SCTASK0283909</t>
  </si>
  <si>
    <t>A new ESL entry is needed for the newly provisioned virtual machine dgwgen001011</t>
  </si>
  <si>
    <t>SCTASK0283906</t>
  </si>
  <si>
    <t>Please create an entry in the ESL for Azure SQL Server PaaS iacsqlpaas952</t>
  </si>
  <si>
    <t>SCTASK0283900</t>
  </si>
  <si>
    <t>Newly provisioned virtual machine dgwgen001011</t>
  </si>
  <si>
    <t>Newly provisioned Azure SQL Server PaaS iacsqlpaas952</t>
  </si>
  <si>
    <t>Import Input 1 and Input 2 File</t>
  </si>
  <si>
    <t xml:space="preserve">Server Name </t>
  </si>
  <si>
    <t>Server name+Domain name</t>
  </si>
  <si>
    <t>Server Type</t>
  </si>
  <si>
    <t>SMC Location</t>
  </si>
  <si>
    <t>System Usage Category</t>
  </si>
  <si>
    <t>Role of the Server</t>
  </si>
  <si>
    <t>Server purpose</t>
  </si>
  <si>
    <t>Production IP Address</t>
  </si>
  <si>
    <t>Domain</t>
  </si>
  <si>
    <t xml:space="preserve">Primary Technical Contact </t>
  </si>
  <si>
    <t>Secondary Technical Contact</t>
  </si>
  <si>
    <t>Primary On-site Contact</t>
  </si>
  <si>
    <t>Secondary On-site Contact</t>
  </si>
  <si>
    <t>Downtime Contact</t>
  </si>
  <si>
    <t>Maintenance Period</t>
  </si>
  <si>
    <t>Service Offering</t>
  </si>
  <si>
    <t>Restart/ Reboot notes</t>
  </si>
  <si>
    <t>Is Virtual?</t>
  </si>
  <si>
    <t>Billable (Y/N)</t>
  </si>
  <si>
    <t>Model Number</t>
  </si>
  <si>
    <t>System name</t>
  </si>
  <si>
    <t>Datacenter</t>
  </si>
  <si>
    <t xml:space="preserve">Main Usage   </t>
  </si>
  <si>
    <t>Detailed Usage</t>
  </si>
  <si>
    <t>Customer system owner</t>
  </si>
  <si>
    <t>Customer system owner Backup</t>
  </si>
  <si>
    <t>Technical owner</t>
  </si>
  <si>
    <t>Technical owner backup</t>
  </si>
  <si>
    <t>Maintenance/Downtime Window</t>
  </si>
  <si>
    <t>Special Handling</t>
  </si>
  <si>
    <t>SCTASK0283907</t>
  </si>
  <si>
    <t>Impact Mapping</t>
  </si>
  <si>
    <t>DC Mapping</t>
  </si>
  <si>
    <t>OS Class Mapping</t>
  </si>
  <si>
    <t>Report- Business Criticality</t>
  </si>
  <si>
    <t>ESL Impact</t>
  </si>
  <si>
    <t>Report Location</t>
  </si>
  <si>
    <t>ESL DC Name</t>
  </si>
  <si>
    <t>Report Class</t>
  </si>
  <si>
    <t>ESL OS Class</t>
  </si>
  <si>
    <t>MPCP-US-Lebanon-CYL</t>
  </si>
  <si>
    <t>MPCP-US-Tulsa-TUL</t>
  </si>
  <si>
    <t>MPCP-US-Galveston Bay Refinery</t>
  </si>
  <si>
    <t>Blank</t>
  </si>
  <si>
    <t>MPCP-US-Robinson-ROB</t>
  </si>
  <si>
    <t>ESX Server</t>
  </si>
  <si>
    <t>MPCP-US-St. Paul Park-SPP</t>
  </si>
  <si>
    <t>Hyper-V Server</t>
  </si>
  <si>
    <t>MPCP-US-Salt Lake City-SLC</t>
  </si>
  <si>
    <t>Citrix Netscaler</t>
  </si>
  <si>
    <t>MPCP-US-Los Angeles-LAR</t>
  </si>
  <si>
    <t>F5 BIG-IP</t>
  </si>
  <si>
    <t>MPCP-US-San Antonio-SAT</t>
  </si>
  <si>
    <t>Default</t>
  </si>
  <si>
    <t>MPCP-US-Anacortes-ANR</t>
  </si>
  <si>
    <t>MPCP-US-Martinez-MTZ</t>
  </si>
  <si>
    <t>MPCP-US-Detroit-DET</t>
  </si>
  <si>
    <t>MPCP-US-Kenai-KEN</t>
  </si>
  <si>
    <t>MPCP-US-Mandan-MAN</t>
  </si>
  <si>
    <t>MPCP-US-El Paso-ELP</t>
  </si>
  <si>
    <t>MPCP-US-Garyville-GVL</t>
  </si>
  <si>
    <t>MPCP-US-Catlettsburg-CBG</t>
  </si>
  <si>
    <t>MPCP-US-Findlay-FDY</t>
  </si>
  <si>
    <t>MPCP-US-Canton-CAN</t>
  </si>
  <si>
    <t>MPCP-US-Rock Springs-RKS</t>
  </si>
  <si>
    <t>MPCP-US-Bloomfield-BLS</t>
  </si>
  <si>
    <t>MPCP-US-Tempe-TPE</t>
  </si>
  <si>
    <t>MPCP-US-Cincinnatti Biodiesel-CBD</t>
  </si>
  <si>
    <t>MPCP-US-Dickinson-DIR</t>
  </si>
  <si>
    <t>MPCP-US-Gallup-GLP</t>
  </si>
  <si>
    <t>MPCP-US-Alpharetta-ALF</t>
  </si>
  <si>
    <t>MPCP-US-Denver-DEN</t>
  </si>
  <si>
    <t>(All cloud ones are blank in the report)</t>
  </si>
  <si>
    <t>Business Application</t>
  </si>
  <si>
    <t>mpc.vmware@dxc.com</t>
  </si>
  <si>
    <t>New List</t>
  </si>
  <si>
    <t>East-US</t>
  </si>
  <si>
    <t>MPLS Coalgate OK</t>
  </si>
  <si>
    <t>MPC Texas City TX Refinery</t>
  </si>
  <si>
    <t>MPCP-US-Texas City-TXC</t>
  </si>
  <si>
    <t>MPLS Belfield ND</t>
  </si>
  <si>
    <t>MPCP-US-Fryburg-FRT</t>
  </si>
  <si>
    <t>MPLS Russell KY</t>
  </si>
  <si>
    <t>MPCP-US-Russell</t>
  </si>
  <si>
    <t>Jensen</t>
  </si>
  <si>
    <t>MPLS Burley ID Terminal</t>
  </si>
  <si>
    <t>MPCP-US-Pikeville-Boldman</t>
  </si>
  <si>
    <t>CAT Catlettsburg KY Plant</t>
  </si>
  <si>
    <t>MPC Long Beach CA Ocean Blvd</t>
  </si>
  <si>
    <t>MPCP-US-Long Beach-LBO</t>
  </si>
  <si>
    <t>MPLS Cadiz OH</t>
  </si>
  <si>
    <t>MPCP-US-Cadiz Plant-CDP</t>
  </si>
  <si>
    <t>MPLS Corpus Christi TX</t>
  </si>
  <si>
    <t>MPCP-US-Corpus Christi-CRP</t>
  </si>
  <si>
    <t>MPLS Carthage TX</t>
  </si>
  <si>
    <t>MPCP-US-Carthage-CTH</t>
  </si>
  <si>
    <t>MPLS Orla TX</t>
  </si>
  <si>
    <t>MPCP-US-Hidalgo-HDG</t>
  </si>
  <si>
    <t>MPLS Dickinson ND</t>
  </si>
  <si>
    <t>MPLS Kenova WV</t>
  </si>
  <si>
    <t>MPCP-US-Kenova-KVA</t>
  </si>
  <si>
    <t>MPC CA La Palma Office</t>
  </si>
  <si>
    <t>MPCP-US-La Palma-LAP</t>
  </si>
  <si>
    <t>MPLS Langley KY</t>
  </si>
  <si>
    <t>MPCP-US-Langley-LGY</t>
  </si>
  <si>
    <t>MPLS McAlester OK</t>
  </si>
  <si>
    <t>MPCP-US-McAlester-MCA</t>
  </si>
  <si>
    <t>MPCP-US-Mexico City-MEX</t>
  </si>
  <si>
    <t>MPLS Watford City ND</t>
  </si>
  <si>
    <t>MPCP-US-Watford City-WAP</t>
  </si>
  <si>
    <t>MPLS New Town ND</t>
  </si>
  <si>
    <t>MPCP-US-Robinson Lake-RLP</t>
  </si>
  <si>
    <t>Okarche</t>
  </si>
  <si>
    <t>MPCP-US-Okarche-OOK</t>
  </si>
  <si>
    <t>MPLS Port Angeles WA</t>
  </si>
  <si>
    <t>MPCP-US-Port Angeles-PTA</t>
  </si>
  <si>
    <t>MPLS Pasco WA Terminal</t>
  </si>
  <si>
    <t>MPCP-US-Pasco-PST</t>
  </si>
  <si>
    <t>MPLS Vernal UT</t>
  </si>
  <si>
    <t>MPCP-US-Vernal-VRO</t>
  </si>
  <si>
    <t>MPLS Summerfield OH</t>
  </si>
  <si>
    <t>MPLS South Shore KY</t>
  </si>
  <si>
    <t>MPCP-US-Siloam-SIL</t>
  </si>
  <si>
    <t>MPLS Kingfisher OK</t>
  </si>
  <si>
    <t>MPCP-US-Stack-SOO</t>
  </si>
  <si>
    <t>MPLS Canonsburg PA</t>
  </si>
  <si>
    <t>MPCP-US-Southpointe-SPT</t>
  </si>
  <si>
    <t>MPLS Evans City PA</t>
  </si>
  <si>
    <t>MPCP-US-Evans City-Blustone</t>
  </si>
  <si>
    <t>MPLS Sidney MT</t>
  </si>
  <si>
    <t>MPLS Tioga ND Pipeline</t>
  </si>
  <si>
    <t>MPLS Tulsa OK</t>
  </si>
  <si>
    <t>MPLS South Gate Vinvale CA Trm</t>
  </si>
  <si>
    <t>MPLS Washington PA</t>
  </si>
  <si>
    <t>MPCP-US-Washington-WAS</t>
  </si>
  <si>
    <t>Westland</t>
  </si>
  <si>
    <t>MPLS Bridgeport WV</t>
  </si>
  <si>
    <t>MPCP-US-White Oaks-WTO</t>
  </si>
  <si>
    <t>Matrix data column Count</t>
  </si>
  <si>
    <t>A2 to</t>
  </si>
  <si>
    <t>ITHybridCloudEngineeringOperationsMgmt@Marathonpetroleum.com</t>
  </si>
  <si>
    <t>mark.newman2@dxc.com</t>
  </si>
  <si>
    <t>Tesoropetroleum.com</t>
  </si>
  <si>
    <t>11:00 PM local server time Weekends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</si>
</sst>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4"/>
      <color theme="1"/>
      <name val="Algerian"/>
      <family val="5"/>
    </font>
    <font>
      <sz val="11"/>
      <color theme="1"/>
      <name val="Algerian"/>
      <family val="5"/>
    </font>
    <font>
      <u/>
      <sz val="18"/>
      <color rgb="FF99CC00"/>
      <name val="Assistant ExtraBold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rgb="FF242424"/>
      <name val="Segoe UI"/>
      <family val="2"/>
    </font>
    <font>
      <sz val="11"/>
      <color indexed="8"/>
      <name val="Calibri"/>
      <family val="2"/>
      <scheme val="minor"/>
    </font>
    <font>
      <sz val="10"/>
      <color indexed="63"/>
      <name val="Arial"/>
      <family val="2"/>
    </font>
    <font>
      <sz val="7"/>
      <color rgb="FF242424"/>
      <name val="Segoe UI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5A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</borders>
  <cellStyleXfs count="2">
    <xf numFmtId="0" fontId="0" fillId="0" borderId="0"/>
    <xf numFmtId="0" fontId="11" fillId="0" borderId="0"/>
  </cellStyleXfs>
  <cellXfs count="32">
    <xf numFmtId="0" fontId="0" fillId="0" borderId="0" xfId="0"/>
    <xf numFmtId="0" fontId="1" fillId="0" borderId="0" xfId="0" applyFont="1"/>
    <xf numFmtId="0" fontId="0" fillId="0" borderId="0" xfId="0" applyBorder="1"/>
    <xf numFmtId="0" fontId="0" fillId="2" borderId="0" xfId="0" applyFill="1" applyBorder="1"/>
    <xf numFmtId="0" fontId="0" fillId="5" borderId="0" xfId="0" applyFill="1"/>
    <xf numFmtId="0" fontId="3" fillId="2" borderId="0" xfId="0" applyFont="1" applyFill="1" applyBorder="1"/>
    <xf numFmtId="0" fontId="4" fillId="2" borderId="0" xfId="0" applyFont="1" applyFill="1" applyBorder="1"/>
    <xf numFmtId="0" fontId="0" fillId="3" borderId="0" xfId="0" applyFill="1" applyBorder="1"/>
    <xf numFmtId="0" fontId="0" fillId="6" borderId="0" xfId="0" applyFill="1" applyBorder="1"/>
    <xf numFmtId="0" fontId="0" fillId="6" borderId="0" xfId="0" applyFill="1"/>
    <xf numFmtId="0" fontId="0" fillId="5" borderId="0" xfId="0" applyFill="1" applyBorder="1"/>
    <xf numFmtId="0" fontId="5" fillId="2" borderId="0" xfId="0" applyFont="1" applyFill="1" applyBorder="1"/>
    <xf numFmtId="0" fontId="0" fillId="4" borderId="0" xfId="0" applyFill="1" applyBorder="1"/>
    <xf numFmtId="0" fontId="0" fillId="4" borderId="0" xfId="0" applyFill="1"/>
    <xf numFmtId="0" fontId="2" fillId="5" borderId="0" xfId="0" applyFont="1" applyFill="1" applyBorder="1"/>
    <xf numFmtId="0" fontId="0" fillId="7" borderId="0" xfId="0" applyFill="1" applyBorder="1"/>
    <xf numFmtId="0" fontId="0" fillId="7" borderId="0" xfId="0" applyFill="1"/>
    <xf numFmtId="0" fontId="0" fillId="8" borderId="0" xfId="0" applyFill="1" applyBorder="1"/>
    <xf numFmtId="0" fontId="7" fillId="9" borderId="1" xfId="0" applyFont="1" applyFill="1" applyBorder="1" applyAlignment="1">
      <alignment horizontal="left" vertical="center"/>
    </xf>
    <xf numFmtId="0" fontId="7" fillId="9" borderId="2" xfId="0" applyFont="1" applyFill="1" applyBorder="1" applyAlignment="1">
      <alignment horizontal="left" vertical="center"/>
    </xf>
    <xf numFmtId="0" fontId="8" fillId="10" borderId="1" xfId="0" applyFont="1" applyFill="1" applyBorder="1" applyAlignment="1">
      <alignment horizontal="left" vertical="center"/>
    </xf>
    <xf numFmtId="0" fontId="9" fillId="10" borderId="3" xfId="0" applyFont="1" applyFill="1" applyBorder="1"/>
    <xf numFmtId="0" fontId="1" fillId="0" borderId="3" xfId="0" applyFont="1" applyBorder="1"/>
    <xf numFmtId="0" fontId="0" fillId="0" borderId="3" xfId="0" applyBorder="1"/>
    <xf numFmtId="0" fontId="10" fillId="11" borderId="4" xfId="0" applyFont="1" applyFill="1" applyBorder="1" applyAlignment="1">
      <alignment vertical="center" wrapText="1"/>
    </xf>
    <xf numFmtId="49" fontId="11" fillId="0" borderId="3" xfId="1" applyNumberFormat="1" applyBorder="1" applyAlignment="1">
      <alignment vertical="top" wrapText="1"/>
    </xf>
    <xf numFmtId="0" fontId="12" fillId="0" borderId="3" xfId="0" applyFont="1" applyBorder="1" applyAlignment="1">
      <alignment horizontal="left" vertical="top" wrapText="1"/>
    </xf>
    <xf numFmtId="0" fontId="13" fillId="11" borderId="4" xfId="0" applyFont="1" applyFill="1" applyBorder="1" applyAlignment="1">
      <alignment vertical="center" wrapText="1"/>
    </xf>
    <xf numFmtId="0" fontId="10" fillId="12" borderId="4" xfId="0" applyFont="1" applyFill="1" applyBorder="1" applyAlignment="1">
      <alignment vertical="center" wrapText="1"/>
    </xf>
    <xf numFmtId="0" fontId="14" fillId="0" borderId="0" xfId="0" applyFont="1"/>
    <xf numFmtId="0" fontId="0" fillId="0" borderId="0" xfId="0" applyFont="1"/>
    <xf numFmtId="18" fontId="15" fillId="0" borderId="1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C583D440-018F-44D5-9BB4-0ADFEB9150E1}"/>
  </cellStyles>
  <dxfs count="0"/>
  <tableStyles count="0" defaultTableStyle="TableStyleMedium9" defaultPivotStyle="PivotStyleLight16"/>
  <colors>
    <mruColors>
      <color rgb="FFFFFFFF"/>
      <color rgb="FFD9D9D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12</xdr:row>
          <xdr:rowOff>101600</xdr:rowOff>
        </xdr:from>
        <xdr:to>
          <xdr:col>8</xdr:col>
          <xdr:colOff>133350</xdr:colOff>
          <xdr:row>16</xdr:row>
          <xdr:rowOff>31750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1800" b="0" i="0" u="sng" strike="noStrike" baseline="0">
                  <a:solidFill>
                    <a:srgbClr val="99CC00"/>
                  </a:solidFill>
                  <a:latin typeface="Assistant ExtraBold"/>
                  <a:cs typeface="Assistant ExtraBold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33020</xdr:colOff>
      <xdr:row>26</xdr:row>
      <xdr:rowOff>12136</xdr:rowOff>
    </xdr:from>
    <xdr:to>
      <xdr:col>9</xdr:col>
      <xdr:colOff>590550</xdr:colOff>
      <xdr:row>27</xdr:row>
      <xdr:rowOff>88195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2620" y="4907986"/>
          <a:ext cx="5434330" cy="260209"/>
        </a:xfrm>
        <a:prstGeom prst="rect">
          <a:avLst/>
        </a:prstGeom>
        <a:solidFill>
          <a:srgbClr val="7030A0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50"/>
            <a:t>DXC - IT Asset Managemen</a:t>
          </a:r>
          <a:r>
            <a:rPr lang="en-GB" sz="1050" baseline="0"/>
            <a:t>t Team Chennai</a:t>
          </a:r>
          <a:endParaRPr lang="en-GB" sz="1050"/>
        </a:p>
      </xdr:txBody>
    </xdr:sp>
    <xdr:clientData/>
  </xdr:twoCellAnchor>
  <xdr:twoCellAnchor>
    <xdr:from>
      <xdr:col>1</xdr:col>
      <xdr:colOff>30480</xdr:colOff>
      <xdr:row>0</xdr:row>
      <xdr:rowOff>24786</xdr:rowOff>
    </xdr:from>
    <xdr:to>
      <xdr:col>9</xdr:col>
      <xdr:colOff>603250</xdr:colOff>
      <xdr:row>2</xdr:row>
      <xdr:rowOff>41818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080" y="24786"/>
          <a:ext cx="5449570" cy="385332"/>
        </a:xfrm>
        <a:prstGeom prst="rect">
          <a:avLst/>
        </a:prstGeom>
        <a:solidFill>
          <a:srgbClr val="7030A0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eaLnBrk="1" fontAlgn="auto" latinLnBrk="0" hangingPunct="1"/>
          <a:r>
            <a:rPr lang="en-GB" sz="1800">
              <a:solidFill>
                <a:schemeClr val="lt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Marathon</a:t>
          </a:r>
          <a:r>
            <a:rPr lang="en-GB" sz="1800" baseline="0">
              <a:solidFill>
                <a:schemeClr val="lt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 Petroleum Matrix Fill</a:t>
          </a:r>
          <a:endParaRPr lang="en-IN" sz="1800">
            <a:effectLst/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9</xdr:col>
      <xdr:colOff>596900</xdr:colOff>
      <xdr:row>27</xdr:row>
      <xdr:rowOff>120650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0"/>
          <a:ext cx="5473700" cy="5200650"/>
        </a:xfrm>
        <a:prstGeom prst="rect">
          <a:avLst/>
        </a:prstGeom>
        <a:noFill/>
        <a:ln w="571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19050</xdr:colOff>
      <xdr:row>22</xdr:row>
      <xdr:rowOff>19051</xdr:rowOff>
    </xdr:from>
    <xdr:to>
      <xdr:col>10</xdr:col>
      <xdr:colOff>6350</xdr:colOff>
      <xdr:row>26</xdr:row>
      <xdr:rowOff>33183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8650" y="4178301"/>
          <a:ext cx="5473700" cy="750732"/>
        </a:xfrm>
        <a:prstGeom prst="round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100"/>
        </a:p>
      </xdr:txBody>
    </xdr:sp>
    <xdr:clientData/>
  </xdr:twoCellAnchor>
  <xdr:twoCellAnchor>
    <xdr:from>
      <xdr:col>1</xdr:col>
      <xdr:colOff>104140</xdr:colOff>
      <xdr:row>2</xdr:row>
      <xdr:rowOff>90734</xdr:rowOff>
    </xdr:from>
    <xdr:to>
      <xdr:col>2</xdr:col>
      <xdr:colOff>571500</xdr:colOff>
      <xdr:row>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3740" y="459034"/>
          <a:ext cx="1076960" cy="614116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>
              <a:noFill/>
            </a:ln>
          </a:endParaRPr>
        </a:p>
      </xdr:txBody>
    </xdr:sp>
    <xdr:clientData/>
  </xdr:twoCellAnchor>
  <xdr:twoCellAnchor>
    <xdr:from>
      <xdr:col>8</xdr:col>
      <xdr:colOff>38100</xdr:colOff>
      <xdr:row>2</xdr:row>
      <xdr:rowOff>95250</xdr:rowOff>
    </xdr:from>
    <xdr:to>
      <xdr:col>9</xdr:col>
      <xdr:colOff>518906</xdr:colOff>
      <xdr:row>5</xdr:row>
      <xdr:rowOff>133471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14900" y="463550"/>
          <a:ext cx="1090406" cy="590671"/>
        </a:xfrm>
        <a:prstGeom prst="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personal/debashis_mohapatra_dxc_com/Documents/MPCP/05_May%202022/12%20May/ESL%204%20CI%20adding%20120522%20Request%20SCTASK0297325%20-%20Active%20Directory%20MEXTRANET%20-%20Matrix202205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Systems"/>
      <sheetName val="System Attributes"/>
      <sheetName val="System Usages"/>
      <sheetName val="System Roles"/>
      <sheetName val="System Customers"/>
      <sheetName val="System IPs"/>
      <sheetName val="System Consoles"/>
      <sheetName val="System Contracts"/>
      <sheetName val="System Backups"/>
      <sheetName val="System Backup Clients"/>
      <sheetName val="System Backup Devices"/>
      <sheetName val="System Relations"/>
      <sheetName val="System URLs"/>
      <sheetName val="System EtPs"/>
      <sheetName val="System Regulations"/>
      <sheetName val="System ERM Groups"/>
      <sheetName val="System Peripherals"/>
      <sheetName val="System Assets"/>
      <sheetName val="CI Group System Assignments"/>
      <sheetName val="KPE System Assignments"/>
      <sheetName val="Validation"/>
      <sheetName val="Legend"/>
      <sheetName val="Change 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C2" t="str">
            <v>1 - Enterprise</v>
          </cell>
        </row>
        <row r="3">
          <cell r="C3" t="str">
            <v>2 - Site/Dept</v>
          </cell>
        </row>
        <row r="4">
          <cell r="C4" t="str">
            <v>3 - Multiple Users</v>
          </cell>
        </row>
        <row r="5">
          <cell r="C5" t="str">
            <v>4 - User</v>
          </cell>
        </row>
      </sheetData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02E34-A4E3-4427-A466-5C2E06999653}">
  <sheetPr codeName="Sheet6">
    <tabColor rgb="FFFFFF00"/>
  </sheetPr>
  <dimension ref="B1:O27"/>
  <sheetViews>
    <sheetView workbookViewId="0"/>
  </sheetViews>
  <sheetFormatPr defaultRowHeight="14.5" x14ac:dyDescent="0.35"/>
  <sheetData>
    <row r="1" spans="2:15" x14ac:dyDescent="0.35">
      <c r="B1" s="2"/>
      <c r="C1" s="2"/>
      <c r="D1" s="2"/>
      <c r="E1" s="2"/>
      <c r="F1" s="2"/>
      <c r="G1" s="2"/>
      <c r="H1" s="2"/>
      <c r="I1" s="2"/>
    </row>
    <row r="2" spans="2:15" x14ac:dyDescent="0.35">
      <c r="B2" s="2"/>
      <c r="C2" s="2"/>
      <c r="D2" s="2"/>
      <c r="E2" s="2"/>
      <c r="F2" s="2"/>
      <c r="G2" s="2"/>
      <c r="H2" s="2"/>
      <c r="I2" s="2"/>
    </row>
    <row r="3" spans="2:15" x14ac:dyDescent="0.35">
      <c r="B3" s="12"/>
      <c r="C3" s="12"/>
      <c r="D3" s="12"/>
      <c r="E3" s="12"/>
      <c r="F3" s="12"/>
      <c r="G3" s="12"/>
      <c r="H3" s="12"/>
      <c r="I3" s="12"/>
      <c r="J3" s="13"/>
    </row>
    <row r="4" spans="2:15" x14ac:dyDescent="0.35">
      <c r="B4" s="12"/>
      <c r="C4" s="12"/>
      <c r="D4" s="12"/>
      <c r="E4" s="12"/>
      <c r="F4" s="12"/>
      <c r="G4" s="12"/>
      <c r="H4" s="12"/>
      <c r="I4" s="12"/>
      <c r="J4" s="13"/>
    </row>
    <row r="5" spans="2:15" x14ac:dyDescent="0.35">
      <c r="B5" s="12"/>
      <c r="C5" s="12"/>
      <c r="D5" s="12"/>
      <c r="E5" s="12"/>
      <c r="F5" s="12"/>
      <c r="G5" s="12"/>
      <c r="H5" s="12"/>
      <c r="I5" s="12"/>
      <c r="J5" s="13"/>
      <c r="O5" s="2"/>
    </row>
    <row r="6" spans="2:15" x14ac:dyDescent="0.35">
      <c r="B6" s="12"/>
      <c r="C6" s="12"/>
      <c r="D6" s="12"/>
      <c r="E6" s="12"/>
      <c r="F6" s="12"/>
      <c r="G6" s="12"/>
      <c r="H6" s="12"/>
      <c r="I6" s="12"/>
      <c r="J6" s="13"/>
    </row>
    <row r="7" spans="2:15" x14ac:dyDescent="0.35">
      <c r="B7" s="10"/>
      <c r="C7" s="4"/>
      <c r="D7" s="4"/>
      <c r="E7" s="4"/>
      <c r="F7" s="4"/>
      <c r="G7" s="4"/>
      <c r="H7" s="4"/>
      <c r="I7" s="4"/>
      <c r="J7" s="4"/>
    </row>
    <row r="8" spans="2:15" x14ac:dyDescent="0.35">
      <c r="B8" s="10"/>
      <c r="C8" s="4"/>
      <c r="D8" s="4"/>
      <c r="E8" s="4"/>
      <c r="F8" s="4"/>
      <c r="G8" s="4"/>
      <c r="H8" s="4"/>
      <c r="I8" s="4"/>
      <c r="J8" s="4"/>
    </row>
    <row r="9" spans="2:15" x14ac:dyDescent="0.35">
      <c r="B9" s="10"/>
      <c r="C9" s="16"/>
      <c r="D9" s="16"/>
      <c r="E9" s="16"/>
      <c r="F9" s="16"/>
      <c r="G9" s="16"/>
      <c r="H9" s="16"/>
      <c r="I9" s="16"/>
      <c r="J9" s="4"/>
    </row>
    <row r="10" spans="2:15" x14ac:dyDescent="0.35">
      <c r="B10" s="10"/>
      <c r="C10" s="7"/>
      <c r="D10" s="7"/>
      <c r="E10" s="7"/>
      <c r="F10" s="7"/>
      <c r="G10" s="7"/>
      <c r="H10" s="7"/>
      <c r="I10" s="7"/>
      <c r="J10" s="4"/>
    </row>
    <row r="11" spans="2:15" ht="19.5" x14ac:dyDescent="0.45">
      <c r="B11" s="10"/>
      <c r="C11" s="6" t="s">
        <v>5594</v>
      </c>
      <c r="D11" s="3"/>
      <c r="E11" s="3"/>
      <c r="F11" s="5"/>
      <c r="G11" s="3"/>
      <c r="H11" s="3"/>
      <c r="I11" s="3"/>
      <c r="J11" s="4"/>
    </row>
    <row r="12" spans="2:15" x14ac:dyDescent="0.35">
      <c r="B12" s="10"/>
      <c r="C12" s="3"/>
      <c r="D12" s="3"/>
      <c r="E12" s="3"/>
      <c r="F12" s="3"/>
      <c r="G12" s="3"/>
      <c r="H12" s="3"/>
      <c r="I12" s="3"/>
      <c r="J12" s="4"/>
    </row>
    <row r="13" spans="2:15" x14ac:dyDescent="0.35">
      <c r="B13" s="10"/>
      <c r="C13" s="3"/>
      <c r="D13" s="3"/>
      <c r="E13" s="3"/>
      <c r="F13" s="3"/>
      <c r="G13" s="3"/>
      <c r="H13" s="3"/>
      <c r="I13" s="3"/>
      <c r="J13" s="4"/>
    </row>
    <row r="14" spans="2:15" x14ac:dyDescent="0.35">
      <c r="B14" s="10"/>
      <c r="C14" s="3"/>
      <c r="D14" s="3"/>
      <c r="E14" s="3"/>
      <c r="F14" s="3"/>
      <c r="G14" s="3"/>
      <c r="H14" s="3"/>
      <c r="I14" s="3"/>
      <c r="J14" s="4"/>
    </row>
    <row r="15" spans="2:15" ht="16" x14ac:dyDescent="0.4">
      <c r="B15" s="10"/>
      <c r="C15" s="11" t="s">
        <v>8</v>
      </c>
      <c r="D15" s="3"/>
      <c r="E15" s="3"/>
      <c r="F15" s="3"/>
      <c r="G15" s="3"/>
      <c r="H15" s="3"/>
      <c r="I15" s="3"/>
      <c r="J15" s="4"/>
    </row>
    <row r="16" spans="2:15" x14ac:dyDescent="0.35">
      <c r="B16" s="10"/>
      <c r="C16" s="3"/>
      <c r="D16" s="3"/>
      <c r="E16" s="3"/>
      <c r="F16" s="3"/>
      <c r="G16" s="3"/>
      <c r="H16" s="3"/>
      <c r="I16" s="3"/>
      <c r="J16" s="4"/>
    </row>
    <row r="17" spans="2:10" x14ac:dyDescent="0.35">
      <c r="B17" s="10"/>
      <c r="C17" s="3"/>
      <c r="D17" s="3"/>
      <c r="E17" s="3"/>
      <c r="F17" s="3"/>
      <c r="G17" s="3"/>
      <c r="H17" s="3"/>
      <c r="I17" s="3"/>
      <c r="J17" s="4"/>
    </row>
    <row r="18" spans="2:10" x14ac:dyDescent="0.35">
      <c r="B18" s="10"/>
      <c r="C18" s="17"/>
      <c r="D18" s="17"/>
      <c r="E18" s="17"/>
      <c r="F18" s="17"/>
      <c r="G18" s="17"/>
      <c r="H18" s="17"/>
      <c r="I18" s="17"/>
      <c r="J18" s="4"/>
    </row>
    <row r="19" spans="2:10" x14ac:dyDescent="0.35">
      <c r="B19" s="10"/>
      <c r="C19" s="15"/>
      <c r="D19" s="15"/>
      <c r="E19" s="15"/>
      <c r="F19" s="15"/>
      <c r="G19" s="15"/>
      <c r="H19" s="15"/>
      <c r="I19" s="15"/>
      <c r="J19" s="4"/>
    </row>
    <row r="20" spans="2:10" x14ac:dyDescent="0.35">
      <c r="B20" s="10"/>
      <c r="C20" s="10"/>
      <c r="D20" s="10"/>
      <c r="E20" s="10"/>
      <c r="F20" s="10"/>
      <c r="G20" s="10"/>
      <c r="H20" s="10"/>
      <c r="I20" s="10"/>
      <c r="J20" s="4"/>
    </row>
    <row r="21" spans="2:10" x14ac:dyDescent="0.35">
      <c r="B21" s="10"/>
      <c r="C21" s="10"/>
      <c r="D21" s="10"/>
      <c r="E21" s="10"/>
      <c r="F21" s="10"/>
      <c r="G21" s="10"/>
      <c r="H21" s="10"/>
      <c r="I21" s="10"/>
      <c r="J21" s="4"/>
    </row>
    <row r="22" spans="2:10" ht="15.5" x14ac:dyDescent="0.35">
      <c r="B22" s="10"/>
      <c r="C22" s="10"/>
      <c r="D22" s="4"/>
      <c r="E22" s="14"/>
      <c r="F22" s="14"/>
      <c r="G22" s="14"/>
      <c r="H22" s="14"/>
      <c r="I22" s="10"/>
      <c r="J22" s="4"/>
    </row>
    <row r="23" spans="2:10" x14ac:dyDescent="0.35">
      <c r="B23" s="8"/>
      <c r="C23" s="8"/>
      <c r="D23" s="8"/>
      <c r="E23" s="8"/>
      <c r="F23" s="8"/>
      <c r="G23" s="8"/>
      <c r="H23" s="8"/>
      <c r="I23" s="8"/>
      <c r="J23" s="9"/>
    </row>
    <row r="24" spans="2:10" x14ac:dyDescent="0.35">
      <c r="B24" s="8"/>
      <c r="C24" s="8"/>
      <c r="D24" s="8"/>
      <c r="E24" s="8"/>
      <c r="F24" s="8"/>
      <c r="G24" s="8"/>
      <c r="H24" s="8"/>
      <c r="I24" s="8"/>
      <c r="J24" s="9"/>
    </row>
    <row r="25" spans="2:10" x14ac:dyDescent="0.35">
      <c r="B25" s="8"/>
      <c r="C25" s="8"/>
      <c r="D25" s="8"/>
      <c r="E25" s="8"/>
      <c r="F25" s="8"/>
      <c r="G25" s="8"/>
      <c r="H25" s="8"/>
      <c r="I25" s="8"/>
      <c r="J25" s="9"/>
    </row>
    <row r="26" spans="2:10" x14ac:dyDescent="0.35">
      <c r="B26" s="8"/>
      <c r="C26" s="8"/>
      <c r="D26" s="8"/>
      <c r="E26" s="8"/>
      <c r="F26" s="8"/>
      <c r="G26" s="8"/>
      <c r="H26" s="8"/>
      <c r="I26" s="8"/>
      <c r="J26" s="9"/>
    </row>
    <row r="27" spans="2:10" x14ac:dyDescent="0.35">
      <c r="B27" s="2"/>
      <c r="C27" s="2"/>
      <c r="D27" s="2"/>
      <c r="E27" s="2"/>
      <c r="F27" s="2"/>
      <c r="G27" s="2"/>
      <c r="H27" s="2"/>
      <c r="I27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_Data_From_file">
                <anchor moveWithCells="1" sizeWithCells="1">
                  <from>
                    <xdr:col>4</xdr:col>
                    <xdr:colOff>63500</xdr:colOff>
                    <xdr:row>12</xdr:row>
                    <xdr:rowOff>101600</xdr:rowOff>
                  </from>
                  <to>
                    <xdr:col>8</xdr:col>
                    <xdr:colOff>133350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0651-06CE-4310-9FC9-38AB5D9868B2}">
  <sheetPr codeName="Sheet9">
    <tabColor rgb="FF92D050"/>
  </sheetPr>
  <dimension ref="A1:Y9"/>
  <sheetViews>
    <sheetView workbookViewId="0">
      <selection activeCell="A3" sqref="A3:Y9"/>
    </sheetView>
  </sheetViews>
  <sheetFormatPr defaultRowHeight="14.5" x14ac:dyDescent="0.35"/>
  <cols>
    <col min="1" max="1" width="14.90625" bestFit="1" customWidth="1"/>
    <col min="2" max="2" width="34.453125" bestFit="1" customWidth="1"/>
    <col min="3" max="3" width="10.54296875" bestFit="1" customWidth="1"/>
    <col min="4" max="4" width="11.90625" bestFit="1" customWidth="1"/>
    <col min="5" max="5" width="21.90625" bestFit="1" customWidth="1"/>
    <col min="6" max="6" width="11.6328125" bestFit="1" customWidth="1"/>
    <col min="7" max="7" width="8.6328125" bestFit="1" customWidth="1"/>
    <col min="8" max="8" width="23.90625" bestFit="1" customWidth="1"/>
    <col min="9" max="9" width="20.36328125" bestFit="1" customWidth="1"/>
    <col min="10" max="10" width="16" bestFit="1" customWidth="1"/>
    <col min="11" max="11" width="19.36328125" bestFit="1" customWidth="1"/>
    <col min="12" max="13" width="19.54296875" bestFit="1" customWidth="1"/>
    <col min="14" max="15" width="33.81640625" bestFit="1" customWidth="1"/>
    <col min="16" max="16" width="21.1796875" bestFit="1" customWidth="1"/>
    <col min="17" max="17" width="60.7265625" bestFit="1" customWidth="1"/>
    <col min="18" max="18" width="33.81640625" bestFit="1" customWidth="1"/>
    <col min="19" max="19" width="29.26953125" bestFit="1" customWidth="1"/>
    <col min="20" max="20" width="24.26953125" bestFit="1" customWidth="1"/>
    <col min="21" max="21" width="19.6328125" bestFit="1" customWidth="1"/>
    <col min="22" max="22" width="9.1796875" bestFit="1" customWidth="1"/>
    <col min="23" max="23" width="11.6328125" bestFit="1" customWidth="1"/>
    <col min="24" max="24" width="47.90625" bestFit="1" customWidth="1"/>
    <col min="25" max="25" width="13.54296875" bestFit="1" customWidth="1"/>
  </cols>
  <sheetData>
    <row r="1" spans="1:25" x14ac:dyDescent="0.35">
      <c r="A1" s="18" t="s">
        <v>5595</v>
      </c>
      <c r="B1" s="18" t="s">
        <v>5596</v>
      </c>
      <c r="C1" s="18" t="s">
        <v>5597</v>
      </c>
      <c r="D1" s="18" t="s">
        <v>2003</v>
      </c>
      <c r="E1" s="18" t="s">
        <v>5598</v>
      </c>
      <c r="F1" s="18" t="s">
        <v>5552</v>
      </c>
      <c r="G1" s="18" t="s">
        <v>10</v>
      </c>
      <c r="H1" s="18" t="s">
        <v>2002</v>
      </c>
      <c r="I1" s="18" t="s">
        <v>5599</v>
      </c>
      <c r="J1" s="18" t="s">
        <v>5600</v>
      </c>
      <c r="K1" s="18" t="s">
        <v>5601</v>
      </c>
      <c r="L1" s="18" t="s">
        <v>5602</v>
      </c>
      <c r="M1" s="18" t="s">
        <v>5603</v>
      </c>
      <c r="N1" s="18" t="s">
        <v>5604</v>
      </c>
      <c r="O1" s="18" t="s">
        <v>5605</v>
      </c>
      <c r="P1" s="18" t="s">
        <v>5606</v>
      </c>
      <c r="Q1" s="18" t="s">
        <v>5607</v>
      </c>
      <c r="R1" s="18" t="s">
        <v>5608</v>
      </c>
      <c r="S1" s="18" t="s">
        <v>5609</v>
      </c>
      <c r="T1" s="18" t="s">
        <v>5610</v>
      </c>
      <c r="U1" s="18" t="s">
        <v>5611</v>
      </c>
      <c r="V1" s="19" t="s">
        <v>5612</v>
      </c>
      <c r="W1" s="19" t="s">
        <v>5613</v>
      </c>
      <c r="X1" s="19" t="s">
        <v>12</v>
      </c>
      <c r="Y1" s="19" t="s">
        <v>5614</v>
      </c>
    </row>
    <row r="2" spans="1:25" x14ac:dyDescent="0.35">
      <c r="A2" s="20"/>
      <c r="B2" s="20" t="s">
        <v>5615</v>
      </c>
      <c r="C2" s="20"/>
      <c r="D2" s="20" t="s">
        <v>9</v>
      </c>
      <c r="E2" s="20" t="s">
        <v>5616</v>
      </c>
      <c r="F2" s="20" t="s">
        <v>5552</v>
      </c>
      <c r="G2" s="20"/>
      <c r="H2" s="20"/>
      <c r="I2" s="20" t="s">
        <v>5617</v>
      </c>
      <c r="J2" s="20" t="s">
        <v>5618</v>
      </c>
      <c r="K2" s="21" t="s">
        <v>11</v>
      </c>
      <c r="L2" s="20"/>
      <c r="M2" s="20" t="s">
        <v>5603</v>
      </c>
      <c r="N2" s="20" t="s">
        <v>5619</v>
      </c>
      <c r="O2" s="20" t="s">
        <v>5620</v>
      </c>
      <c r="P2" s="20" t="s">
        <v>5621</v>
      </c>
      <c r="Q2" s="20" t="s">
        <v>5622</v>
      </c>
      <c r="R2" s="20" t="s">
        <v>5608</v>
      </c>
      <c r="S2" s="20" t="s">
        <v>5623</v>
      </c>
      <c r="T2" s="20"/>
      <c r="U2" s="20" t="s">
        <v>5624</v>
      </c>
      <c r="V2" s="20"/>
      <c r="W2" s="20"/>
      <c r="X2" s="20"/>
      <c r="Y2" s="20"/>
    </row>
    <row r="3" spans="1:25" x14ac:dyDescent="0.35">
      <c r="A3" t="s">
        <v>1992</v>
      </c>
      <c r="B3" t="s">
        <v>2018</v>
      </c>
      <c r="C3" t="s">
        <v>2</v>
      </c>
      <c r="D3" t="s">
        <v>13</v>
      </c>
      <c r="E3" t="s">
        <v>5652</v>
      </c>
      <c r="F3" t="s">
        <v>1963</v>
      </c>
      <c r="G3" t="s">
        <v>1</v>
      </c>
      <c r="H3" t="s">
        <v>2021</v>
      </c>
      <c r="I3" t="s">
        <v>5668</v>
      </c>
      <c r="J3" t="s">
        <v>1609</v>
      </c>
      <c r="K3" t="s">
        <v>1995</v>
      </c>
      <c r="L3" t="s">
        <v>2024</v>
      </c>
      <c r="M3" t="s">
        <v>5737</v>
      </c>
      <c r="N3" t="s">
        <v>2027</v>
      </c>
      <c r="O3" t="s">
        <v>2027</v>
      </c>
      <c r="P3" t="s">
        <v>5669</v>
      </c>
      <c r="Q3" t="s">
        <v>5735</v>
      </c>
      <c r="R3" t="s">
        <v>2027</v>
      </c>
      <c r="S3" t="s">
        <v>5738</v>
      </c>
      <c r="T3" t="s">
        <v>1381</v>
      </c>
      <c r="U3" t="s">
        <v>14</v>
      </c>
      <c r="V3" t="s">
        <v>17</v>
      </c>
      <c r="W3" t="s">
        <v>15</v>
      </c>
      <c r="X3" t="s">
        <v>2031</v>
      </c>
    </row>
    <row r="4" spans="1:25" x14ac:dyDescent="0.35">
      <c r="A4" t="s">
        <v>1856</v>
      </c>
      <c r="B4" t="s">
        <v>2033</v>
      </c>
      <c r="C4" t="s">
        <v>2</v>
      </c>
      <c r="D4" t="s">
        <v>13</v>
      </c>
      <c r="E4" t="s">
        <v>5665</v>
      </c>
      <c r="F4" t="s">
        <v>1963</v>
      </c>
      <c r="G4" t="s">
        <v>1</v>
      </c>
      <c r="H4" t="s">
        <v>2021</v>
      </c>
      <c r="I4" t="s">
        <v>5668</v>
      </c>
      <c r="J4" t="s">
        <v>1609</v>
      </c>
      <c r="K4" t="s">
        <v>1995</v>
      </c>
      <c r="L4" t="s">
        <v>2034</v>
      </c>
      <c r="M4" t="s">
        <v>5737</v>
      </c>
      <c r="N4" t="s">
        <v>2027</v>
      </c>
      <c r="O4" t="s">
        <v>2027</v>
      </c>
      <c r="P4" t="s">
        <v>5669</v>
      </c>
      <c r="Q4" t="s">
        <v>5736</v>
      </c>
      <c r="R4" t="s">
        <v>2027</v>
      </c>
      <c r="S4" t="s">
        <v>5738</v>
      </c>
      <c r="T4" t="s">
        <v>1381</v>
      </c>
      <c r="U4" t="s">
        <v>14</v>
      </c>
      <c r="V4" t="s">
        <v>4</v>
      </c>
      <c r="W4" t="s">
        <v>15</v>
      </c>
      <c r="X4" t="s">
        <v>1857</v>
      </c>
    </row>
    <row r="5" spans="1:25" x14ac:dyDescent="0.35">
      <c r="A5" t="s">
        <v>1858</v>
      </c>
      <c r="B5" t="s">
        <v>2035</v>
      </c>
      <c r="C5" t="s">
        <v>2</v>
      </c>
      <c r="D5" t="s">
        <v>13</v>
      </c>
      <c r="E5" t="s">
        <v>5665</v>
      </c>
      <c r="F5" t="s">
        <v>1963</v>
      </c>
      <c r="G5" t="s">
        <v>1</v>
      </c>
      <c r="H5" t="s">
        <v>2021</v>
      </c>
      <c r="I5" t="s">
        <v>5668</v>
      </c>
      <c r="J5" t="s">
        <v>1609</v>
      </c>
      <c r="K5" t="s">
        <v>1995</v>
      </c>
      <c r="L5" t="s">
        <v>2036</v>
      </c>
      <c r="M5" t="s">
        <v>5737</v>
      </c>
      <c r="N5" t="s">
        <v>2027</v>
      </c>
      <c r="O5" t="s">
        <v>2027</v>
      </c>
      <c r="P5" t="s">
        <v>5669</v>
      </c>
      <c r="Q5" t="s">
        <v>5736</v>
      </c>
      <c r="R5" t="s">
        <v>2027</v>
      </c>
      <c r="S5" t="s">
        <v>5738</v>
      </c>
      <c r="T5" t="s">
        <v>1381</v>
      </c>
      <c r="U5" t="s">
        <v>14</v>
      </c>
      <c r="V5" t="s">
        <v>4</v>
      </c>
      <c r="W5" t="s">
        <v>15</v>
      </c>
      <c r="X5" t="s">
        <v>1859</v>
      </c>
    </row>
    <row r="6" spans="1:25" x14ac:dyDescent="0.35">
      <c r="A6" t="s">
        <v>1860</v>
      </c>
      <c r="B6" t="s">
        <v>2037</v>
      </c>
      <c r="C6" t="s">
        <v>2</v>
      </c>
      <c r="D6" t="s">
        <v>13</v>
      </c>
      <c r="E6" t="s">
        <v>5649</v>
      </c>
      <c r="F6" t="s">
        <v>1963</v>
      </c>
      <c r="G6" t="s">
        <v>1</v>
      </c>
      <c r="H6" t="s">
        <v>2021</v>
      </c>
      <c r="I6" t="s">
        <v>5668</v>
      </c>
      <c r="J6" t="s">
        <v>1609</v>
      </c>
      <c r="K6" t="s">
        <v>1995</v>
      </c>
      <c r="L6" t="s">
        <v>2039</v>
      </c>
      <c r="M6" t="s">
        <v>5737</v>
      </c>
      <c r="N6" t="s">
        <v>2027</v>
      </c>
      <c r="O6" t="s">
        <v>2027</v>
      </c>
      <c r="P6" t="s">
        <v>5669</v>
      </c>
      <c r="Q6" t="s">
        <v>5735</v>
      </c>
      <c r="R6" t="s">
        <v>2027</v>
      </c>
      <c r="S6" t="s">
        <v>5738</v>
      </c>
      <c r="T6" t="s">
        <v>1381</v>
      </c>
      <c r="U6" t="s">
        <v>14</v>
      </c>
      <c r="V6" t="s">
        <v>17</v>
      </c>
      <c r="W6" t="s">
        <v>15</v>
      </c>
      <c r="X6" t="s">
        <v>2040</v>
      </c>
    </row>
    <row r="7" spans="1:25" x14ac:dyDescent="0.35">
      <c r="A7" t="s">
        <v>1861</v>
      </c>
      <c r="B7" t="s">
        <v>2041</v>
      </c>
      <c r="C7" t="s">
        <v>2</v>
      </c>
      <c r="D7" t="s">
        <v>13</v>
      </c>
      <c r="E7" t="s">
        <v>5649</v>
      </c>
      <c r="F7" t="s">
        <v>1963</v>
      </c>
      <c r="G7" t="s">
        <v>1</v>
      </c>
      <c r="H7" t="s">
        <v>2021</v>
      </c>
      <c r="I7" t="s">
        <v>5668</v>
      </c>
      <c r="J7" t="s">
        <v>1609</v>
      </c>
      <c r="K7" t="s">
        <v>1995</v>
      </c>
      <c r="L7" t="s">
        <v>2042</v>
      </c>
      <c r="M7" t="s">
        <v>5737</v>
      </c>
      <c r="N7" t="s">
        <v>2027</v>
      </c>
      <c r="O7" t="s">
        <v>2027</v>
      </c>
      <c r="P7" t="s">
        <v>5669</v>
      </c>
      <c r="Q7" t="s">
        <v>5735</v>
      </c>
      <c r="R7" t="s">
        <v>2027</v>
      </c>
      <c r="S7" t="s">
        <v>5738</v>
      </c>
      <c r="T7" t="s">
        <v>1381</v>
      </c>
      <c r="U7" t="s">
        <v>14</v>
      </c>
      <c r="V7" t="s">
        <v>17</v>
      </c>
      <c r="W7" t="s">
        <v>15</v>
      </c>
      <c r="X7" t="s">
        <v>2043</v>
      </c>
    </row>
    <row r="8" spans="1:25" x14ac:dyDescent="0.35">
      <c r="A8" t="s">
        <v>1500</v>
      </c>
      <c r="B8" t="s">
        <v>2044</v>
      </c>
      <c r="C8" t="s">
        <v>2</v>
      </c>
      <c r="D8" t="s">
        <v>19</v>
      </c>
      <c r="E8" t="s">
        <v>5649</v>
      </c>
      <c r="F8" t="s">
        <v>1963</v>
      </c>
      <c r="G8" t="s">
        <v>1</v>
      </c>
      <c r="H8" t="s">
        <v>2021</v>
      </c>
      <c r="I8" t="s">
        <v>5668</v>
      </c>
      <c r="J8" t="s">
        <v>1609</v>
      </c>
      <c r="K8" t="s">
        <v>1768</v>
      </c>
      <c r="L8" t="s">
        <v>2045</v>
      </c>
      <c r="M8" t="s">
        <v>2046</v>
      </c>
      <c r="N8" t="s">
        <v>2048</v>
      </c>
      <c r="O8" t="s">
        <v>2048</v>
      </c>
      <c r="P8" t="s">
        <v>5669</v>
      </c>
      <c r="Q8" t="s">
        <v>5735</v>
      </c>
      <c r="R8" t="s">
        <v>2048</v>
      </c>
      <c r="S8" t="s">
        <v>5738</v>
      </c>
      <c r="T8" t="s">
        <v>1381</v>
      </c>
      <c r="U8" t="s">
        <v>14</v>
      </c>
      <c r="V8" t="s">
        <v>17</v>
      </c>
      <c r="W8" t="s">
        <v>15</v>
      </c>
      <c r="X8" t="s">
        <v>1501</v>
      </c>
    </row>
    <row r="9" spans="1:25" x14ac:dyDescent="0.35">
      <c r="A9" t="s">
        <v>1503</v>
      </c>
      <c r="B9" t="s">
        <v>2054</v>
      </c>
      <c r="C9" t="s">
        <v>2</v>
      </c>
      <c r="D9" t="s">
        <v>19</v>
      </c>
      <c r="E9" t="s">
        <v>5649</v>
      </c>
      <c r="F9" t="s">
        <v>1963</v>
      </c>
      <c r="G9" t="s">
        <v>1</v>
      </c>
      <c r="H9" t="s">
        <v>2055</v>
      </c>
      <c r="I9" t="s">
        <v>5668</v>
      </c>
      <c r="J9" t="s">
        <v>1609</v>
      </c>
      <c r="K9" t="s">
        <v>1426</v>
      </c>
      <c r="L9" t="s">
        <v>2057</v>
      </c>
      <c r="M9" t="s">
        <v>5737</v>
      </c>
      <c r="N9" t="s">
        <v>2059</v>
      </c>
      <c r="O9" t="s">
        <v>2059</v>
      </c>
      <c r="P9" t="s">
        <v>5669</v>
      </c>
      <c r="Q9" t="s">
        <v>5735</v>
      </c>
      <c r="R9" t="s">
        <v>2059</v>
      </c>
      <c r="S9" t="s">
        <v>5738</v>
      </c>
      <c r="T9" t="s">
        <v>1381</v>
      </c>
      <c r="U9" t="s">
        <v>14</v>
      </c>
      <c r="V9" t="s">
        <v>17</v>
      </c>
      <c r="W9" t="s">
        <v>15</v>
      </c>
      <c r="X9" t="s">
        <v>1504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4932-9715-4E68-A315-0E4F1A6BCD53}">
  <sheetPr codeName="Sheet3"/>
  <dimension ref="A1:Z1986"/>
  <sheetViews>
    <sheetView workbookViewId="0">
      <selection sqref="A1:Z1986"/>
    </sheetView>
  </sheetViews>
  <sheetFormatPr defaultRowHeight="14.5" x14ac:dyDescent="0.35"/>
  <sheetData>
    <row r="1" spans="1:26" x14ac:dyDescent="0.35">
      <c r="A1" t="s">
        <v>1996</v>
      </c>
      <c r="B1" t="s">
        <v>1997</v>
      </c>
      <c r="C1" t="s">
        <v>1998</v>
      </c>
      <c r="D1" t="s">
        <v>1999</v>
      </c>
      <c r="E1" t="s">
        <v>2000</v>
      </c>
      <c r="F1" t="s">
        <v>2001</v>
      </c>
      <c r="G1" t="s">
        <v>2002</v>
      </c>
      <c r="H1" t="s">
        <v>2003</v>
      </c>
      <c r="I1" t="s">
        <v>1996</v>
      </c>
      <c r="J1" t="s">
        <v>2004</v>
      </c>
      <c r="K1" t="s">
        <v>2005</v>
      </c>
      <c r="L1" t="s">
        <v>2006</v>
      </c>
      <c r="M1" t="s">
        <v>2007</v>
      </c>
      <c r="N1" t="s">
        <v>2008</v>
      </c>
      <c r="O1" t="s">
        <v>2009</v>
      </c>
      <c r="P1" t="s">
        <v>2008</v>
      </c>
      <c r="Q1" t="s">
        <v>2010</v>
      </c>
      <c r="R1" t="s">
        <v>2011</v>
      </c>
      <c r="S1" t="s">
        <v>2012</v>
      </c>
      <c r="T1" t="s">
        <v>2008</v>
      </c>
      <c r="U1" t="s">
        <v>2013</v>
      </c>
      <c r="V1" t="s">
        <v>2014</v>
      </c>
      <c r="W1" t="s">
        <v>0</v>
      </c>
      <c r="X1" t="s">
        <v>2015</v>
      </c>
      <c r="Y1" t="s">
        <v>2016</v>
      </c>
      <c r="Z1" t="s">
        <v>2017</v>
      </c>
    </row>
    <row r="2" spans="1:26" x14ac:dyDescent="0.35">
      <c r="A2" t="s">
        <v>1992</v>
      </c>
      <c r="B2" t="s">
        <v>2018</v>
      </c>
      <c r="C2" t="s">
        <v>2019</v>
      </c>
      <c r="D2" t="s">
        <v>1963</v>
      </c>
      <c r="E2" t="s">
        <v>2020</v>
      </c>
      <c r="F2" t="s">
        <v>2021</v>
      </c>
      <c r="G2" t="s">
        <v>2022</v>
      </c>
      <c r="H2" t="s">
        <v>2023</v>
      </c>
      <c r="I2" t="s">
        <v>1995</v>
      </c>
      <c r="J2" t="s">
        <v>1963</v>
      </c>
      <c r="K2" t="s">
        <v>2024</v>
      </c>
      <c r="L2" t="s">
        <v>2025</v>
      </c>
      <c r="M2" t="s">
        <v>2026</v>
      </c>
      <c r="N2" t="s">
        <v>2027</v>
      </c>
      <c r="O2" t="s">
        <v>2028</v>
      </c>
      <c r="P2" t="s">
        <v>2029</v>
      </c>
      <c r="Q2" t="s">
        <v>14</v>
      </c>
      <c r="R2" t="s">
        <v>14</v>
      </c>
      <c r="S2" t="s">
        <v>14</v>
      </c>
      <c r="T2" t="s">
        <v>14</v>
      </c>
      <c r="U2" t="s">
        <v>2030</v>
      </c>
      <c r="V2" t="s">
        <v>14</v>
      </c>
      <c r="W2" t="b">
        <v>1</v>
      </c>
      <c r="X2" t="s">
        <v>2031</v>
      </c>
      <c r="Y2" t="b">
        <v>0</v>
      </c>
      <c r="Z2" t="s">
        <v>2032</v>
      </c>
    </row>
    <row r="3" spans="1:26" x14ac:dyDescent="0.35">
      <c r="A3" t="s">
        <v>1856</v>
      </c>
      <c r="B3" t="s">
        <v>2033</v>
      </c>
      <c r="C3" t="s">
        <v>24</v>
      </c>
      <c r="D3" t="s">
        <v>1963</v>
      </c>
      <c r="E3" t="s">
        <v>2020</v>
      </c>
      <c r="F3" t="s">
        <v>2021</v>
      </c>
      <c r="G3" t="s">
        <v>2022</v>
      </c>
      <c r="H3" t="s">
        <v>2023</v>
      </c>
      <c r="I3" t="s">
        <v>1995</v>
      </c>
      <c r="J3" t="s">
        <v>1963</v>
      </c>
      <c r="K3" t="s">
        <v>2034</v>
      </c>
      <c r="L3" t="s">
        <v>14</v>
      </c>
      <c r="M3" t="s">
        <v>2026</v>
      </c>
      <c r="N3" t="s">
        <v>2027</v>
      </c>
      <c r="O3" t="s">
        <v>2028</v>
      </c>
      <c r="P3" t="s">
        <v>2029</v>
      </c>
      <c r="Q3" t="s">
        <v>14</v>
      </c>
      <c r="R3" t="s">
        <v>14</v>
      </c>
      <c r="S3" t="s">
        <v>14</v>
      </c>
      <c r="T3" t="s">
        <v>14</v>
      </c>
      <c r="U3" t="s">
        <v>2030</v>
      </c>
      <c r="V3" t="s">
        <v>14</v>
      </c>
      <c r="W3" t="b">
        <v>0</v>
      </c>
      <c r="X3" t="s">
        <v>1857</v>
      </c>
      <c r="Y3" t="b">
        <v>0</v>
      </c>
      <c r="Z3" t="s">
        <v>2032</v>
      </c>
    </row>
    <row r="4" spans="1:26" x14ac:dyDescent="0.35">
      <c r="A4" t="s">
        <v>1858</v>
      </c>
      <c r="B4" t="s">
        <v>2035</v>
      </c>
      <c r="C4" t="s">
        <v>24</v>
      </c>
      <c r="D4" t="s">
        <v>1963</v>
      </c>
      <c r="E4" t="s">
        <v>2020</v>
      </c>
      <c r="F4" t="s">
        <v>2021</v>
      </c>
      <c r="G4" t="s">
        <v>2022</v>
      </c>
      <c r="H4" t="s">
        <v>2023</v>
      </c>
      <c r="I4" t="s">
        <v>1995</v>
      </c>
      <c r="J4" t="s">
        <v>1963</v>
      </c>
      <c r="K4" t="s">
        <v>2036</v>
      </c>
      <c r="L4" t="s">
        <v>14</v>
      </c>
      <c r="M4" t="s">
        <v>2026</v>
      </c>
      <c r="N4" t="s">
        <v>2027</v>
      </c>
      <c r="O4" t="s">
        <v>2028</v>
      </c>
      <c r="P4" t="s">
        <v>2029</v>
      </c>
      <c r="Q4" t="s">
        <v>14</v>
      </c>
      <c r="R4" t="s">
        <v>14</v>
      </c>
      <c r="S4" t="s">
        <v>14</v>
      </c>
      <c r="T4" t="s">
        <v>14</v>
      </c>
      <c r="U4" t="s">
        <v>2030</v>
      </c>
      <c r="V4" t="s">
        <v>14</v>
      </c>
      <c r="W4" t="b">
        <v>0</v>
      </c>
      <c r="X4" t="s">
        <v>1859</v>
      </c>
      <c r="Y4" t="b">
        <v>0</v>
      </c>
      <c r="Z4" t="s">
        <v>2032</v>
      </c>
    </row>
    <row r="5" spans="1:26" x14ac:dyDescent="0.35">
      <c r="A5" t="s">
        <v>1860</v>
      </c>
      <c r="B5" t="s">
        <v>2037</v>
      </c>
      <c r="C5" t="s">
        <v>2038</v>
      </c>
      <c r="D5" t="s">
        <v>1963</v>
      </c>
      <c r="E5" t="s">
        <v>2020</v>
      </c>
      <c r="F5" t="s">
        <v>2021</v>
      </c>
      <c r="G5" t="s">
        <v>2022</v>
      </c>
      <c r="H5" t="s">
        <v>2023</v>
      </c>
      <c r="I5" t="s">
        <v>1995</v>
      </c>
      <c r="J5" t="s">
        <v>1963</v>
      </c>
      <c r="K5" t="s">
        <v>2039</v>
      </c>
      <c r="L5" t="s">
        <v>2025</v>
      </c>
      <c r="M5" t="s">
        <v>2026</v>
      </c>
      <c r="N5" t="s">
        <v>2027</v>
      </c>
      <c r="O5" t="s">
        <v>2028</v>
      </c>
      <c r="P5" t="s">
        <v>2029</v>
      </c>
      <c r="Q5" t="s">
        <v>14</v>
      </c>
      <c r="R5" t="s">
        <v>14</v>
      </c>
      <c r="S5" t="s">
        <v>14</v>
      </c>
      <c r="T5" t="s">
        <v>14</v>
      </c>
      <c r="U5" t="s">
        <v>2030</v>
      </c>
      <c r="V5" t="s">
        <v>14</v>
      </c>
      <c r="W5" t="b">
        <v>1</v>
      </c>
      <c r="X5" t="s">
        <v>2040</v>
      </c>
      <c r="Y5" t="b">
        <v>0</v>
      </c>
      <c r="Z5" t="s">
        <v>2032</v>
      </c>
    </row>
    <row r="6" spans="1:26" x14ac:dyDescent="0.35">
      <c r="A6" t="s">
        <v>1861</v>
      </c>
      <c r="B6" t="s">
        <v>2041</v>
      </c>
      <c r="C6" t="s">
        <v>2038</v>
      </c>
      <c r="D6" t="s">
        <v>1963</v>
      </c>
      <c r="E6" t="s">
        <v>2020</v>
      </c>
      <c r="F6" t="s">
        <v>2021</v>
      </c>
      <c r="G6" t="s">
        <v>2022</v>
      </c>
      <c r="H6" t="s">
        <v>2023</v>
      </c>
      <c r="I6" t="s">
        <v>1995</v>
      </c>
      <c r="J6" t="s">
        <v>1963</v>
      </c>
      <c r="K6" t="s">
        <v>2042</v>
      </c>
      <c r="L6" t="s">
        <v>2025</v>
      </c>
      <c r="M6" t="s">
        <v>2026</v>
      </c>
      <c r="N6" t="s">
        <v>2027</v>
      </c>
      <c r="O6" t="s">
        <v>2028</v>
      </c>
      <c r="P6" t="s">
        <v>2029</v>
      </c>
      <c r="Q6" t="s">
        <v>14</v>
      </c>
      <c r="R6" t="s">
        <v>14</v>
      </c>
      <c r="S6" t="s">
        <v>14</v>
      </c>
      <c r="T6" t="s">
        <v>14</v>
      </c>
      <c r="U6" t="s">
        <v>2030</v>
      </c>
      <c r="V6" t="s">
        <v>14</v>
      </c>
      <c r="W6" t="b">
        <v>1</v>
      </c>
      <c r="X6" t="s">
        <v>2043</v>
      </c>
      <c r="Y6" t="b">
        <v>0</v>
      </c>
      <c r="Z6" t="s">
        <v>2032</v>
      </c>
    </row>
    <row r="7" spans="1:26" x14ac:dyDescent="0.35">
      <c r="A7" t="s">
        <v>1500</v>
      </c>
      <c r="B7" t="s">
        <v>2044</v>
      </c>
      <c r="C7" t="s">
        <v>2038</v>
      </c>
      <c r="D7" t="s">
        <v>1963</v>
      </c>
      <c r="E7" t="s">
        <v>2020</v>
      </c>
      <c r="F7" t="s">
        <v>2021</v>
      </c>
      <c r="G7" t="s">
        <v>2022</v>
      </c>
      <c r="H7" t="s">
        <v>2023</v>
      </c>
      <c r="I7" t="s">
        <v>1768</v>
      </c>
      <c r="J7" t="s">
        <v>1963</v>
      </c>
      <c r="K7" t="s">
        <v>2045</v>
      </c>
      <c r="L7" t="s">
        <v>2046</v>
      </c>
      <c r="M7" t="s">
        <v>2047</v>
      </c>
      <c r="N7" t="s">
        <v>2048</v>
      </c>
      <c r="O7" t="s">
        <v>2047</v>
      </c>
      <c r="P7" t="s">
        <v>2048</v>
      </c>
      <c r="Q7" t="s">
        <v>2049</v>
      </c>
      <c r="R7" t="s">
        <v>14</v>
      </c>
      <c r="S7" t="s">
        <v>2050</v>
      </c>
      <c r="T7" t="s">
        <v>2051</v>
      </c>
      <c r="U7" t="s">
        <v>2052</v>
      </c>
      <c r="V7" t="s">
        <v>14</v>
      </c>
      <c r="W7" t="b">
        <v>1</v>
      </c>
      <c r="X7" t="s">
        <v>1501</v>
      </c>
      <c r="Y7" t="b">
        <v>0</v>
      </c>
      <c r="Z7" t="s">
        <v>2053</v>
      </c>
    </row>
    <row r="8" spans="1:26" x14ac:dyDescent="0.35">
      <c r="A8" t="s">
        <v>1503</v>
      </c>
      <c r="B8" t="s">
        <v>2054</v>
      </c>
      <c r="C8" t="s">
        <v>2038</v>
      </c>
      <c r="D8" t="s">
        <v>1963</v>
      </c>
      <c r="E8" t="s">
        <v>2020</v>
      </c>
      <c r="F8" t="s">
        <v>2055</v>
      </c>
      <c r="G8" t="s">
        <v>2056</v>
      </c>
      <c r="H8" t="s">
        <v>2023</v>
      </c>
      <c r="I8" t="s">
        <v>1426</v>
      </c>
      <c r="J8" t="s">
        <v>1963</v>
      </c>
      <c r="K8" t="s">
        <v>2057</v>
      </c>
      <c r="L8" t="s">
        <v>2025</v>
      </c>
      <c r="M8" t="s">
        <v>2058</v>
      </c>
      <c r="N8" t="s">
        <v>2059</v>
      </c>
      <c r="O8" t="s">
        <v>2060</v>
      </c>
      <c r="P8" t="s">
        <v>2061</v>
      </c>
      <c r="Q8" t="s">
        <v>2062</v>
      </c>
      <c r="R8" t="s">
        <v>14</v>
      </c>
      <c r="S8" t="s">
        <v>2063</v>
      </c>
      <c r="T8" t="s">
        <v>2064</v>
      </c>
      <c r="U8" t="s">
        <v>2052</v>
      </c>
      <c r="V8" t="s">
        <v>14</v>
      </c>
      <c r="W8" t="b">
        <v>1</v>
      </c>
      <c r="X8" t="s">
        <v>1504</v>
      </c>
      <c r="Y8" t="b">
        <v>0</v>
      </c>
      <c r="Z8" t="s">
        <v>2053</v>
      </c>
    </row>
    <row r="9" spans="1:26" x14ac:dyDescent="0.35">
      <c r="A9" t="s">
        <v>1503</v>
      </c>
      <c r="B9" t="s">
        <v>2054</v>
      </c>
      <c r="C9" t="s">
        <v>2038</v>
      </c>
      <c r="D9" t="s">
        <v>1963</v>
      </c>
      <c r="E9" t="s">
        <v>2020</v>
      </c>
      <c r="F9" t="s">
        <v>2055</v>
      </c>
      <c r="G9" t="s">
        <v>2056</v>
      </c>
      <c r="H9" t="s">
        <v>2023</v>
      </c>
      <c r="I9" t="s">
        <v>1426</v>
      </c>
      <c r="J9" t="s">
        <v>1963</v>
      </c>
      <c r="K9" t="s">
        <v>2057</v>
      </c>
      <c r="L9" t="s">
        <v>2025</v>
      </c>
      <c r="M9" t="s">
        <v>2058</v>
      </c>
      <c r="N9" t="s">
        <v>2059</v>
      </c>
      <c r="O9" t="s">
        <v>2060</v>
      </c>
      <c r="P9" t="s">
        <v>2061</v>
      </c>
      <c r="Q9" t="s">
        <v>2062</v>
      </c>
      <c r="R9" t="s">
        <v>14</v>
      </c>
      <c r="S9" t="s">
        <v>2063</v>
      </c>
      <c r="T9" t="s">
        <v>2064</v>
      </c>
      <c r="U9" t="s">
        <v>2052</v>
      </c>
      <c r="V9" t="s">
        <v>14</v>
      </c>
      <c r="W9" t="b">
        <v>1</v>
      </c>
      <c r="X9" t="s">
        <v>1504</v>
      </c>
      <c r="Y9" t="b">
        <v>0</v>
      </c>
      <c r="Z9" t="s">
        <v>2053</v>
      </c>
    </row>
    <row r="10" spans="1:26" x14ac:dyDescent="0.35">
      <c r="A10" t="s">
        <v>1505</v>
      </c>
      <c r="B10" t="s">
        <v>2065</v>
      </c>
      <c r="C10" t="s">
        <v>2038</v>
      </c>
      <c r="D10" t="s">
        <v>1963</v>
      </c>
      <c r="E10" t="s">
        <v>2020</v>
      </c>
      <c r="F10" t="s">
        <v>2021</v>
      </c>
      <c r="G10" t="s">
        <v>2022</v>
      </c>
      <c r="H10" t="s">
        <v>2023</v>
      </c>
      <c r="I10" t="s">
        <v>1806</v>
      </c>
      <c r="J10" t="s">
        <v>1963</v>
      </c>
      <c r="K10" t="s">
        <v>2066</v>
      </c>
      <c r="L10" t="s">
        <v>2025</v>
      </c>
      <c r="M10" t="s">
        <v>2067</v>
      </c>
      <c r="N10" t="s">
        <v>2068</v>
      </c>
      <c r="O10" t="s">
        <v>2047</v>
      </c>
      <c r="P10" t="s">
        <v>2048</v>
      </c>
      <c r="Q10" t="s">
        <v>14</v>
      </c>
      <c r="R10" t="s">
        <v>14</v>
      </c>
      <c r="S10" t="s">
        <v>2069</v>
      </c>
      <c r="T10" t="s">
        <v>2070</v>
      </c>
      <c r="U10" t="s">
        <v>2052</v>
      </c>
      <c r="V10" t="s">
        <v>14</v>
      </c>
      <c r="W10" t="b">
        <v>1</v>
      </c>
      <c r="X10" t="s">
        <v>1506</v>
      </c>
      <c r="Y10" t="b">
        <v>0</v>
      </c>
      <c r="Z10" t="s">
        <v>2053</v>
      </c>
    </row>
    <row r="11" spans="1:26" x14ac:dyDescent="0.35">
      <c r="A11" t="s">
        <v>1508</v>
      </c>
      <c r="B11" t="s">
        <v>2071</v>
      </c>
      <c r="C11" t="s">
        <v>2038</v>
      </c>
      <c r="D11" t="s">
        <v>1963</v>
      </c>
      <c r="E11" t="s">
        <v>2020</v>
      </c>
      <c r="F11" t="s">
        <v>2021</v>
      </c>
      <c r="G11" t="s">
        <v>2022</v>
      </c>
      <c r="H11" t="s">
        <v>2023</v>
      </c>
      <c r="I11" t="s">
        <v>25</v>
      </c>
      <c r="J11" t="s">
        <v>1963</v>
      </c>
      <c r="K11" t="s">
        <v>2072</v>
      </c>
      <c r="L11" t="s">
        <v>2025</v>
      </c>
      <c r="M11" t="s">
        <v>2073</v>
      </c>
      <c r="N11" t="s">
        <v>2074</v>
      </c>
      <c r="O11" t="s">
        <v>2075</v>
      </c>
      <c r="P11" t="s">
        <v>2076</v>
      </c>
      <c r="Q11" t="s">
        <v>2077</v>
      </c>
      <c r="R11" t="s">
        <v>14</v>
      </c>
      <c r="S11" t="s">
        <v>2078</v>
      </c>
      <c r="T11" t="s">
        <v>2079</v>
      </c>
      <c r="U11" t="s">
        <v>2080</v>
      </c>
      <c r="V11" t="s">
        <v>14</v>
      </c>
      <c r="W11" t="b">
        <v>1</v>
      </c>
      <c r="X11" t="s">
        <v>1509</v>
      </c>
      <c r="Y11" t="b">
        <v>0</v>
      </c>
      <c r="Z11" t="s">
        <v>2081</v>
      </c>
    </row>
    <row r="12" spans="1:26" x14ac:dyDescent="0.35">
      <c r="A12" t="s">
        <v>1508</v>
      </c>
      <c r="B12" t="s">
        <v>2071</v>
      </c>
      <c r="C12" t="s">
        <v>2038</v>
      </c>
      <c r="D12" t="s">
        <v>1963</v>
      </c>
      <c r="E12" t="s">
        <v>2020</v>
      </c>
      <c r="F12" t="s">
        <v>2021</v>
      </c>
      <c r="G12" t="s">
        <v>2022</v>
      </c>
      <c r="H12" t="s">
        <v>2023</v>
      </c>
      <c r="I12" t="s">
        <v>2082</v>
      </c>
      <c r="J12" t="s">
        <v>1963</v>
      </c>
      <c r="K12" t="s">
        <v>2072</v>
      </c>
      <c r="L12" t="s">
        <v>2025</v>
      </c>
      <c r="M12" t="s">
        <v>2047</v>
      </c>
      <c r="N12" t="s">
        <v>2048</v>
      </c>
      <c r="O12" t="s">
        <v>2047</v>
      </c>
      <c r="P12" t="s">
        <v>2048</v>
      </c>
      <c r="Q12" t="s">
        <v>14</v>
      </c>
      <c r="R12" t="s">
        <v>14</v>
      </c>
      <c r="S12" t="s">
        <v>14</v>
      </c>
      <c r="T12" t="s">
        <v>14</v>
      </c>
      <c r="U12" t="s">
        <v>2052</v>
      </c>
      <c r="V12" t="s">
        <v>14</v>
      </c>
      <c r="W12" t="b">
        <v>1</v>
      </c>
      <c r="X12" t="s">
        <v>1509</v>
      </c>
      <c r="Y12" t="b">
        <v>0</v>
      </c>
      <c r="Z12" t="s">
        <v>2081</v>
      </c>
    </row>
    <row r="13" spans="1:26" x14ac:dyDescent="0.35">
      <c r="A13" t="s">
        <v>1510</v>
      </c>
      <c r="B13" t="s">
        <v>2083</v>
      </c>
      <c r="C13" t="s">
        <v>2038</v>
      </c>
      <c r="D13" t="s">
        <v>1963</v>
      </c>
      <c r="E13" t="s">
        <v>2020</v>
      </c>
      <c r="F13" t="s">
        <v>2021</v>
      </c>
      <c r="G13" t="s">
        <v>2022</v>
      </c>
      <c r="H13" t="s">
        <v>2023</v>
      </c>
      <c r="I13" t="s">
        <v>2084</v>
      </c>
      <c r="J13" t="s">
        <v>1963</v>
      </c>
      <c r="K13" t="s">
        <v>2085</v>
      </c>
      <c r="L13" t="s">
        <v>2025</v>
      </c>
      <c r="M13" t="s">
        <v>2086</v>
      </c>
      <c r="N13" t="s">
        <v>2087</v>
      </c>
      <c r="O13" t="s">
        <v>2088</v>
      </c>
      <c r="P13" t="s">
        <v>2089</v>
      </c>
      <c r="Q13" t="s">
        <v>2077</v>
      </c>
      <c r="R13" t="s">
        <v>14</v>
      </c>
      <c r="S13" t="s">
        <v>14</v>
      </c>
      <c r="T13" t="s">
        <v>14</v>
      </c>
      <c r="U13" t="s">
        <v>2090</v>
      </c>
      <c r="V13" t="s">
        <v>14</v>
      </c>
      <c r="W13" t="b">
        <v>1</v>
      </c>
      <c r="X13" t="s">
        <v>1511</v>
      </c>
      <c r="Y13" t="b">
        <v>0</v>
      </c>
      <c r="Z13" t="s">
        <v>2081</v>
      </c>
    </row>
    <row r="14" spans="1:26" x14ac:dyDescent="0.35">
      <c r="A14" t="s">
        <v>1512</v>
      </c>
      <c r="B14" t="s">
        <v>2091</v>
      </c>
      <c r="C14" t="s">
        <v>2038</v>
      </c>
      <c r="D14" t="s">
        <v>1963</v>
      </c>
      <c r="E14" t="s">
        <v>2020</v>
      </c>
      <c r="F14" t="s">
        <v>2055</v>
      </c>
      <c r="G14" t="s">
        <v>2056</v>
      </c>
      <c r="H14" t="s">
        <v>2023</v>
      </c>
      <c r="I14" t="s">
        <v>2084</v>
      </c>
      <c r="J14" t="s">
        <v>1963</v>
      </c>
      <c r="K14" t="s">
        <v>2092</v>
      </c>
      <c r="L14" t="s">
        <v>2025</v>
      </c>
      <c r="M14" t="s">
        <v>2086</v>
      </c>
      <c r="N14" t="s">
        <v>2087</v>
      </c>
      <c r="O14" t="s">
        <v>2088</v>
      </c>
      <c r="P14" t="s">
        <v>2089</v>
      </c>
      <c r="Q14" t="s">
        <v>2077</v>
      </c>
      <c r="R14" t="s">
        <v>14</v>
      </c>
      <c r="S14" t="s">
        <v>14</v>
      </c>
      <c r="T14" t="s">
        <v>14</v>
      </c>
      <c r="U14" t="s">
        <v>2090</v>
      </c>
      <c r="V14" t="s">
        <v>14</v>
      </c>
      <c r="W14" t="b">
        <v>0</v>
      </c>
      <c r="X14" t="s">
        <v>2093</v>
      </c>
      <c r="Y14" t="b">
        <v>0</v>
      </c>
      <c r="Z14" t="s">
        <v>2081</v>
      </c>
    </row>
    <row r="15" spans="1:26" x14ac:dyDescent="0.35">
      <c r="A15" t="s">
        <v>1840</v>
      </c>
      <c r="B15" t="s">
        <v>2094</v>
      </c>
      <c r="C15" t="s">
        <v>2038</v>
      </c>
      <c r="D15" t="s">
        <v>1963</v>
      </c>
      <c r="E15" t="s">
        <v>2020</v>
      </c>
      <c r="F15" t="s">
        <v>2055</v>
      </c>
      <c r="G15" t="s">
        <v>2056</v>
      </c>
      <c r="H15" t="s">
        <v>2023</v>
      </c>
      <c r="I15" t="s">
        <v>2084</v>
      </c>
      <c r="J15" t="s">
        <v>1963</v>
      </c>
      <c r="K15" t="s">
        <v>2095</v>
      </c>
      <c r="L15" t="s">
        <v>14</v>
      </c>
      <c r="M15" t="s">
        <v>2086</v>
      </c>
      <c r="N15" t="s">
        <v>2087</v>
      </c>
      <c r="O15" t="s">
        <v>2088</v>
      </c>
      <c r="P15" t="s">
        <v>2089</v>
      </c>
      <c r="Q15" t="s">
        <v>2077</v>
      </c>
      <c r="R15" t="s">
        <v>14</v>
      </c>
      <c r="S15" t="s">
        <v>14</v>
      </c>
      <c r="T15" t="s">
        <v>14</v>
      </c>
      <c r="U15" t="s">
        <v>2090</v>
      </c>
      <c r="V15" t="s">
        <v>14</v>
      </c>
      <c r="W15" t="b">
        <v>0</v>
      </c>
      <c r="X15" t="s">
        <v>1841</v>
      </c>
      <c r="Y15" t="b">
        <v>0</v>
      </c>
      <c r="Z15" t="s">
        <v>2081</v>
      </c>
    </row>
    <row r="16" spans="1:26" x14ac:dyDescent="0.35">
      <c r="A16" t="s">
        <v>1513</v>
      </c>
      <c r="B16" t="s">
        <v>2096</v>
      </c>
      <c r="C16" t="s">
        <v>2038</v>
      </c>
      <c r="D16" t="s">
        <v>1963</v>
      </c>
      <c r="E16" t="s">
        <v>2020</v>
      </c>
      <c r="F16" t="s">
        <v>2021</v>
      </c>
      <c r="G16" t="s">
        <v>2022</v>
      </c>
      <c r="H16" t="s">
        <v>2023</v>
      </c>
      <c r="I16" t="s">
        <v>2097</v>
      </c>
      <c r="J16" t="s">
        <v>1963</v>
      </c>
      <c r="K16" t="s">
        <v>2098</v>
      </c>
      <c r="L16" t="s">
        <v>2025</v>
      </c>
      <c r="M16" t="s">
        <v>2099</v>
      </c>
      <c r="N16" t="s">
        <v>2100</v>
      </c>
      <c r="O16" t="s">
        <v>2101</v>
      </c>
      <c r="P16" t="s">
        <v>2102</v>
      </c>
      <c r="Q16" t="s">
        <v>2103</v>
      </c>
      <c r="R16" t="s">
        <v>14</v>
      </c>
      <c r="S16" t="s">
        <v>2101</v>
      </c>
      <c r="T16" t="s">
        <v>2102</v>
      </c>
      <c r="U16" t="s">
        <v>2052</v>
      </c>
      <c r="V16" t="s">
        <v>14</v>
      </c>
      <c r="W16" t="b">
        <v>1</v>
      </c>
      <c r="X16" t="s">
        <v>1514</v>
      </c>
      <c r="Y16" t="b">
        <v>0</v>
      </c>
      <c r="Z16" t="s">
        <v>2053</v>
      </c>
    </row>
    <row r="17" spans="1:26" x14ac:dyDescent="0.35">
      <c r="A17" t="s">
        <v>1515</v>
      </c>
      <c r="B17" t="s">
        <v>2104</v>
      </c>
      <c r="C17" t="s">
        <v>2038</v>
      </c>
      <c r="D17" t="s">
        <v>1963</v>
      </c>
      <c r="E17" t="s">
        <v>2020</v>
      </c>
      <c r="F17" t="s">
        <v>2021</v>
      </c>
      <c r="G17" t="s">
        <v>2022</v>
      </c>
      <c r="H17" t="s">
        <v>2023</v>
      </c>
      <c r="I17" t="s">
        <v>2097</v>
      </c>
      <c r="J17" t="s">
        <v>1963</v>
      </c>
      <c r="K17" t="s">
        <v>2105</v>
      </c>
      <c r="L17" t="s">
        <v>2046</v>
      </c>
      <c r="M17" t="s">
        <v>2099</v>
      </c>
      <c r="N17" t="s">
        <v>2100</v>
      </c>
      <c r="O17" t="s">
        <v>2101</v>
      </c>
      <c r="P17" t="s">
        <v>2102</v>
      </c>
      <c r="Q17" t="s">
        <v>2103</v>
      </c>
      <c r="R17" t="s">
        <v>14</v>
      </c>
      <c r="S17" t="s">
        <v>2101</v>
      </c>
      <c r="T17" t="s">
        <v>2102</v>
      </c>
      <c r="U17" t="s">
        <v>2052</v>
      </c>
      <c r="V17" t="s">
        <v>14</v>
      </c>
      <c r="W17" t="b">
        <v>1</v>
      </c>
      <c r="X17" t="s">
        <v>1516</v>
      </c>
      <c r="Y17" t="b">
        <v>0</v>
      </c>
      <c r="Z17" t="s">
        <v>2053</v>
      </c>
    </row>
    <row r="18" spans="1:26" x14ac:dyDescent="0.35">
      <c r="A18" t="s">
        <v>1517</v>
      </c>
      <c r="B18" t="s">
        <v>2106</v>
      </c>
      <c r="C18" t="s">
        <v>2038</v>
      </c>
      <c r="D18" t="s">
        <v>1963</v>
      </c>
      <c r="E18" t="s">
        <v>2020</v>
      </c>
      <c r="F18" t="s">
        <v>2021</v>
      </c>
      <c r="G18" t="s">
        <v>2022</v>
      </c>
      <c r="H18" t="s">
        <v>2023</v>
      </c>
      <c r="I18" t="s">
        <v>2107</v>
      </c>
      <c r="J18" t="s">
        <v>1963</v>
      </c>
      <c r="K18" t="s">
        <v>2108</v>
      </c>
      <c r="L18" t="s">
        <v>2025</v>
      </c>
      <c r="M18" t="s">
        <v>2109</v>
      </c>
      <c r="N18" t="s">
        <v>2110</v>
      </c>
      <c r="O18" t="s">
        <v>2111</v>
      </c>
      <c r="P18" t="s">
        <v>2112</v>
      </c>
      <c r="Q18" t="s">
        <v>14</v>
      </c>
      <c r="R18" t="s">
        <v>14</v>
      </c>
      <c r="S18" t="s">
        <v>14</v>
      </c>
      <c r="T18" t="s">
        <v>14</v>
      </c>
      <c r="U18" t="s">
        <v>2052</v>
      </c>
      <c r="V18" t="s">
        <v>14</v>
      </c>
      <c r="W18" t="b">
        <v>1</v>
      </c>
      <c r="X18" t="s">
        <v>1518</v>
      </c>
      <c r="Y18" t="b">
        <v>0</v>
      </c>
      <c r="Z18" t="s">
        <v>2053</v>
      </c>
    </row>
    <row r="19" spans="1:26" x14ac:dyDescent="0.35">
      <c r="A19" t="s">
        <v>1517</v>
      </c>
      <c r="B19" t="s">
        <v>2106</v>
      </c>
      <c r="C19" t="s">
        <v>2038</v>
      </c>
      <c r="D19" t="s">
        <v>1963</v>
      </c>
      <c r="E19" t="s">
        <v>2020</v>
      </c>
      <c r="F19" t="s">
        <v>2021</v>
      </c>
      <c r="G19" t="s">
        <v>2022</v>
      </c>
      <c r="H19" t="s">
        <v>2023</v>
      </c>
      <c r="I19" t="s">
        <v>2113</v>
      </c>
      <c r="J19" t="s">
        <v>1963</v>
      </c>
      <c r="K19" t="s">
        <v>2108</v>
      </c>
      <c r="L19" t="s">
        <v>2025</v>
      </c>
      <c r="M19" t="s">
        <v>2109</v>
      </c>
      <c r="N19" t="s">
        <v>2110</v>
      </c>
      <c r="O19" t="s">
        <v>2111</v>
      </c>
      <c r="P19" t="s">
        <v>2112</v>
      </c>
      <c r="Q19" t="s">
        <v>14</v>
      </c>
      <c r="R19" t="s">
        <v>14</v>
      </c>
      <c r="S19" t="s">
        <v>14</v>
      </c>
      <c r="T19" t="s">
        <v>14</v>
      </c>
      <c r="U19" t="s">
        <v>2052</v>
      </c>
      <c r="V19" t="s">
        <v>14</v>
      </c>
      <c r="W19" t="b">
        <v>1</v>
      </c>
      <c r="X19" t="s">
        <v>1518</v>
      </c>
      <c r="Y19" t="b">
        <v>0</v>
      </c>
      <c r="Z19" t="s">
        <v>2053</v>
      </c>
    </row>
    <row r="20" spans="1:26" x14ac:dyDescent="0.35">
      <c r="A20" t="s">
        <v>1519</v>
      </c>
      <c r="B20" t="s">
        <v>2114</v>
      </c>
      <c r="C20" t="s">
        <v>2038</v>
      </c>
      <c r="D20" t="s">
        <v>1963</v>
      </c>
      <c r="E20" t="s">
        <v>2020</v>
      </c>
      <c r="F20" t="s">
        <v>2021</v>
      </c>
      <c r="G20" t="s">
        <v>2022</v>
      </c>
      <c r="H20" t="s">
        <v>2023</v>
      </c>
      <c r="I20" t="s">
        <v>2082</v>
      </c>
      <c r="J20" t="s">
        <v>1963</v>
      </c>
      <c r="K20" t="s">
        <v>2115</v>
      </c>
      <c r="L20" t="s">
        <v>2025</v>
      </c>
      <c r="M20" t="s">
        <v>2047</v>
      </c>
      <c r="N20" t="s">
        <v>2048</v>
      </c>
      <c r="O20" t="s">
        <v>2047</v>
      </c>
      <c r="P20" t="s">
        <v>2048</v>
      </c>
      <c r="Q20" t="s">
        <v>14</v>
      </c>
      <c r="R20" t="s">
        <v>14</v>
      </c>
      <c r="S20" t="s">
        <v>14</v>
      </c>
      <c r="T20" t="s">
        <v>14</v>
      </c>
      <c r="U20" t="s">
        <v>2052</v>
      </c>
      <c r="V20" t="s">
        <v>14</v>
      </c>
      <c r="W20" t="b">
        <v>1</v>
      </c>
      <c r="X20" t="s">
        <v>1520</v>
      </c>
      <c r="Y20" t="b">
        <v>0</v>
      </c>
      <c r="Z20" t="s">
        <v>2081</v>
      </c>
    </row>
    <row r="21" spans="1:26" x14ac:dyDescent="0.35">
      <c r="A21" t="s">
        <v>1519</v>
      </c>
      <c r="B21" t="s">
        <v>2114</v>
      </c>
      <c r="C21" t="s">
        <v>2038</v>
      </c>
      <c r="D21" t="s">
        <v>1963</v>
      </c>
      <c r="E21" t="s">
        <v>2020</v>
      </c>
      <c r="F21" t="s">
        <v>2021</v>
      </c>
      <c r="G21" t="s">
        <v>2022</v>
      </c>
      <c r="H21" t="s">
        <v>2023</v>
      </c>
      <c r="I21" t="s">
        <v>2116</v>
      </c>
      <c r="J21" t="s">
        <v>1963</v>
      </c>
      <c r="K21" t="s">
        <v>2115</v>
      </c>
      <c r="L21" t="s">
        <v>2025</v>
      </c>
      <c r="M21" t="s">
        <v>2047</v>
      </c>
      <c r="N21" t="s">
        <v>2048</v>
      </c>
      <c r="O21" t="s">
        <v>2047</v>
      </c>
      <c r="P21" t="s">
        <v>2048</v>
      </c>
      <c r="Q21" t="s">
        <v>14</v>
      </c>
      <c r="R21" t="s">
        <v>14</v>
      </c>
      <c r="S21" t="s">
        <v>14</v>
      </c>
      <c r="T21" t="s">
        <v>14</v>
      </c>
      <c r="U21" t="s">
        <v>2052</v>
      </c>
      <c r="V21" t="s">
        <v>14</v>
      </c>
      <c r="W21" t="b">
        <v>1</v>
      </c>
      <c r="X21" t="s">
        <v>1520</v>
      </c>
      <c r="Y21" t="b">
        <v>0</v>
      </c>
      <c r="Z21" t="s">
        <v>2081</v>
      </c>
    </row>
    <row r="22" spans="1:26" x14ac:dyDescent="0.35">
      <c r="A22" t="s">
        <v>1521</v>
      </c>
      <c r="B22" t="s">
        <v>2117</v>
      </c>
      <c r="C22" t="s">
        <v>2038</v>
      </c>
      <c r="D22" t="s">
        <v>1963</v>
      </c>
      <c r="E22" t="s">
        <v>2020</v>
      </c>
      <c r="F22" t="s">
        <v>2055</v>
      </c>
      <c r="G22" t="s">
        <v>2056</v>
      </c>
      <c r="H22" t="s">
        <v>2023</v>
      </c>
      <c r="I22" t="s">
        <v>2118</v>
      </c>
      <c r="J22" t="s">
        <v>1963</v>
      </c>
      <c r="K22" t="s">
        <v>2119</v>
      </c>
      <c r="L22" t="s">
        <v>2046</v>
      </c>
      <c r="M22" t="s">
        <v>2120</v>
      </c>
      <c r="N22" t="s">
        <v>2121</v>
      </c>
      <c r="O22" t="s">
        <v>2060</v>
      </c>
      <c r="P22" t="s">
        <v>2061</v>
      </c>
      <c r="Q22" t="s">
        <v>2122</v>
      </c>
      <c r="R22" t="s">
        <v>14</v>
      </c>
      <c r="S22" t="s">
        <v>2123</v>
      </c>
      <c r="T22" t="s">
        <v>2124</v>
      </c>
      <c r="U22" t="s">
        <v>2052</v>
      </c>
      <c r="V22" t="s">
        <v>14</v>
      </c>
      <c r="W22" t="b">
        <v>1</v>
      </c>
      <c r="X22" t="s">
        <v>1522</v>
      </c>
      <c r="Y22" t="b">
        <v>0</v>
      </c>
      <c r="Z22" t="s">
        <v>2053</v>
      </c>
    </row>
    <row r="23" spans="1:26" x14ac:dyDescent="0.35">
      <c r="A23" t="s">
        <v>1521</v>
      </c>
      <c r="B23" t="s">
        <v>2117</v>
      </c>
      <c r="C23" t="s">
        <v>2038</v>
      </c>
      <c r="D23" t="s">
        <v>1963</v>
      </c>
      <c r="E23" t="s">
        <v>2020</v>
      </c>
      <c r="F23" t="s">
        <v>2055</v>
      </c>
      <c r="G23" t="s">
        <v>2056</v>
      </c>
      <c r="H23" t="s">
        <v>2023</v>
      </c>
      <c r="I23" t="s">
        <v>1764</v>
      </c>
      <c r="J23" t="s">
        <v>1963</v>
      </c>
      <c r="K23" t="s">
        <v>2119</v>
      </c>
      <c r="L23" t="s">
        <v>2046</v>
      </c>
      <c r="M23" t="s">
        <v>2120</v>
      </c>
      <c r="N23" t="s">
        <v>2121</v>
      </c>
      <c r="O23" t="s">
        <v>2060</v>
      </c>
      <c r="P23" t="s">
        <v>2061</v>
      </c>
      <c r="Q23" t="s">
        <v>2122</v>
      </c>
      <c r="R23" t="s">
        <v>14</v>
      </c>
      <c r="S23" t="s">
        <v>2125</v>
      </c>
      <c r="T23" t="s">
        <v>2126</v>
      </c>
      <c r="U23" t="s">
        <v>2052</v>
      </c>
      <c r="V23" t="s">
        <v>14</v>
      </c>
      <c r="W23" t="b">
        <v>1</v>
      </c>
      <c r="X23" t="s">
        <v>1522</v>
      </c>
      <c r="Y23" t="b">
        <v>0</v>
      </c>
      <c r="Z23" t="s">
        <v>2032</v>
      </c>
    </row>
    <row r="24" spans="1:26" x14ac:dyDescent="0.35">
      <c r="A24" t="s">
        <v>1523</v>
      </c>
      <c r="B24" t="s">
        <v>2127</v>
      </c>
      <c r="C24" t="s">
        <v>2038</v>
      </c>
      <c r="D24" t="s">
        <v>1963</v>
      </c>
      <c r="E24" t="s">
        <v>2020</v>
      </c>
      <c r="F24" t="s">
        <v>2055</v>
      </c>
      <c r="G24" t="s">
        <v>2056</v>
      </c>
      <c r="H24" t="s">
        <v>2023</v>
      </c>
      <c r="I24" t="s">
        <v>1426</v>
      </c>
      <c r="J24" t="s">
        <v>1963</v>
      </c>
      <c r="K24" t="s">
        <v>2128</v>
      </c>
      <c r="L24" t="s">
        <v>2046</v>
      </c>
      <c r="M24" t="s">
        <v>2058</v>
      </c>
      <c r="N24" t="s">
        <v>2059</v>
      </c>
      <c r="O24" t="s">
        <v>2060</v>
      </c>
      <c r="P24" t="s">
        <v>2061</v>
      </c>
      <c r="Q24" t="s">
        <v>2062</v>
      </c>
      <c r="R24" t="s">
        <v>14</v>
      </c>
      <c r="S24" t="s">
        <v>2063</v>
      </c>
      <c r="T24" t="s">
        <v>2064</v>
      </c>
      <c r="U24" t="s">
        <v>2052</v>
      </c>
      <c r="V24" t="s">
        <v>14</v>
      </c>
      <c r="W24" t="b">
        <v>1</v>
      </c>
      <c r="X24" t="s">
        <v>1524</v>
      </c>
      <c r="Y24" t="b">
        <v>0</v>
      </c>
      <c r="Z24" t="s">
        <v>2053</v>
      </c>
    </row>
    <row r="25" spans="1:26" x14ac:dyDescent="0.35">
      <c r="A25" t="s">
        <v>1525</v>
      </c>
      <c r="B25" t="s">
        <v>2129</v>
      </c>
      <c r="C25" t="s">
        <v>2038</v>
      </c>
      <c r="D25" t="s">
        <v>1963</v>
      </c>
      <c r="E25" t="s">
        <v>2020</v>
      </c>
      <c r="F25" t="s">
        <v>2055</v>
      </c>
      <c r="G25" t="s">
        <v>2056</v>
      </c>
      <c r="H25" t="s">
        <v>2023</v>
      </c>
      <c r="I25" t="s">
        <v>1426</v>
      </c>
      <c r="J25" t="s">
        <v>1963</v>
      </c>
      <c r="K25" t="s">
        <v>2130</v>
      </c>
      <c r="L25" t="s">
        <v>2046</v>
      </c>
      <c r="M25" t="s">
        <v>2058</v>
      </c>
      <c r="N25" t="s">
        <v>2059</v>
      </c>
      <c r="O25" t="s">
        <v>2060</v>
      </c>
      <c r="P25" t="s">
        <v>2061</v>
      </c>
      <c r="Q25" t="s">
        <v>2062</v>
      </c>
      <c r="R25" t="s">
        <v>14</v>
      </c>
      <c r="S25" t="s">
        <v>2063</v>
      </c>
      <c r="T25" t="s">
        <v>2064</v>
      </c>
      <c r="U25" t="s">
        <v>2052</v>
      </c>
      <c r="V25" t="s">
        <v>14</v>
      </c>
      <c r="W25" t="b">
        <v>1</v>
      </c>
      <c r="X25" t="s">
        <v>1526</v>
      </c>
      <c r="Y25" t="b">
        <v>0</v>
      </c>
      <c r="Z25" t="s">
        <v>2053</v>
      </c>
    </row>
    <row r="26" spans="1:26" x14ac:dyDescent="0.35">
      <c r="A26" t="s">
        <v>1527</v>
      </c>
      <c r="B26" t="s">
        <v>2131</v>
      </c>
      <c r="C26" t="s">
        <v>2038</v>
      </c>
      <c r="D26" t="s">
        <v>1963</v>
      </c>
      <c r="E26" t="s">
        <v>2020</v>
      </c>
      <c r="F26" t="s">
        <v>2055</v>
      </c>
      <c r="G26" t="s">
        <v>2056</v>
      </c>
      <c r="H26" t="s">
        <v>2023</v>
      </c>
      <c r="I26" t="s">
        <v>2132</v>
      </c>
      <c r="J26" t="s">
        <v>1963</v>
      </c>
      <c r="K26" t="s">
        <v>2133</v>
      </c>
      <c r="L26" t="s">
        <v>2046</v>
      </c>
      <c r="M26" t="s">
        <v>2058</v>
      </c>
      <c r="N26" t="s">
        <v>2059</v>
      </c>
      <c r="O26" t="s">
        <v>2060</v>
      </c>
      <c r="P26" t="s">
        <v>2061</v>
      </c>
      <c r="Q26" t="s">
        <v>2062</v>
      </c>
      <c r="R26" t="s">
        <v>14</v>
      </c>
      <c r="S26" t="s">
        <v>2134</v>
      </c>
      <c r="T26" t="s">
        <v>2135</v>
      </c>
      <c r="U26" t="s">
        <v>2052</v>
      </c>
      <c r="V26" t="s">
        <v>14</v>
      </c>
      <c r="W26" t="b">
        <v>1</v>
      </c>
      <c r="X26" t="s">
        <v>1528</v>
      </c>
      <c r="Y26" t="b">
        <v>0</v>
      </c>
      <c r="Z26" t="s">
        <v>2053</v>
      </c>
    </row>
    <row r="27" spans="1:26" x14ac:dyDescent="0.35">
      <c r="A27" t="s">
        <v>1527</v>
      </c>
      <c r="B27" t="s">
        <v>2131</v>
      </c>
      <c r="C27" t="s">
        <v>2038</v>
      </c>
      <c r="D27" t="s">
        <v>1963</v>
      </c>
      <c r="E27" t="s">
        <v>2020</v>
      </c>
      <c r="F27" t="s">
        <v>2055</v>
      </c>
      <c r="G27" t="s">
        <v>2056</v>
      </c>
      <c r="H27" t="s">
        <v>2023</v>
      </c>
      <c r="I27" t="s">
        <v>1426</v>
      </c>
      <c r="J27" t="s">
        <v>1963</v>
      </c>
      <c r="K27" t="s">
        <v>2133</v>
      </c>
      <c r="L27" t="s">
        <v>2046</v>
      </c>
      <c r="M27" t="s">
        <v>2058</v>
      </c>
      <c r="N27" t="s">
        <v>2059</v>
      </c>
      <c r="O27" t="s">
        <v>2060</v>
      </c>
      <c r="P27" t="s">
        <v>2061</v>
      </c>
      <c r="Q27" t="s">
        <v>2062</v>
      </c>
      <c r="R27" t="s">
        <v>14</v>
      </c>
      <c r="S27" t="s">
        <v>2063</v>
      </c>
      <c r="T27" t="s">
        <v>2064</v>
      </c>
      <c r="U27" t="s">
        <v>2052</v>
      </c>
      <c r="V27" t="s">
        <v>14</v>
      </c>
      <c r="W27" t="b">
        <v>1</v>
      </c>
      <c r="X27" t="s">
        <v>1528</v>
      </c>
      <c r="Y27" t="b">
        <v>0</v>
      </c>
      <c r="Z27" t="s">
        <v>2053</v>
      </c>
    </row>
    <row r="28" spans="1:26" x14ac:dyDescent="0.35">
      <c r="A28" t="s">
        <v>1529</v>
      </c>
      <c r="B28" t="s">
        <v>2136</v>
      </c>
      <c r="C28" t="s">
        <v>2038</v>
      </c>
      <c r="D28" t="s">
        <v>1963</v>
      </c>
      <c r="E28" t="s">
        <v>2020</v>
      </c>
      <c r="F28" t="s">
        <v>2055</v>
      </c>
      <c r="G28" t="s">
        <v>2056</v>
      </c>
      <c r="H28" t="s">
        <v>2023</v>
      </c>
      <c r="I28" t="s">
        <v>1426</v>
      </c>
      <c r="J28" t="s">
        <v>1963</v>
      </c>
      <c r="K28" t="s">
        <v>2137</v>
      </c>
      <c r="L28" t="s">
        <v>2046</v>
      </c>
      <c r="M28" t="s">
        <v>2058</v>
      </c>
      <c r="N28" t="s">
        <v>2059</v>
      </c>
      <c r="O28" t="s">
        <v>2060</v>
      </c>
      <c r="P28" t="s">
        <v>2061</v>
      </c>
      <c r="Q28" t="s">
        <v>2062</v>
      </c>
      <c r="R28" t="s">
        <v>14</v>
      </c>
      <c r="S28" t="s">
        <v>2063</v>
      </c>
      <c r="T28" t="s">
        <v>2064</v>
      </c>
      <c r="U28" t="s">
        <v>2052</v>
      </c>
      <c r="V28" t="s">
        <v>14</v>
      </c>
      <c r="W28" t="b">
        <v>1</v>
      </c>
      <c r="X28" t="s">
        <v>1530</v>
      </c>
      <c r="Y28" t="b">
        <v>0</v>
      </c>
      <c r="Z28" t="s">
        <v>2053</v>
      </c>
    </row>
    <row r="29" spans="1:26" x14ac:dyDescent="0.35">
      <c r="A29" t="s">
        <v>2138</v>
      </c>
      <c r="B29" t="s">
        <v>2139</v>
      </c>
      <c r="C29" t="s">
        <v>2038</v>
      </c>
      <c r="D29" t="s">
        <v>1963</v>
      </c>
      <c r="E29" t="s">
        <v>2020</v>
      </c>
      <c r="F29" t="s">
        <v>2140</v>
      </c>
      <c r="G29" t="s">
        <v>2141</v>
      </c>
      <c r="H29" t="s">
        <v>2023</v>
      </c>
      <c r="I29" t="s">
        <v>1806</v>
      </c>
      <c r="J29" t="s">
        <v>1963</v>
      </c>
      <c r="K29" t="s">
        <v>2142</v>
      </c>
      <c r="L29" t="s">
        <v>2046</v>
      </c>
      <c r="M29" t="s">
        <v>2067</v>
      </c>
      <c r="N29" t="s">
        <v>2068</v>
      </c>
      <c r="O29" t="s">
        <v>2047</v>
      </c>
      <c r="P29" t="s">
        <v>2048</v>
      </c>
      <c r="Q29" t="s">
        <v>14</v>
      </c>
      <c r="R29" t="s">
        <v>14</v>
      </c>
      <c r="S29" t="s">
        <v>2069</v>
      </c>
      <c r="T29" t="s">
        <v>2070</v>
      </c>
      <c r="U29" t="s">
        <v>2052</v>
      </c>
      <c r="V29" t="s">
        <v>14</v>
      </c>
      <c r="W29" t="b">
        <v>1</v>
      </c>
      <c r="X29" t="s">
        <v>2143</v>
      </c>
      <c r="Y29" t="b">
        <v>0</v>
      </c>
      <c r="Z29" t="s">
        <v>2053</v>
      </c>
    </row>
    <row r="30" spans="1:26" x14ac:dyDescent="0.35">
      <c r="A30" t="s">
        <v>2138</v>
      </c>
      <c r="B30" t="s">
        <v>2139</v>
      </c>
      <c r="C30" t="s">
        <v>2038</v>
      </c>
      <c r="D30" t="s">
        <v>1963</v>
      </c>
      <c r="E30" t="s">
        <v>2020</v>
      </c>
      <c r="F30" t="s">
        <v>2140</v>
      </c>
      <c r="G30" t="s">
        <v>2141</v>
      </c>
      <c r="H30" t="s">
        <v>2023</v>
      </c>
      <c r="I30" t="s">
        <v>2144</v>
      </c>
      <c r="J30" t="s">
        <v>1963</v>
      </c>
      <c r="K30" t="s">
        <v>2142</v>
      </c>
      <c r="L30" t="s">
        <v>2046</v>
      </c>
      <c r="M30" t="s">
        <v>2047</v>
      </c>
      <c r="N30" t="s">
        <v>2048</v>
      </c>
      <c r="O30" t="s">
        <v>2047</v>
      </c>
      <c r="P30" t="s">
        <v>2048</v>
      </c>
      <c r="Q30" t="s">
        <v>2145</v>
      </c>
      <c r="R30" t="s">
        <v>14</v>
      </c>
      <c r="S30" t="s">
        <v>2069</v>
      </c>
      <c r="T30" t="s">
        <v>2070</v>
      </c>
      <c r="U30" t="s">
        <v>2052</v>
      </c>
      <c r="V30" t="s">
        <v>14</v>
      </c>
      <c r="W30" t="b">
        <v>1</v>
      </c>
      <c r="X30" t="s">
        <v>2143</v>
      </c>
      <c r="Y30" t="b">
        <v>0</v>
      </c>
      <c r="Z30" t="s">
        <v>2053</v>
      </c>
    </row>
    <row r="31" spans="1:26" x14ac:dyDescent="0.35">
      <c r="A31" t="s">
        <v>2138</v>
      </c>
      <c r="B31" t="s">
        <v>2139</v>
      </c>
      <c r="C31" t="s">
        <v>2038</v>
      </c>
      <c r="D31" t="s">
        <v>1963</v>
      </c>
      <c r="E31" t="s">
        <v>2020</v>
      </c>
      <c r="F31" t="s">
        <v>2140</v>
      </c>
      <c r="G31" t="s">
        <v>2141</v>
      </c>
      <c r="H31" t="s">
        <v>2023</v>
      </c>
      <c r="I31" t="s">
        <v>2146</v>
      </c>
      <c r="J31" t="s">
        <v>1963</v>
      </c>
      <c r="K31" t="s">
        <v>2142</v>
      </c>
      <c r="L31" t="s">
        <v>2046</v>
      </c>
      <c r="M31" t="s">
        <v>14</v>
      </c>
      <c r="N31" t="s">
        <v>14</v>
      </c>
      <c r="O31" t="s">
        <v>2147</v>
      </c>
      <c r="P31" t="s">
        <v>2148</v>
      </c>
      <c r="Q31" t="s">
        <v>14</v>
      </c>
      <c r="R31" t="s">
        <v>14</v>
      </c>
      <c r="S31" t="s">
        <v>14</v>
      </c>
      <c r="T31" t="s">
        <v>14</v>
      </c>
      <c r="U31" t="s">
        <v>2052</v>
      </c>
      <c r="V31" t="s">
        <v>14</v>
      </c>
      <c r="W31" t="b">
        <v>1</v>
      </c>
      <c r="X31" t="s">
        <v>2143</v>
      </c>
      <c r="Y31" t="b">
        <v>0</v>
      </c>
      <c r="Z31" t="s">
        <v>2053</v>
      </c>
    </row>
    <row r="32" spans="1:26" x14ac:dyDescent="0.35">
      <c r="A32" t="s">
        <v>1893</v>
      </c>
      <c r="B32" t="s">
        <v>2149</v>
      </c>
      <c r="C32" t="s">
        <v>2150</v>
      </c>
      <c r="D32" t="s">
        <v>1963</v>
      </c>
      <c r="E32" t="s">
        <v>2020</v>
      </c>
      <c r="F32" t="s">
        <v>2021</v>
      </c>
      <c r="G32" t="s">
        <v>2022</v>
      </c>
      <c r="H32" t="s">
        <v>2023</v>
      </c>
      <c r="I32" t="s">
        <v>1852</v>
      </c>
      <c r="J32" t="s">
        <v>1963</v>
      </c>
      <c r="K32" t="s">
        <v>2151</v>
      </c>
      <c r="L32" t="s">
        <v>14</v>
      </c>
      <c r="M32" t="s">
        <v>2152</v>
      </c>
      <c r="N32" t="s">
        <v>2153</v>
      </c>
      <c r="O32" t="s">
        <v>2152</v>
      </c>
      <c r="P32" t="s">
        <v>2153</v>
      </c>
      <c r="Q32" t="s">
        <v>14</v>
      </c>
      <c r="R32" t="s">
        <v>14</v>
      </c>
      <c r="S32" t="s">
        <v>14</v>
      </c>
      <c r="T32" t="s">
        <v>14</v>
      </c>
      <c r="U32" t="s">
        <v>2030</v>
      </c>
      <c r="V32" t="s">
        <v>14</v>
      </c>
      <c r="W32" t="b">
        <v>1</v>
      </c>
      <c r="X32" t="s">
        <v>2154</v>
      </c>
      <c r="Y32" t="b">
        <v>0</v>
      </c>
      <c r="Z32" t="s">
        <v>2081</v>
      </c>
    </row>
    <row r="33" spans="1:26" x14ac:dyDescent="0.35">
      <c r="A33" t="s">
        <v>1894</v>
      </c>
      <c r="B33" t="s">
        <v>2155</v>
      </c>
      <c r="C33" t="s">
        <v>2150</v>
      </c>
      <c r="D33" t="s">
        <v>1963</v>
      </c>
      <c r="E33" t="s">
        <v>2020</v>
      </c>
      <c r="F33" t="s">
        <v>2021</v>
      </c>
      <c r="G33" t="s">
        <v>2022</v>
      </c>
      <c r="H33" t="s">
        <v>2023</v>
      </c>
      <c r="I33" t="s">
        <v>1852</v>
      </c>
      <c r="J33" t="s">
        <v>1963</v>
      </c>
      <c r="K33" t="s">
        <v>2156</v>
      </c>
      <c r="L33" t="s">
        <v>2025</v>
      </c>
      <c r="M33" t="s">
        <v>2152</v>
      </c>
      <c r="N33" t="s">
        <v>2153</v>
      </c>
      <c r="O33" t="s">
        <v>2152</v>
      </c>
      <c r="P33" t="s">
        <v>2153</v>
      </c>
      <c r="Q33" t="s">
        <v>14</v>
      </c>
      <c r="R33" t="s">
        <v>14</v>
      </c>
      <c r="S33" t="s">
        <v>14</v>
      </c>
      <c r="T33" t="s">
        <v>14</v>
      </c>
      <c r="U33" t="s">
        <v>2030</v>
      </c>
      <c r="V33" t="s">
        <v>14</v>
      </c>
      <c r="W33" t="b">
        <v>1</v>
      </c>
      <c r="X33" t="s">
        <v>1895</v>
      </c>
      <c r="Y33" t="b">
        <v>0</v>
      </c>
      <c r="Z33" t="s">
        <v>2081</v>
      </c>
    </row>
    <row r="34" spans="1:26" x14ac:dyDescent="0.35">
      <c r="A34" t="s">
        <v>1896</v>
      </c>
      <c r="B34" t="s">
        <v>2157</v>
      </c>
      <c r="C34" t="s">
        <v>2150</v>
      </c>
      <c r="D34" t="s">
        <v>1963</v>
      </c>
      <c r="E34" t="s">
        <v>2020</v>
      </c>
      <c r="F34" t="s">
        <v>2021</v>
      </c>
      <c r="G34" t="s">
        <v>2022</v>
      </c>
      <c r="H34" t="s">
        <v>2023</v>
      </c>
      <c r="I34" t="s">
        <v>1852</v>
      </c>
      <c r="J34" t="s">
        <v>1963</v>
      </c>
      <c r="K34" t="s">
        <v>2158</v>
      </c>
      <c r="L34" t="s">
        <v>2025</v>
      </c>
      <c r="M34" t="s">
        <v>2152</v>
      </c>
      <c r="N34" t="s">
        <v>2153</v>
      </c>
      <c r="O34" t="s">
        <v>2152</v>
      </c>
      <c r="P34" t="s">
        <v>2153</v>
      </c>
      <c r="Q34" t="s">
        <v>14</v>
      </c>
      <c r="R34" t="s">
        <v>14</v>
      </c>
      <c r="S34" t="s">
        <v>14</v>
      </c>
      <c r="T34" t="s">
        <v>14</v>
      </c>
      <c r="U34" t="s">
        <v>2030</v>
      </c>
      <c r="V34" t="s">
        <v>14</v>
      </c>
      <c r="W34" t="b">
        <v>1</v>
      </c>
      <c r="X34" t="s">
        <v>2159</v>
      </c>
      <c r="Y34" t="b">
        <v>0</v>
      </c>
      <c r="Z34" t="s">
        <v>2081</v>
      </c>
    </row>
    <row r="35" spans="1:26" x14ac:dyDescent="0.35">
      <c r="A35" t="s">
        <v>1897</v>
      </c>
      <c r="B35" t="s">
        <v>2160</v>
      </c>
      <c r="C35" t="s">
        <v>2150</v>
      </c>
      <c r="D35" t="s">
        <v>1963</v>
      </c>
      <c r="E35" t="s">
        <v>2020</v>
      </c>
      <c r="F35" t="s">
        <v>2161</v>
      </c>
      <c r="G35" t="s">
        <v>2162</v>
      </c>
      <c r="H35" t="s">
        <v>2023</v>
      </c>
      <c r="I35" t="s">
        <v>2163</v>
      </c>
      <c r="J35" t="s">
        <v>1963</v>
      </c>
      <c r="K35" t="s">
        <v>2164</v>
      </c>
      <c r="L35" t="s">
        <v>2025</v>
      </c>
      <c r="M35" t="s">
        <v>2165</v>
      </c>
      <c r="N35" t="s">
        <v>2166</v>
      </c>
      <c r="O35" t="s">
        <v>2167</v>
      </c>
      <c r="P35" t="s">
        <v>2168</v>
      </c>
      <c r="Q35" t="s">
        <v>14</v>
      </c>
      <c r="R35" t="s">
        <v>14</v>
      </c>
      <c r="S35" t="s">
        <v>2169</v>
      </c>
      <c r="T35" t="s">
        <v>2170</v>
      </c>
      <c r="U35" t="s">
        <v>2171</v>
      </c>
      <c r="V35" t="s">
        <v>14</v>
      </c>
      <c r="W35" t="b">
        <v>1</v>
      </c>
      <c r="X35" t="s">
        <v>1898</v>
      </c>
      <c r="Y35" t="b">
        <v>0</v>
      </c>
      <c r="Z35" t="s">
        <v>2032</v>
      </c>
    </row>
    <row r="36" spans="1:26" x14ac:dyDescent="0.35">
      <c r="A36" t="s">
        <v>1842</v>
      </c>
      <c r="B36" t="s">
        <v>2172</v>
      </c>
      <c r="C36" t="s">
        <v>2150</v>
      </c>
      <c r="D36" t="s">
        <v>1963</v>
      </c>
      <c r="E36" t="s">
        <v>2020</v>
      </c>
      <c r="F36" t="s">
        <v>2161</v>
      </c>
      <c r="G36" t="s">
        <v>2162</v>
      </c>
      <c r="H36" t="s">
        <v>2023</v>
      </c>
      <c r="I36" t="s">
        <v>2163</v>
      </c>
      <c r="J36" t="s">
        <v>1963</v>
      </c>
      <c r="K36" t="s">
        <v>2173</v>
      </c>
      <c r="L36" t="s">
        <v>2025</v>
      </c>
      <c r="M36" t="s">
        <v>2165</v>
      </c>
      <c r="N36" t="s">
        <v>2166</v>
      </c>
      <c r="O36" t="s">
        <v>2167</v>
      </c>
      <c r="P36" t="s">
        <v>2168</v>
      </c>
      <c r="Q36" t="s">
        <v>14</v>
      </c>
      <c r="R36" t="s">
        <v>14</v>
      </c>
      <c r="S36" t="s">
        <v>2169</v>
      </c>
      <c r="T36" t="s">
        <v>2170</v>
      </c>
      <c r="U36" t="s">
        <v>2171</v>
      </c>
      <c r="V36" t="s">
        <v>14</v>
      </c>
      <c r="W36" t="b">
        <v>1</v>
      </c>
      <c r="X36" t="s">
        <v>1843</v>
      </c>
      <c r="Y36" t="b">
        <v>0</v>
      </c>
      <c r="Z36" t="s">
        <v>2032</v>
      </c>
    </row>
    <row r="37" spans="1:26" x14ac:dyDescent="0.35">
      <c r="A37" t="s">
        <v>1862</v>
      </c>
      <c r="B37" t="s">
        <v>2174</v>
      </c>
      <c r="C37" t="s">
        <v>2175</v>
      </c>
      <c r="D37" t="s">
        <v>1963</v>
      </c>
      <c r="E37" t="s">
        <v>2020</v>
      </c>
      <c r="F37" t="s">
        <v>2021</v>
      </c>
      <c r="G37" t="s">
        <v>2022</v>
      </c>
      <c r="H37" t="s">
        <v>2023</v>
      </c>
      <c r="I37" t="s">
        <v>1995</v>
      </c>
      <c r="J37" t="s">
        <v>1963</v>
      </c>
      <c r="K37" t="s">
        <v>2176</v>
      </c>
      <c r="L37" t="s">
        <v>2025</v>
      </c>
      <c r="M37" t="s">
        <v>2026</v>
      </c>
      <c r="N37" t="s">
        <v>2027</v>
      </c>
      <c r="O37" t="s">
        <v>2028</v>
      </c>
      <c r="P37" t="s">
        <v>2029</v>
      </c>
      <c r="Q37" t="s">
        <v>14</v>
      </c>
      <c r="R37" t="s">
        <v>14</v>
      </c>
      <c r="S37" t="s">
        <v>14</v>
      </c>
      <c r="T37" t="s">
        <v>14</v>
      </c>
      <c r="U37" t="s">
        <v>2030</v>
      </c>
      <c r="V37" t="s">
        <v>14</v>
      </c>
      <c r="W37" t="b">
        <v>1</v>
      </c>
      <c r="X37" t="s">
        <v>2177</v>
      </c>
      <c r="Y37" t="b">
        <v>0</v>
      </c>
      <c r="Z37" t="s">
        <v>2032</v>
      </c>
    </row>
    <row r="38" spans="1:26" x14ac:dyDescent="0.35">
      <c r="A38" t="s">
        <v>1863</v>
      </c>
      <c r="B38" t="s">
        <v>2178</v>
      </c>
      <c r="C38" t="s">
        <v>2175</v>
      </c>
      <c r="D38" t="s">
        <v>1963</v>
      </c>
      <c r="E38" t="s">
        <v>2020</v>
      </c>
      <c r="F38" t="s">
        <v>2021</v>
      </c>
      <c r="G38" t="s">
        <v>2022</v>
      </c>
      <c r="H38" t="s">
        <v>2023</v>
      </c>
      <c r="I38" t="s">
        <v>1995</v>
      </c>
      <c r="J38" t="s">
        <v>1963</v>
      </c>
      <c r="K38" t="s">
        <v>2179</v>
      </c>
      <c r="L38" t="s">
        <v>2025</v>
      </c>
      <c r="M38" t="s">
        <v>2026</v>
      </c>
      <c r="N38" t="s">
        <v>2027</v>
      </c>
      <c r="O38" t="s">
        <v>2028</v>
      </c>
      <c r="P38" t="s">
        <v>2029</v>
      </c>
      <c r="Q38" t="s">
        <v>14</v>
      </c>
      <c r="R38" t="s">
        <v>14</v>
      </c>
      <c r="S38" t="s">
        <v>14</v>
      </c>
      <c r="T38" t="s">
        <v>14</v>
      </c>
      <c r="U38" t="s">
        <v>2030</v>
      </c>
      <c r="V38" t="s">
        <v>14</v>
      </c>
      <c r="W38" t="b">
        <v>1</v>
      </c>
      <c r="X38" t="s">
        <v>2180</v>
      </c>
      <c r="Y38" t="b">
        <v>0</v>
      </c>
      <c r="Z38" t="s">
        <v>2032</v>
      </c>
    </row>
    <row r="39" spans="1:26" x14ac:dyDescent="0.35">
      <c r="A39" t="s">
        <v>1899</v>
      </c>
      <c r="B39" t="s">
        <v>2181</v>
      </c>
      <c r="C39" t="s">
        <v>2182</v>
      </c>
      <c r="D39" t="s">
        <v>1963</v>
      </c>
      <c r="E39" t="s">
        <v>2020</v>
      </c>
      <c r="F39" t="s">
        <v>2021</v>
      </c>
      <c r="G39" t="s">
        <v>2022</v>
      </c>
      <c r="H39" t="s">
        <v>2023</v>
      </c>
      <c r="I39" t="s">
        <v>2183</v>
      </c>
      <c r="J39" t="s">
        <v>1963</v>
      </c>
      <c r="K39" t="s">
        <v>2184</v>
      </c>
      <c r="L39" t="s">
        <v>2025</v>
      </c>
      <c r="M39" t="s">
        <v>2185</v>
      </c>
      <c r="N39" t="s">
        <v>2186</v>
      </c>
      <c r="O39" t="s">
        <v>2187</v>
      </c>
      <c r="P39" t="s">
        <v>2188</v>
      </c>
      <c r="Q39" t="s">
        <v>2049</v>
      </c>
      <c r="R39" t="s">
        <v>14</v>
      </c>
      <c r="S39" t="s">
        <v>2189</v>
      </c>
      <c r="T39" t="s">
        <v>2190</v>
      </c>
      <c r="U39" t="s">
        <v>2052</v>
      </c>
      <c r="V39" t="s">
        <v>14</v>
      </c>
      <c r="W39" t="b">
        <v>1</v>
      </c>
      <c r="X39" t="s">
        <v>1900</v>
      </c>
      <c r="Y39" t="b">
        <v>0</v>
      </c>
      <c r="Z39" t="s">
        <v>2053</v>
      </c>
    </row>
    <row r="40" spans="1:26" x14ac:dyDescent="0.35">
      <c r="A40" t="s">
        <v>1901</v>
      </c>
      <c r="B40" t="s">
        <v>2191</v>
      </c>
      <c r="C40" t="s">
        <v>2182</v>
      </c>
      <c r="D40" t="s">
        <v>1963</v>
      </c>
      <c r="E40" t="s">
        <v>2020</v>
      </c>
      <c r="F40" t="s">
        <v>2192</v>
      </c>
      <c r="G40" t="s">
        <v>2193</v>
      </c>
      <c r="H40" t="s">
        <v>2023</v>
      </c>
      <c r="I40" t="s">
        <v>2183</v>
      </c>
      <c r="J40" t="s">
        <v>1963</v>
      </c>
      <c r="K40" t="s">
        <v>2194</v>
      </c>
      <c r="L40" t="s">
        <v>2025</v>
      </c>
      <c r="M40" t="s">
        <v>2185</v>
      </c>
      <c r="N40" t="s">
        <v>2186</v>
      </c>
      <c r="O40" t="s">
        <v>2187</v>
      </c>
      <c r="P40" t="s">
        <v>2188</v>
      </c>
      <c r="Q40" t="s">
        <v>2049</v>
      </c>
      <c r="R40" t="s">
        <v>14</v>
      </c>
      <c r="S40" t="s">
        <v>2189</v>
      </c>
      <c r="T40" t="s">
        <v>2190</v>
      </c>
      <c r="U40" t="s">
        <v>2052</v>
      </c>
      <c r="V40" t="s">
        <v>14</v>
      </c>
      <c r="W40" t="b">
        <v>0</v>
      </c>
      <c r="X40" t="s">
        <v>1902</v>
      </c>
      <c r="Y40" t="b">
        <v>0</v>
      </c>
      <c r="Z40" t="s">
        <v>2053</v>
      </c>
    </row>
    <row r="41" spans="1:26" x14ac:dyDescent="0.35">
      <c r="A41" t="s">
        <v>1531</v>
      </c>
      <c r="B41" t="s">
        <v>2195</v>
      </c>
      <c r="C41" t="s">
        <v>2196</v>
      </c>
      <c r="D41" t="s">
        <v>1963</v>
      </c>
      <c r="E41" t="s">
        <v>2020</v>
      </c>
      <c r="F41" t="s">
        <v>2021</v>
      </c>
      <c r="G41" t="s">
        <v>2022</v>
      </c>
      <c r="H41" t="s">
        <v>2023</v>
      </c>
      <c r="I41" t="s">
        <v>2197</v>
      </c>
      <c r="J41" t="s">
        <v>1963</v>
      </c>
      <c r="K41" t="s">
        <v>2198</v>
      </c>
      <c r="L41" t="s">
        <v>2046</v>
      </c>
      <c r="M41" t="s">
        <v>2120</v>
      </c>
      <c r="N41" t="s">
        <v>2121</v>
      </c>
      <c r="O41" t="s">
        <v>2060</v>
      </c>
      <c r="P41" t="s">
        <v>2061</v>
      </c>
      <c r="Q41" t="s">
        <v>2122</v>
      </c>
      <c r="R41" t="s">
        <v>14</v>
      </c>
      <c r="S41" t="s">
        <v>2123</v>
      </c>
      <c r="T41" t="s">
        <v>2124</v>
      </c>
      <c r="U41" t="s">
        <v>2052</v>
      </c>
      <c r="V41" t="s">
        <v>14</v>
      </c>
      <c r="W41" t="b">
        <v>1</v>
      </c>
      <c r="X41" t="s">
        <v>1532</v>
      </c>
      <c r="Y41" t="b">
        <v>0</v>
      </c>
      <c r="Z41" t="s">
        <v>2032</v>
      </c>
    </row>
    <row r="42" spans="1:26" x14ac:dyDescent="0.35">
      <c r="A42" t="s">
        <v>1531</v>
      </c>
      <c r="B42" t="s">
        <v>2195</v>
      </c>
      <c r="C42" t="s">
        <v>2196</v>
      </c>
      <c r="D42" t="s">
        <v>1963</v>
      </c>
      <c r="E42" t="s">
        <v>2020</v>
      </c>
      <c r="F42" t="s">
        <v>2021</v>
      </c>
      <c r="G42" t="s">
        <v>2022</v>
      </c>
      <c r="H42" t="s">
        <v>2023</v>
      </c>
      <c r="I42" t="s">
        <v>2199</v>
      </c>
      <c r="J42" t="s">
        <v>1963</v>
      </c>
      <c r="K42" t="s">
        <v>2198</v>
      </c>
      <c r="L42" t="s">
        <v>2046</v>
      </c>
      <c r="M42" t="s">
        <v>2120</v>
      </c>
      <c r="N42" t="s">
        <v>2121</v>
      </c>
      <c r="O42" t="s">
        <v>2060</v>
      </c>
      <c r="P42" t="s">
        <v>2061</v>
      </c>
      <c r="Q42" t="s">
        <v>2122</v>
      </c>
      <c r="R42" t="s">
        <v>14</v>
      </c>
      <c r="S42" t="s">
        <v>2200</v>
      </c>
      <c r="T42" t="s">
        <v>2201</v>
      </c>
      <c r="U42" t="s">
        <v>2052</v>
      </c>
      <c r="V42" t="s">
        <v>14</v>
      </c>
      <c r="W42" t="b">
        <v>1</v>
      </c>
      <c r="X42" t="s">
        <v>1532</v>
      </c>
      <c r="Y42" t="b">
        <v>0</v>
      </c>
      <c r="Z42" t="s">
        <v>2053</v>
      </c>
    </row>
    <row r="43" spans="1:26" x14ac:dyDescent="0.35">
      <c r="A43" t="s">
        <v>1533</v>
      </c>
      <c r="B43" t="s">
        <v>2202</v>
      </c>
      <c r="C43" t="s">
        <v>2196</v>
      </c>
      <c r="D43" t="s">
        <v>1963</v>
      </c>
      <c r="E43" t="s">
        <v>2020</v>
      </c>
      <c r="F43" t="s">
        <v>2021</v>
      </c>
      <c r="G43" t="s">
        <v>2022</v>
      </c>
      <c r="H43" t="s">
        <v>2023</v>
      </c>
      <c r="I43" t="s">
        <v>2203</v>
      </c>
      <c r="J43" t="s">
        <v>1963</v>
      </c>
      <c r="K43" t="s">
        <v>2204</v>
      </c>
      <c r="L43" t="s">
        <v>2046</v>
      </c>
      <c r="M43" t="s">
        <v>2205</v>
      </c>
      <c r="N43" t="s">
        <v>2206</v>
      </c>
      <c r="O43" t="s">
        <v>2205</v>
      </c>
      <c r="P43" t="s">
        <v>2206</v>
      </c>
      <c r="Q43" t="s">
        <v>14</v>
      </c>
      <c r="R43" t="s">
        <v>14</v>
      </c>
      <c r="S43" t="s">
        <v>14</v>
      </c>
      <c r="T43" t="s">
        <v>14</v>
      </c>
      <c r="U43" t="s">
        <v>2052</v>
      </c>
      <c r="V43" t="s">
        <v>14</v>
      </c>
      <c r="W43" t="b">
        <v>1</v>
      </c>
      <c r="X43" t="s">
        <v>1534</v>
      </c>
      <c r="Y43" t="b">
        <v>0</v>
      </c>
      <c r="Z43" t="s">
        <v>2053</v>
      </c>
    </row>
    <row r="44" spans="1:26" x14ac:dyDescent="0.35">
      <c r="A44" t="s">
        <v>1533</v>
      </c>
      <c r="B44" t="s">
        <v>2202</v>
      </c>
      <c r="C44" t="s">
        <v>2196</v>
      </c>
      <c r="D44" t="s">
        <v>1963</v>
      </c>
      <c r="E44" t="s">
        <v>2020</v>
      </c>
      <c r="F44" t="s">
        <v>2021</v>
      </c>
      <c r="G44" t="s">
        <v>2022</v>
      </c>
      <c r="H44" t="s">
        <v>2023</v>
      </c>
      <c r="I44" t="s">
        <v>2207</v>
      </c>
      <c r="J44" t="s">
        <v>1963</v>
      </c>
      <c r="K44" t="s">
        <v>2204</v>
      </c>
      <c r="L44" t="s">
        <v>2046</v>
      </c>
      <c r="M44" t="s">
        <v>2205</v>
      </c>
      <c r="N44" t="s">
        <v>2206</v>
      </c>
      <c r="O44" t="s">
        <v>2205</v>
      </c>
      <c r="P44" t="s">
        <v>2206</v>
      </c>
      <c r="Q44" t="s">
        <v>14</v>
      </c>
      <c r="R44" t="s">
        <v>14</v>
      </c>
      <c r="S44" t="s">
        <v>14</v>
      </c>
      <c r="T44" t="s">
        <v>14</v>
      </c>
      <c r="U44" t="s">
        <v>2052</v>
      </c>
      <c r="V44" t="s">
        <v>14</v>
      </c>
      <c r="W44" t="b">
        <v>1</v>
      </c>
      <c r="X44" t="s">
        <v>1534</v>
      </c>
      <c r="Y44" t="b">
        <v>0</v>
      </c>
      <c r="Z44" t="s">
        <v>2053</v>
      </c>
    </row>
    <row r="45" spans="1:26" x14ac:dyDescent="0.35">
      <c r="A45" t="s">
        <v>1533</v>
      </c>
      <c r="B45" t="s">
        <v>2202</v>
      </c>
      <c r="C45" t="s">
        <v>2196</v>
      </c>
      <c r="D45" t="s">
        <v>1963</v>
      </c>
      <c r="E45" t="s">
        <v>2020</v>
      </c>
      <c r="F45" t="s">
        <v>2021</v>
      </c>
      <c r="G45" t="s">
        <v>2022</v>
      </c>
      <c r="H45" t="s">
        <v>2023</v>
      </c>
      <c r="I45" t="s">
        <v>2208</v>
      </c>
      <c r="J45" t="s">
        <v>1963</v>
      </c>
      <c r="K45" t="s">
        <v>2204</v>
      </c>
      <c r="L45" t="s">
        <v>2046</v>
      </c>
      <c r="M45" t="s">
        <v>2209</v>
      </c>
      <c r="N45" t="s">
        <v>2210</v>
      </c>
      <c r="O45" t="s">
        <v>2211</v>
      </c>
      <c r="P45" t="s">
        <v>2212</v>
      </c>
      <c r="Q45" t="s">
        <v>14</v>
      </c>
      <c r="R45" t="s">
        <v>14</v>
      </c>
      <c r="S45" t="s">
        <v>14</v>
      </c>
      <c r="T45" t="s">
        <v>14</v>
      </c>
      <c r="U45" t="s">
        <v>2052</v>
      </c>
      <c r="V45" t="s">
        <v>14</v>
      </c>
      <c r="W45" t="b">
        <v>1</v>
      </c>
      <c r="X45" t="s">
        <v>1534</v>
      </c>
      <c r="Y45" t="b">
        <v>0</v>
      </c>
      <c r="Z45" t="s">
        <v>2053</v>
      </c>
    </row>
    <row r="46" spans="1:26" x14ac:dyDescent="0.35">
      <c r="A46" t="s">
        <v>1533</v>
      </c>
      <c r="B46" t="s">
        <v>2202</v>
      </c>
      <c r="C46" t="s">
        <v>2196</v>
      </c>
      <c r="D46" t="s">
        <v>1963</v>
      </c>
      <c r="E46" t="s">
        <v>2020</v>
      </c>
      <c r="F46" t="s">
        <v>2021</v>
      </c>
      <c r="G46" t="s">
        <v>2022</v>
      </c>
      <c r="H46" t="s">
        <v>2023</v>
      </c>
      <c r="I46" t="s">
        <v>2213</v>
      </c>
      <c r="J46" t="s">
        <v>1963</v>
      </c>
      <c r="K46" t="s">
        <v>2204</v>
      </c>
      <c r="L46" t="s">
        <v>2046</v>
      </c>
      <c r="M46" t="s">
        <v>2214</v>
      </c>
      <c r="N46" t="s">
        <v>2215</v>
      </c>
      <c r="O46" t="s">
        <v>2214</v>
      </c>
      <c r="P46" t="s">
        <v>2215</v>
      </c>
      <c r="Q46" t="s">
        <v>14</v>
      </c>
      <c r="R46" t="s">
        <v>14</v>
      </c>
      <c r="S46" t="s">
        <v>14</v>
      </c>
      <c r="T46" t="s">
        <v>14</v>
      </c>
      <c r="U46" t="s">
        <v>2052</v>
      </c>
      <c r="V46" t="s">
        <v>14</v>
      </c>
      <c r="W46" t="b">
        <v>1</v>
      </c>
      <c r="X46" t="s">
        <v>1534</v>
      </c>
      <c r="Y46" t="b">
        <v>0</v>
      </c>
      <c r="Z46" t="s">
        <v>2053</v>
      </c>
    </row>
    <row r="47" spans="1:26" x14ac:dyDescent="0.35">
      <c r="A47" t="s">
        <v>1533</v>
      </c>
      <c r="B47" t="s">
        <v>2202</v>
      </c>
      <c r="C47" t="s">
        <v>2196</v>
      </c>
      <c r="D47" t="s">
        <v>1963</v>
      </c>
      <c r="E47" t="s">
        <v>2020</v>
      </c>
      <c r="F47" t="s">
        <v>2021</v>
      </c>
      <c r="G47" t="s">
        <v>2022</v>
      </c>
      <c r="H47" t="s">
        <v>2023</v>
      </c>
      <c r="I47" t="s">
        <v>2216</v>
      </c>
      <c r="J47" t="s">
        <v>1963</v>
      </c>
      <c r="K47" t="s">
        <v>2204</v>
      </c>
      <c r="L47" t="s">
        <v>2046</v>
      </c>
      <c r="M47" t="s">
        <v>2217</v>
      </c>
      <c r="N47" t="s">
        <v>2218</v>
      </c>
      <c r="O47" t="s">
        <v>2211</v>
      </c>
      <c r="P47" t="s">
        <v>2212</v>
      </c>
      <c r="Q47" t="s">
        <v>14</v>
      </c>
      <c r="R47" t="s">
        <v>14</v>
      </c>
      <c r="S47" t="s">
        <v>14</v>
      </c>
      <c r="T47" t="s">
        <v>14</v>
      </c>
      <c r="U47" t="s">
        <v>2052</v>
      </c>
      <c r="V47" t="s">
        <v>14</v>
      </c>
      <c r="W47" t="b">
        <v>1</v>
      </c>
      <c r="X47" t="s">
        <v>1534</v>
      </c>
      <c r="Y47" t="b">
        <v>0</v>
      </c>
      <c r="Z47" t="s">
        <v>2053</v>
      </c>
    </row>
    <row r="48" spans="1:26" x14ac:dyDescent="0.35">
      <c r="A48" t="s">
        <v>1535</v>
      </c>
      <c r="B48" t="s">
        <v>2219</v>
      </c>
      <c r="C48" t="s">
        <v>2196</v>
      </c>
      <c r="D48" t="s">
        <v>1963</v>
      </c>
      <c r="E48" t="s">
        <v>2020</v>
      </c>
      <c r="F48" t="s">
        <v>2021</v>
      </c>
      <c r="G48" t="s">
        <v>2022</v>
      </c>
      <c r="H48" t="s">
        <v>2023</v>
      </c>
      <c r="I48" t="s">
        <v>2220</v>
      </c>
      <c r="J48" t="s">
        <v>1963</v>
      </c>
      <c r="K48" t="s">
        <v>2221</v>
      </c>
      <c r="L48" t="s">
        <v>2046</v>
      </c>
      <c r="M48" t="s">
        <v>2222</v>
      </c>
      <c r="N48" t="s">
        <v>2223</v>
      </c>
      <c r="O48" t="s">
        <v>2222</v>
      </c>
      <c r="P48" t="s">
        <v>2223</v>
      </c>
      <c r="Q48" t="s">
        <v>14</v>
      </c>
      <c r="R48" t="s">
        <v>14</v>
      </c>
      <c r="S48" t="s">
        <v>14</v>
      </c>
      <c r="T48" t="s">
        <v>14</v>
      </c>
      <c r="U48" t="s">
        <v>2052</v>
      </c>
      <c r="V48" t="s">
        <v>14</v>
      </c>
      <c r="W48" t="b">
        <v>1</v>
      </c>
      <c r="X48" t="s">
        <v>1536</v>
      </c>
      <c r="Y48" t="b">
        <v>0</v>
      </c>
      <c r="Z48" t="s">
        <v>2053</v>
      </c>
    </row>
    <row r="49" spans="1:26" x14ac:dyDescent="0.35">
      <c r="A49" t="s">
        <v>1535</v>
      </c>
      <c r="B49" t="s">
        <v>2219</v>
      </c>
      <c r="C49" t="s">
        <v>2196</v>
      </c>
      <c r="D49" t="s">
        <v>1963</v>
      </c>
      <c r="E49" t="s">
        <v>2020</v>
      </c>
      <c r="F49" t="s">
        <v>2021</v>
      </c>
      <c r="G49" t="s">
        <v>2022</v>
      </c>
      <c r="H49" t="s">
        <v>2023</v>
      </c>
      <c r="I49" t="s">
        <v>2224</v>
      </c>
      <c r="J49" t="s">
        <v>1963</v>
      </c>
      <c r="K49" t="s">
        <v>2221</v>
      </c>
      <c r="L49" t="s">
        <v>2046</v>
      </c>
      <c r="M49" t="s">
        <v>2211</v>
      </c>
      <c r="N49" t="s">
        <v>2212</v>
      </c>
      <c r="O49" t="s">
        <v>2211</v>
      </c>
      <c r="P49" t="s">
        <v>2212</v>
      </c>
      <c r="Q49" t="s">
        <v>14</v>
      </c>
      <c r="R49" t="s">
        <v>14</v>
      </c>
      <c r="S49" t="s">
        <v>14</v>
      </c>
      <c r="T49" t="s">
        <v>14</v>
      </c>
      <c r="U49" t="s">
        <v>2052</v>
      </c>
      <c r="V49" t="s">
        <v>14</v>
      </c>
      <c r="W49" t="b">
        <v>1</v>
      </c>
      <c r="X49" t="s">
        <v>1536</v>
      </c>
      <c r="Y49" t="b">
        <v>0</v>
      </c>
      <c r="Z49" t="s">
        <v>2053</v>
      </c>
    </row>
    <row r="50" spans="1:26" x14ac:dyDescent="0.35">
      <c r="A50" t="s">
        <v>1535</v>
      </c>
      <c r="B50" t="s">
        <v>2219</v>
      </c>
      <c r="C50" t="s">
        <v>2196</v>
      </c>
      <c r="D50" t="s">
        <v>1963</v>
      </c>
      <c r="E50" t="s">
        <v>2020</v>
      </c>
      <c r="F50" t="s">
        <v>2021</v>
      </c>
      <c r="G50" t="s">
        <v>2022</v>
      </c>
      <c r="H50" t="s">
        <v>2023</v>
      </c>
      <c r="I50" t="s">
        <v>2225</v>
      </c>
      <c r="J50" t="s">
        <v>1963</v>
      </c>
      <c r="K50" t="s">
        <v>2221</v>
      </c>
      <c r="L50" t="s">
        <v>2046</v>
      </c>
      <c r="M50" t="s">
        <v>2226</v>
      </c>
      <c r="N50" t="s">
        <v>2227</v>
      </c>
      <c r="O50" t="s">
        <v>2205</v>
      </c>
      <c r="P50" t="s">
        <v>2206</v>
      </c>
      <c r="Q50" t="s">
        <v>14</v>
      </c>
      <c r="R50" t="s">
        <v>14</v>
      </c>
      <c r="S50" t="s">
        <v>14</v>
      </c>
      <c r="T50" t="s">
        <v>14</v>
      </c>
      <c r="U50" t="s">
        <v>2052</v>
      </c>
      <c r="V50" t="s">
        <v>14</v>
      </c>
      <c r="W50" t="b">
        <v>1</v>
      </c>
      <c r="X50" t="s">
        <v>1536</v>
      </c>
      <c r="Y50" t="b">
        <v>0</v>
      </c>
      <c r="Z50" t="s">
        <v>2053</v>
      </c>
    </row>
    <row r="51" spans="1:26" x14ac:dyDescent="0.35">
      <c r="A51" t="s">
        <v>1535</v>
      </c>
      <c r="B51" t="s">
        <v>2219</v>
      </c>
      <c r="C51" t="s">
        <v>2196</v>
      </c>
      <c r="D51" t="s">
        <v>1963</v>
      </c>
      <c r="E51" t="s">
        <v>2020</v>
      </c>
      <c r="F51" t="s">
        <v>2021</v>
      </c>
      <c r="G51" t="s">
        <v>2022</v>
      </c>
      <c r="H51" t="s">
        <v>2023</v>
      </c>
      <c r="I51" t="s">
        <v>2228</v>
      </c>
      <c r="J51" t="s">
        <v>1963</v>
      </c>
      <c r="K51" t="s">
        <v>2221</v>
      </c>
      <c r="L51" t="s">
        <v>2046</v>
      </c>
      <c r="M51" t="s">
        <v>2229</v>
      </c>
      <c r="N51" t="s">
        <v>2230</v>
      </c>
      <c r="O51" t="s">
        <v>2211</v>
      </c>
      <c r="P51" t="s">
        <v>2212</v>
      </c>
      <c r="Q51" t="s">
        <v>2049</v>
      </c>
      <c r="R51" t="s">
        <v>14</v>
      </c>
      <c r="S51" t="s">
        <v>2231</v>
      </c>
      <c r="T51" t="s">
        <v>2232</v>
      </c>
      <c r="U51" t="s">
        <v>2233</v>
      </c>
      <c r="V51" t="s">
        <v>14</v>
      </c>
      <c r="W51" t="b">
        <v>1</v>
      </c>
      <c r="X51" t="s">
        <v>1536</v>
      </c>
      <c r="Y51" t="b">
        <v>0</v>
      </c>
      <c r="Z51" t="s">
        <v>2053</v>
      </c>
    </row>
    <row r="52" spans="1:26" x14ac:dyDescent="0.35">
      <c r="A52" t="s">
        <v>1535</v>
      </c>
      <c r="B52" t="s">
        <v>2219</v>
      </c>
      <c r="C52" t="s">
        <v>2196</v>
      </c>
      <c r="D52" t="s">
        <v>1963</v>
      </c>
      <c r="E52" t="s">
        <v>2020</v>
      </c>
      <c r="F52" t="s">
        <v>2021</v>
      </c>
      <c r="G52" t="s">
        <v>2022</v>
      </c>
      <c r="H52" t="s">
        <v>2023</v>
      </c>
      <c r="I52" t="s">
        <v>2234</v>
      </c>
      <c r="J52" t="s">
        <v>1963</v>
      </c>
      <c r="K52" t="s">
        <v>2221</v>
      </c>
      <c r="L52" t="s">
        <v>2046</v>
      </c>
      <c r="M52" t="s">
        <v>2229</v>
      </c>
      <c r="N52" t="s">
        <v>2230</v>
      </c>
      <c r="O52" t="s">
        <v>2211</v>
      </c>
      <c r="P52" t="s">
        <v>2212</v>
      </c>
      <c r="Q52" t="s">
        <v>2049</v>
      </c>
      <c r="R52" t="s">
        <v>14</v>
      </c>
      <c r="S52" t="s">
        <v>2235</v>
      </c>
      <c r="T52" t="s">
        <v>2236</v>
      </c>
      <c r="U52" t="s">
        <v>2052</v>
      </c>
      <c r="V52" t="s">
        <v>14</v>
      </c>
      <c r="W52" t="b">
        <v>1</v>
      </c>
      <c r="X52" t="s">
        <v>1536</v>
      </c>
      <c r="Y52" t="b">
        <v>0</v>
      </c>
      <c r="Z52" t="s">
        <v>2053</v>
      </c>
    </row>
    <row r="53" spans="1:26" x14ac:dyDescent="0.35">
      <c r="A53" t="s">
        <v>1535</v>
      </c>
      <c r="B53" t="s">
        <v>2219</v>
      </c>
      <c r="C53" t="s">
        <v>2196</v>
      </c>
      <c r="D53" t="s">
        <v>1963</v>
      </c>
      <c r="E53" t="s">
        <v>2020</v>
      </c>
      <c r="F53" t="s">
        <v>2021</v>
      </c>
      <c r="G53" t="s">
        <v>2022</v>
      </c>
      <c r="H53" t="s">
        <v>2023</v>
      </c>
      <c r="I53" t="s">
        <v>2237</v>
      </c>
      <c r="J53" t="s">
        <v>1963</v>
      </c>
      <c r="K53" t="s">
        <v>2221</v>
      </c>
      <c r="L53" t="s">
        <v>2046</v>
      </c>
      <c r="M53" t="s">
        <v>14</v>
      </c>
      <c r="N53" t="s">
        <v>14</v>
      </c>
      <c r="O53" t="s">
        <v>2211</v>
      </c>
      <c r="P53" t="s">
        <v>2212</v>
      </c>
      <c r="Q53" t="s">
        <v>14</v>
      </c>
      <c r="R53" t="s">
        <v>14</v>
      </c>
      <c r="S53" t="s">
        <v>14</v>
      </c>
      <c r="T53" t="s">
        <v>14</v>
      </c>
      <c r="U53" t="s">
        <v>2052</v>
      </c>
      <c r="V53" t="s">
        <v>14</v>
      </c>
      <c r="W53" t="b">
        <v>1</v>
      </c>
      <c r="X53" t="s">
        <v>1536</v>
      </c>
      <c r="Y53" t="b">
        <v>0</v>
      </c>
      <c r="Z53" t="s">
        <v>2053</v>
      </c>
    </row>
    <row r="54" spans="1:26" x14ac:dyDescent="0.35">
      <c r="A54" t="s">
        <v>1535</v>
      </c>
      <c r="B54" t="s">
        <v>2219</v>
      </c>
      <c r="C54" t="s">
        <v>2196</v>
      </c>
      <c r="D54" t="s">
        <v>1963</v>
      </c>
      <c r="E54" t="s">
        <v>2020</v>
      </c>
      <c r="F54" t="s">
        <v>2021</v>
      </c>
      <c r="G54" t="s">
        <v>2022</v>
      </c>
      <c r="H54" t="s">
        <v>2023</v>
      </c>
      <c r="I54" t="s">
        <v>2238</v>
      </c>
      <c r="J54" t="s">
        <v>1963</v>
      </c>
      <c r="K54" t="s">
        <v>2221</v>
      </c>
      <c r="L54" t="s">
        <v>2046</v>
      </c>
      <c r="M54" t="s">
        <v>2205</v>
      </c>
      <c r="N54" t="s">
        <v>2206</v>
      </c>
      <c r="O54" t="s">
        <v>2205</v>
      </c>
      <c r="P54" t="s">
        <v>2206</v>
      </c>
      <c r="Q54" t="s">
        <v>14</v>
      </c>
      <c r="R54" t="s">
        <v>14</v>
      </c>
      <c r="S54" t="s">
        <v>14</v>
      </c>
      <c r="T54" t="s">
        <v>14</v>
      </c>
      <c r="U54" t="s">
        <v>2052</v>
      </c>
      <c r="V54" t="s">
        <v>14</v>
      </c>
      <c r="W54" t="b">
        <v>1</v>
      </c>
      <c r="X54" t="s">
        <v>1536</v>
      </c>
      <c r="Y54" t="b">
        <v>0</v>
      </c>
      <c r="Z54" t="s">
        <v>2053</v>
      </c>
    </row>
    <row r="55" spans="1:26" x14ac:dyDescent="0.35">
      <c r="A55" t="s">
        <v>1535</v>
      </c>
      <c r="B55" t="s">
        <v>2219</v>
      </c>
      <c r="C55" t="s">
        <v>2196</v>
      </c>
      <c r="D55" t="s">
        <v>1963</v>
      </c>
      <c r="E55" t="s">
        <v>2020</v>
      </c>
      <c r="F55" t="s">
        <v>2021</v>
      </c>
      <c r="G55" t="s">
        <v>2022</v>
      </c>
      <c r="H55" t="s">
        <v>2023</v>
      </c>
      <c r="I55" t="s">
        <v>2239</v>
      </c>
      <c r="J55" t="s">
        <v>1963</v>
      </c>
      <c r="K55" t="s">
        <v>2221</v>
      </c>
      <c r="L55" t="s">
        <v>2046</v>
      </c>
      <c r="M55" t="s">
        <v>2209</v>
      </c>
      <c r="N55" t="s">
        <v>2210</v>
      </c>
      <c r="O55" t="s">
        <v>2211</v>
      </c>
      <c r="P55" t="s">
        <v>2212</v>
      </c>
      <c r="Q55" t="s">
        <v>2049</v>
      </c>
      <c r="R55" t="s">
        <v>14</v>
      </c>
      <c r="S55" t="s">
        <v>2235</v>
      </c>
      <c r="T55" t="s">
        <v>2236</v>
      </c>
      <c r="U55" t="s">
        <v>2052</v>
      </c>
      <c r="V55" t="s">
        <v>14</v>
      </c>
      <c r="W55" t="b">
        <v>1</v>
      </c>
      <c r="X55" t="s">
        <v>1536</v>
      </c>
      <c r="Y55" t="b">
        <v>0</v>
      </c>
      <c r="Z55" t="s">
        <v>2053</v>
      </c>
    </row>
    <row r="56" spans="1:26" x14ac:dyDescent="0.35">
      <c r="A56" t="s">
        <v>1537</v>
      </c>
      <c r="B56" t="s">
        <v>2240</v>
      </c>
      <c r="C56" t="s">
        <v>2196</v>
      </c>
      <c r="D56" t="s">
        <v>1963</v>
      </c>
      <c r="E56" t="s">
        <v>2020</v>
      </c>
      <c r="F56" t="s">
        <v>2021</v>
      </c>
      <c r="G56" t="s">
        <v>2022</v>
      </c>
      <c r="H56" t="s">
        <v>2023</v>
      </c>
      <c r="I56" t="s">
        <v>2241</v>
      </c>
      <c r="J56" t="s">
        <v>1963</v>
      </c>
      <c r="K56" t="s">
        <v>2242</v>
      </c>
      <c r="L56" t="s">
        <v>2046</v>
      </c>
      <c r="M56" t="s">
        <v>2243</v>
      </c>
      <c r="N56" t="s">
        <v>2244</v>
      </c>
      <c r="O56" t="s">
        <v>2214</v>
      </c>
      <c r="P56" t="s">
        <v>2215</v>
      </c>
      <c r="Q56" t="s">
        <v>2245</v>
      </c>
      <c r="R56" t="s">
        <v>14</v>
      </c>
      <c r="S56" t="s">
        <v>2205</v>
      </c>
      <c r="T56" t="s">
        <v>2206</v>
      </c>
      <c r="U56" t="s">
        <v>2052</v>
      </c>
      <c r="V56" t="s">
        <v>14</v>
      </c>
      <c r="W56" t="b">
        <v>1</v>
      </c>
      <c r="X56" t="s">
        <v>1538</v>
      </c>
      <c r="Y56" t="b">
        <v>0</v>
      </c>
      <c r="Z56" t="s">
        <v>2053</v>
      </c>
    </row>
    <row r="57" spans="1:26" x14ac:dyDescent="0.35">
      <c r="A57" t="s">
        <v>2246</v>
      </c>
      <c r="B57" t="s">
        <v>2247</v>
      </c>
      <c r="C57" t="s">
        <v>2196</v>
      </c>
      <c r="D57" t="s">
        <v>1963</v>
      </c>
      <c r="E57" t="s">
        <v>2020</v>
      </c>
      <c r="F57" t="s">
        <v>2248</v>
      </c>
      <c r="G57" t="s">
        <v>2162</v>
      </c>
      <c r="H57" t="s">
        <v>2023</v>
      </c>
      <c r="I57" t="s">
        <v>1756</v>
      </c>
      <c r="J57" t="s">
        <v>1963</v>
      </c>
      <c r="K57" t="s">
        <v>2249</v>
      </c>
      <c r="L57" t="s">
        <v>2046</v>
      </c>
      <c r="M57" t="s">
        <v>2250</v>
      </c>
      <c r="N57" t="s">
        <v>2251</v>
      </c>
      <c r="O57" t="s">
        <v>2047</v>
      </c>
      <c r="P57" t="s">
        <v>2048</v>
      </c>
      <c r="Q57" t="s">
        <v>2252</v>
      </c>
      <c r="R57" t="s">
        <v>14</v>
      </c>
      <c r="S57" t="s">
        <v>2253</v>
      </c>
      <c r="T57" t="s">
        <v>2254</v>
      </c>
      <c r="U57" t="s">
        <v>2052</v>
      </c>
      <c r="V57" t="s">
        <v>14</v>
      </c>
      <c r="W57" t="b">
        <v>1</v>
      </c>
      <c r="X57" t="s">
        <v>2255</v>
      </c>
      <c r="Y57" t="b">
        <v>0</v>
      </c>
      <c r="Z57" t="s">
        <v>2081</v>
      </c>
    </row>
    <row r="58" spans="1:26" x14ac:dyDescent="0.35">
      <c r="A58" t="s">
        <v>1539</v>
      </c>
      <c r="B58" t="s">
        <v>2256</v>
      </c>
      <c r="C58" t="s">
        <v>2196</v>
      </c>
      <c r="D58" t="s">
        <v>1963</v>
      </c>
      <c r="E58" t="s">
        <v>2020</v>
      </c>
      <c r="F58" t="s">
        <v>2021</v>
      </c>
      <c r="G58" t="s">
        <v>2022</v>
      </c>
      <c r="H58" t="s">
        <v>2023</v>
      </c>
      <c r="I58" t="s">
        <v>1756</v>
      </c>
      <c r="J58" t="s">
        <v>1963</v>
      </c>
      <c r="K58" t="s">
        <v>2257</v>
      </c>
      <c r="L58" t="s">
        <v>2046</v>
      </c>
      <c r="M58" t="s">
        <v>2250</v>
      </c>
      <c r="N58" t="s">
        <v>2251</v>
      </c>
      <c r="O58" t="s">
        <v>2047</v>
      </c>
      <c r="P58" t="s">
        <v>2048</v>
      </c>
      <c r="Q58" t="s">
        <v>2252</v>
      </c>
      <c r="R58" t="s">
        <v>14</v>
      </c>
      <c r="S58" t="s">
        <v>2253</v>
      </c>
      <c r="T58" t="s">
        <v>2254</v>
      </c>
      <c r="U58" t="s">
        <v>2052</v>
      </c>
      <c r="V58" t="s">
        <v>14</v>
      </c>
      <c r="W58" t="b">
        <v>1</v>
      </c>
      <c r="X58" t="s">
        <v>1540</v>
      </c>
      <c r="Y58" t="b">
        <v>0</v>
      </c>
      <c r="Z58" t="s">
        <v>2081</v>
      </c>
    </row>
    <row r="59" spans="1:26" x14ac:dyDescent="0.35">
      <c r="A59" t="s">
        <v>1541</v>
      </c>
      <c r="B59" t="s">
        <v>2258</v>
      </c>
      <c r="C59" t="s">
        <v>2196</v>
      </c>
      <c r="D59" t="s">
        <v>1963</v>
      </c>
      <c r="E59" t="s">
        <v>2020</v>
      </c>
      <c r="F59" t="s">
        <v>2021</v>
      </c>
      <c r="G59" t="s">
        <v>2022</v>
      </c>
      <c r="H59" t="s">
        <v>2023</v>
      </c>
      <c r="I59" t="s">
        <v>1756</v>
      </c>
      <c r="J59" t="s">
        <v>1963</v>
      </c>
      <c r="K59" t="s">
        <v>2259</v>
      </c>
      <c r="L59" t="s">
        <v>2046</v>
      </c>
      <c r="M59" t="s">
        <v>2250</v>
      </c>
      <c r="N59" t="s">
        <v>2251</v>
      </c>
      <c r="O59" t="s">
        <v>2047</v>
      </c>
      <c r="P59" t="s">
        <v>2048</v>
      </c>
      <c r="Q59" t="s">
        <v>2252</v>
      </c>
      <c r="R59" t="s">
        <v>14</v>
      </c>
      <c r="S59" t="s">
        <v>2253</v>
      </c>
      <c r="T59" t="s">
        <v>2254</v>
      </c>
      <c r="U59" t="s">
        <v>2052</v>
      </c>
      <c r="V59" t="s">
        <v>14</v>
      </c>
      <c r="W59" t="b">
        <v>1</v>
      </c>
      <c r="X59" t="s">
        <v>1542</v>
      </c>
      <c r="Y59" t="b">
        <v>0</v>
      </c>
      <c r="Z59" t="s">
        <v>2081</v>
      </c>
    </row>
    <row r="60" spans="1:26" x14ac:dyDescent="0.35">
      <c r="A60" t="s">
        <v>1543</v>
      </c>
      <c r="B60" t="s">
        <v>2260</v>
      </c>
      <c r="C60" t="s">
        <v>2196</v>
      </c>
      <c r="D60" t="s">
        <v>1963</v>
      </c>
      <c r="E60" t="s">
        <v>2020</v>
      </c>
      <c r="F60" t="s">
        <v>2021</v>
      </c>
      <c r="G60" t="s">
        <v>2022</v>
      </c>
      <c r="H60" t="s">
        <v>2023</v>
      </c>
      <c r="I60" t="s">
        <v>1426</v>
      </c>
      <c r="J60" t="s">
        <v>1963</v>
      </c>
      <c r="K60" t="s">
        <v>2261</v>
      </c>
      <c r="L60" t="s">
        <v>2046</v>
      </c>
      <c r="M60" t="s">
        <v>2058</v>
      </c>
      <c r="N60" t="s">
        <v>2059</v>
      </c>
      <c r="O60" t="s">
        <v>2060</v>
      </c>
      <c r="P60" t="s">
        <v>2061</v>
      </c>
      <c r="Q60" t="s">
        <v>2062</v>
      </c>
      <c r="R60" t="s">
        <v>14</v>
      </c>
      <c r="S60" t="s">
        <v>2063</v>
      </c>
      <c r="T60" t="s">
        <v>2064</v>
      </c>
      <c r="U60" t="s">
        <v>2052</v>
      </c>
      <c r="V60" t="s">
        <v>14</v>
      </c>
      <c r="W60" t="b">
        <v>1</v>
      </c>
      <c r="X60" t="s">
        <v>1544</v>
      </c>
      <c r="Y60" t="b">
        <v>0</v>
      </c>
      <c r="Z60" t="s">
        <v>2053</v>
      </c>
    </row>
    <row r="61" spans="1:26" x14ac:dyDescent="0.35">
      <c r="A61" t="s">
        <v>1545</v>
      </c>
      <c r="B61" t="s">
        <v>2262</v>
      </c>
      <c r="C61" t="s">
        <v>2196</v>
      </c>
      <c r="D61" t="s">
        <v>1963</v>
      </c>
      <c r="E61" t="s">
        <v>2020</v>
      </c>
      <c r="F61" t="s">
        <v>2021</v>
      </c>
      <c r="G61" t="s">
        <v>2022</v>
      </c>
      <c r="H61" t="s">
        <v>2023</v>
      </c>
      <c r="I61" t="s">
        <v>1426</v>
      </c>
      <c r="J61" t="s">
        <v>1963</v>
      </c>
      <c r="K61" t="s">
        <v>2263</v>
      </c>
      <c r="L61" t="s">
        <v>2046</v>
      </c>
      <c r="M61" t="s">
        <v>2058</v>
      </c>
      <c r="N61" t="s">
        <v>2059</v>
      </c>
      <c r="O61" t="s">
        <v>2060</v>
      </c>
      <c r="P61" t="s">
        <v>2061</v>
      </c>
      <c r="Q61" t="s">
        <v>2062</v>
      </c>
      <c r="R61" t="s">
        <v>14</v>
      </c>
      <c r="S61" t="s">
        <v>2063</v>
      </c>
      <c r="T61" t="s">
        <v>2064</v>
      </c>
      <c r="U61" t="s">
        <v>2052</v>
      </c>
      <c r="V61" t="s">
        <v>14</v>
      </c>
      <c r="W61" t="b">
        <v>1</v>
      </c>
      <c r="X61" t="s">
        <v>1546</v>
      </c>
      <c r="Y61" t="b">
        <v>0</v>
      </c>
      <c r="Z61" t="s">
        <v>2053</v>
      </c>
    </row>
    <row r="62" spans="1:26" x14ac:dyDescent="0.35">
      <c r="A62" t="s">
        <v>1547</v>
      </c>
      <c r="B62" t="s">
        <v>2264</v>
      </c>
      <c r="C62" t="s">
        <v>2196</v>
      </c>
      <c r="D62" t="s">
        <v>1963</v>
      </c>
      <c r="E62" t="s">
        <v>2020</v>
      </c>
      <c r="F62" t="s">
        <v>2021</v>
      </c>
      <c r="G62" t="s">
        <v>2022</v>
      </c>
      <c r="H62" t="s">
        <v>2023</v>
      </c>
      <c r="I62" t="s">
        <v>1426</v>
      </c>
      <c r="J62" t="s">
        <v>1963</v>
      </c>
      <c r="K62" t="s">
        <v>2265</v>
      </c>
      <c r="L62" t="s">
        <v>2046</v>
      </c>
      <c r="M62" t="s">
        <v>2058</v>
      </c>
      <c r="N62" t="s">
        <v>2059</v>
      </c>
      <c r="O62" t="s">
        <v>2060</v>
      </c>
      <c r="P62" t="s">
        <v>2061</v>
      </c>
      <c r="Q62" t="s">
        <v>2062</v>
      </c>
      <c r="R62" t="s">
        <v>14</v>
      </c>
      <c r="S62" t="s">
        <v>2063</v>
      </c>
      <c r="T62" t="s">
        <v>2064</v>
      </c>
      <c r="U62" t="s">
        <v>2052</v>
      </c>
      <c r="V62" t="s">
        <v>14</v>
      </c>
      <c r="W62" t="b">
        <v>1</v>
      </c>
      <c r="X62" t="s">
        <v>1548</v>
      </c>
      <c r="Y62" t="b">
        <v>0</v>
      </c>
      <c r="Z62" t="s">
        <v>2053</v>
      </c>
    </row>
    <row r="63" spans="1:26" x14ac:dyDescent="0.35">
      <c r="A63" t="s">
        <v>1549</v>
      </c>
      <c r="B63" t="s">
        <v>2266</v>
      </c>
      <c r="C63" t="s">
        <v>2196</v>
      </c>
      <c r="D63" t="s">
        <v>1963</v>
      </c>
      <c r="E63" t="s">
        <v>2020</v>
      </c>
      <c r="F63" t="s">
        <v>2055</v>
      </c>
      <c r="G63" t="s">
        <v>2056</v>
      </c>
      <c r="H63" t="s">
        <v>2023</v>
      </c>
      <c r="I63" t="s">
        <v>2132</v>
      </c>
      <c r="J63" t="s">
        <v>1963</v>
      </c>
      <c r="K63" t="s">
        <v>2267</v>
      </c>
      <c r="L63" t="s">
        <v>2046</v>
      </c>
      <c r="M63" t="s">
        <v>2058</v>
      </c>
      <c r="N63" t="s">
        <v>2059</v>
      </c>
      <c r="O63" t="s">
        <v>2060</v>
      </c>
      <c r="P63" t="s">
        <v>2061</v>
      </c>
      <c r="Q63" t="s">
        <v>2062</v>
      </c>
      <c r="R63" t="s">
        <v>14</v>
      </c>
      <c r="S63" t="s">
        <v>2134</v>
      </c>
      <c r="T63" t="s">
        <v>2135</v>
      </c>
      <c r="U63" t="s">
        <v>2052</v>
      </c>
      <c r="V63" t="s">
        <v>14</v>
      </c>
      <c r="W63" t="b">
        <v>1</v>
      </c>
      <c r="X63" t="s">
        <v>1550</v>
      </c>
      <c r="Y63" t="b">
        <v>0</v>
      </c>
      <c r="Z63" t="s">
        <v>2053</v>
      </c>
    </row>
    <row r="64" spans="1:26" x14ac:dyDescent="0.35">
      <c r="A64" t="s">
        <v>1549</v>
      </c>
      <c r="B64" t="s">
        <v>2266</v>
      </c>
      <c r="C64" t="s">
        <v>2196</v>
      </c>
      <c r="D64" t="s">
        <v>1963</v>
      </c>
      <c r="E64" t="s">
        <v>2020</v>
      </c>
      <c r="F64" t="s">
        <v>2055</v>
      </c>
      <c r="G64" t="s">
        <v>2056</v>
      </c>
      <c r="H64" t="s">
        <v>2023</v>
      </c>
      <c r="I64" t="s">
        <v>1426</v>
      </c>
      <c r="J64" t="s">
        <v>1963</v>
      </c>
      <c r="K64" t="s">
        <v>2267</v>
      </c>
      <c r="L64" t="s">
        <v>2046</v>
      </c>
      <c r="M64" t="s">
        <v>2058</v>
      </c>
      <c r="N64" t="s">
        <v>2059</v>
      </c>
      <c r="O64" t="s">
        <v>2060</v>
      </c>
      <c r="P64" t="s">
        <v>2061</v>
      </c>
      <c r="Q64" t="s">
        <v>2062</v>
      </c>
      <c r="R64" t="s">
        <v>14</v>
      </c>
      <c r="S64" t="s">
        <v>2063</v>
      </c>
      <c r="T64" t="s">
        <v>2064</v>
      </c>
      <c r="U64" t="s">
        <v>2052</v>
      </c>
      <c r="V64" t="s">
        <v>14</v>
      </c>
      <c r="W64" t="b">
        <v>1</v>
      </c>
      <c r="X64" t="s">
        <v>1550</v>
      </c>
      <c r="Y64" t="b">
        <v>0</v>
      </c>
      <c r="Z64" t="s">
        <v>2053</v>
      </c>
    </row>
    <row r="65" spans="1:26" x14ac:dyDescent="0.35">
      <c r="A65" t="s">
        <v>1551</v>
      </c>
      <c r="B65" t="s">
        <v>2268</v>
      </c>
      <c r="C65" t="s">
        <v>2196</v>
      </c>
      <c r="D65" t="s">
        <v>1963</v>
      </c>
      <c r="E65" t="s">
        <v>2020</v>
      </c>
      <c r="F65" t="s">
        <v>2055</v>
      </c>
      <c r="G65" t="s">
        <v>2056</v>
      </c>
      <c r="H65" t="s">
        <v>2023</v>
      </c>
      <c r="I65" t="s">
        <v>1426</v>
      </c>
      <c r="J65" t="s">
        <v>1963</v>
      </c>
      <c r="K65" t="s">
        <v>2269</v>
      </c>
      <c r="L65" t="s">
        <v>2046</v>
      </c>
      <c r="M65" t="s">
        <v>2058</v>
      </c>
      <c r="N65" t="s">
        <v>2059</v>
      </c>
      <c r="O65" t="s">
        <v>2060</v>
      </c>
      <c r="P65" t="s">
        <v>2061</v>
      </c>
      <c r="Q65" t="s">
        <v>2062</v>
      </c>
      <c r="R65" t="s">
        <v>14</v>
      </c>
      <c r="S65" t="s">
        <v>2063</v>
      </c>
      <c r="T65" t="s">
        <v>2064</v>
      </c>
      <c r="U65" t="s">
        <v>2052</v>
      </c>
      <c r="V65" t="s">
        <v>14</v>
      </c>
      <c r="W65" t="b">
        <v>1</v>
      </c>
      <c r="X65" t="s">
        <v>1552</v>
      </c>
      <c r="Y65" t="b">
        <v>0</v>
      </c>
      <c r="Z65" t="s">
        <v>2053</v>
      </c>
    </row>
    <row r="66" spans="1:26" x14ac:dyDescent="0.35">
      <c r="A66" t="s">
        <v>1553</v>
      </c>
      <c r="B66" t="s">
        <v>2270</v>
      </c>
      <c r="C66" t="s">
        <v>2196</v>
      </c>
      <c r="D66" t="s">
        <v>1963</v>
      </c>
      <c r="E66" t="s">
        <v>2020</v>
      </c>
      <c r="F66" t="s">
        <v>2021</v>
      </c>
      <c r="G66" t="s">
        <v>2022</v>
      </c>
      <c r="H66" t="s">
        <v>2023</v>
      </c>
      <c r="I66" t="s">
        <v>1829</v>
      </c>
      <c r="J66" t="s">
        <v>1963</v>
      </c>
      <c r="K66" t="s">
        <v>2271</v>
      </c>
      <c r="L66" t="s">
        <v>2046</v>
      </c>
      <c r="M66" t="s">
        <v>14</v>
      </c>
      <c r="N66" t="s">
        <v>14</v>
      </c>
      <c r="O66" t="s">
        <v>2111</v>
      </c>
      <c r="P66" t="s">
        <v>2112</v>
      </c>
      <c r="Q66" t="s">
        <v>14</v>
      </c>
      <c r="R66" t="s">
        <v>14</v>
      </c>
      <c r="S66" t="s">
        <v>14</v>
      </c>
      <c r="T66" t="s">
        <v>14</v>
      </c>
      <c r="U66" t="s">
        <v>2052</v>
      </c>
      <c r="V66" t="s">
        <v>14</v>
      </c>
      <c r="W66" t="b">
        <v>1</v>
      </c>
      <c r="X66" t="s">
        <v>1554</v>
      </c>
      <c r="Y66" t="b">
        <v>0</v>
      </c>
      <c r="Z66" t="s">
        <v>2053</v>
      </c>
    </row>
    <row r="67" spans="1:26" x14ac:dyDescent="0.35">
      <c r="A67" t="s">
        <v>1555</v>
      </c>
      <c r="B67" t="s">
        <v>2272</v>
      </c>
      <c r="C67" t="s">
        <v>2273</v>
      </c>
      <c r="D67" t="s">
        <v>1963</v>
      </c>
      <c r="E67" t="s">
        <v>2020</v>
      </c>
      <c r="F67" t="s">
        <v>2021</v>
      </c>
      <c r="G67" t="s">
        <v>2022</v>
      </c>
      <c r="H67" t="s">
        <v>2023</v>
      </c>
      <c r="I67" t="s">
        <v>2238</v>
      </c>
      <c r="J67" t="s">
        <v>1963</v>
      </c>
      <c r="K67" t="s">
        <v>2274</v>
      </c>
      <c r="L67" t="s">
        <v>2046</v>
      </c>
      <c r="M67" t="s">
        <v>2205</v>
      </c>
      <c r="N67" t="s">
        <v>2206</v>
      </c>
      <c r="O67" t="s">
        <v>2205</v>
      </c>
      <c r="P67" t="s">
        <v>2206</v>
      </c>
      <c r="Q67" t="s">
        <v>14</v>
      </c>
      <c r="R67" t="s">
        <v>14</v>
      </c>
      <c r="S67" t="s">
        <v>14</v>
      </c>
      <c r="T67" t="s">
        <v>14</v>
      </c>
      <c r="U67" t="s">
        <v>2052</v>
      </c>
      <c r="V67" t="s">
        <v>14</v>
      </c>
      <c r="W67" t="b">
        <v>1</v>
      </c>
      <c r="X67" t="s">
        <v>1556</v>
      </c>
      <c r="Y67" t="b">
        <v>0</v>
      </c>
      <c r="Z67" t="s">
        <v>2053</v>
      </c>
    </row>
    <row r="68" spans="1:26" x14ac:dyDescent="0.35">
      <c r="A68" t="s">
        <v>1555</v>
      </c>
      <c r="B68" t="s">
        <v>2272</v>
      </c>
      <c r="C68" t="s">
        <v>2273</v>
      </c>
      <c r="D68" t="s">
        <v>1963</v>
      </c>
      <c r="E68" t="s">
        <v>2020</v>
      </c>
      <c r="F68" t="s">
        <v>2021</v>
      </c>
      <c r="G68" t="s">
        <v>2022</v>
      </c>
      <c r="H68" t="s">
        <v>2023</v>
      </c>
      <c r="I68" t="s">
        <v>2225</v>
      </c>
      <c r="J68" t="s">
        <v>1963</v>
      </c>
      <c r="K68" t="s">
        <v>2274</v>
      </c>
      <c r="L68" t="s">
        <v>2046</v>
      </c>
      <c r="M68" t="s">
        <v>2226</v>
      </c>
      <c r="N68" t="s">
        <v>2227</v>
      </c>
      <c r="O68" t="s">
        <v>2205</v>
      </c>
      <c r="P68" t="s">
        <v>2206</v>
      </c>
      <c r="Q68" t="s">
        <v>14</v>
      </c>
      <c r="R68" t="s">
        <v>14</v>
      </c>
      <c r="S68" t="s">
        <v>14</v>
      </c>
      <c r="T68" t="s">
        <v>14</v>
      </c>
      <c r="U68" t="s">
        <v>2052</v>
      </c>
      <c r="V68" t="s">
        <v>14</v>
      </c>
      <c r="W68" t="b">
        <v>1</v>
      </c>
      <c r="X68" t="s">
        <v>1556</v>
      </c>
      <c r="Y68" t="b">
        <v>0</v>
      </c>
      <c r="Z68" t="s">
        <v>2053</v>
      </c>
    </row>
    <row r="69" spans="1:26" x14ac:dyDescent="0.35">
      <c r="A69" t="s">
        <v>1557</v>
      </c>
      <c r="B69" t="s">
        <v>2275</v>
      </c>
      <c r="C69" t="s">
        <v>2273</v>
      </c>
      <c r="D69" t="s">
        <v>1963</v>
      </c>
      <c r="E69" t="s">
        <v>2020</v>
      </c>
      <c r="F69" t="s">
        <v>2021</v>
      </c>
      <c r="G69" t="s">
        <v>2022</v>
      </c>
      <c r="H69" t="s">
        <v>2023</v>
      </c>
      <c r="I69" t="s">
        <v>1426</v>
      </c>
      <c r="J69" t="s">
        <v>1963</v>
      </c>
      <c r="K69" t="s">
        <v>2276</v>
      </c>
      <c r="L69" t="s">
        <v>2046</v>
      </c>
      <c r="M69" t="s">
        <v>2058</v>
      </c>
      <c r="N69" t="s">
        <v>2059</v>
      </c>
      <c r="O69" t="s">
        <v>2060</v>
      </c>
      <c r="P69" t="s">
        <v>2061</v>
      </c>
      <c r="Q69" t="s">
        <v>2062</v>
      </c>
      <c r="R69" t="s">
        <v>14</v>
      </c>
      <c r="S69" t="s">
        <v>2063</v>
      </c>
      <c r="T69" t="s">
        <v>2064</v>
      </c>
      <c r="U69" t="s">
        <v>2052</v>
      </c>
      <c r="V69" t="s">
        <v>14</v>
      </c>
      <c r="W69" t="b">
        <v>1</v>
      </c>
      <c r="X69" t="s">
        <v>1558</v>
      </c>
      <c r="Y69" t="b">
        <v>0</v>
      </c>
      <c r="Z69" t="s">
        <v>2053</v>
      </c>
    </row>
    <row r="70" spans="1:26" x14ac:dyDescent="0.35">
      <c r="A70" t="s">
        <v>1559</v>
      </c>
      <c r="B70" t="s">
        <v>2277</v>
      </c>
      <c r="C70" t="s">
        <v>2273</v>
      </c>
      <c r="D70" t="s">
        <v>1963</v>
      </c>
      <c r="E70" t="s">
        <v>2020</v>
      </c>
      <c r="F70" t="s">
        <v>2021</v>
      </c>
      <c r="G70" t="s">
        <v>2022</v>
      </c>
      <c r="H70" t="s">
        <v>2023</v>
      </c>
      <c r="I70" t="s">
        <v>1426</v>
      </c>
      <c r="J70" t="s">
        <v>1963</v>
      </c>
      <c r="K70" t="s">
        <v>2278</v>
      </c>
      <c r="L70" t="s">
        <v>2046</v>
      </c>
      <c r="M70" t="s">
        <v>2058</v>
      </c>
      <c r="N70" t="s">
        <v>2059</v>
      </c>
      <c r="O70" t="s">
        <v>2060</v>
      </c>
      <c r="P70" t="s">
        <v>2061</v>
      </c>
      <c r="Q70" t="s">
        <v>2062</v>
      </c>
      <c r="R70" t="s">
        <v>14</v>
      </c>
      <c r="S70" t="s">
        <v>2063</v>
      </c>
      <c r="T70" t="s">
        <v>2064</v>
      </c>
      <c r="U70" t="s">
        <v>2052</v>
      </c>
      <c r="V70" t="s">
        <v>14</v>
      </c>
      <c r="W70" t="b">
        <v>1</v>
      </c>
      <c r="X70" t="s">
        <v>1560</v>
      </c>
      <c r="Y70" t="b">
        <v>0</v>
      </c>
      <c r="Z70" t="s">
        <v>2053</v>
      </c>
    </row>
    <row r="71" spans="1:26" x14ac:dyDescent="0.35">
      <c r="A71" t="s">
        <v>1561</v>
      </c>
      <c r="B71" t="s">
        <v>2279</v>
      </c>
      <c r="C71" t="s">
        <v>2273</v>
      </c>
      <c r="D71" t="s">
        <v>1963</v>
      </c>
      <c r="E71" t="s">
        <v>2020</v>
      </c>
      <c r="F71" t="s">
        <v>2021</v>
      </c>
      <c r="G71" t="s">
        <v>2022</v>
      </c>
      <c r="H71" t="s">
        <v>2023</v>
      </c>
      <c r="I71" t="s">
        <v>1426</v>
      </c>
      <c r="J71" t="s">
        <v>1963</v>
      </c>
      <c r="K71" t="s">
        <v>2280</v>
      </c>
      <c r="L71" t="s">
        <v>2046</v>
      </c>
      <c r="M71" t="s">
        <v>2058</v>
      </c>
      <c r="N71" t="s">
        <v>2059</v>
      </c>
      <c r="O71" t="s">
        <v>2060</v>
      </c>
      <c r="P71" t="s">
        <v>2061</v>
      </c>
      <c r="Q71" t="s">
        <v>2062</v>
      </c>
      <c r="R71" t="s">
        <v>14</v>
      </c>
      <c r="S71" t="s">
        <v>2063</v>
      </c>
      <c r="T71" t="s">
        <v>2064</v>
      </c>
      <c r="U71" t="s">
        <v>2052</v>
      </c>
      <c r="V71" t="s">
        <v>14</v>
      </c>
      <c r="W71" t="b">
        <v>1</v>
      </c>
      <c r="X71" t="s">
        <v>1562</v>
      </c>
      <c r="Y71" t="b">
        <v>0</v>
      </c>
      <c r="Z71" t="s">
        <v>2053</v>
      </c>
    </row>
    <row r="72" spans="1:26" x14ac:dyDescent="0.35">
      <c r="A72" t="s">
        <v>2281</v>
      </c>
      <c r="B72" t="s">
        <v>2282</v>
      </c>
      <c r="C72" t="s">
        <v>2283</v>
      </c>
      <c r="D72" t="s">
        <v>1963</v>
      </c>
      <c r="E72" t="s">
        <v>2020</v>
      </c>
      <c r="F72" t="s">
        <v>2021</v>
      </c>
      <c r="G72" t="s">
        <v>2022</v>
      </c>
      <c r="H72" t="s">
        <v>2023</v>
      </c>
      <c r="I72" t="s">
        <v>2197</v>
      </c>
      <c r="J72" t="s">
        <v>1963</v>
      </c>
      <c r="K72" t="s">
        <v>2284</v>
      </c>
      <c r="L72" t="s">
        <v>2046</v>
      </c>
      <c r="M72" t="s">
        <v>2120</v>
      </c>
      <c r="N72" t="s">
        <v>2121</v>
      </c>
      <c r="O72" t="s">
        <v>2060</v>
      </c>
      <c r="P72" t="s">
        <v>2061</v>
      </c>
      <c r="Q72" t="s">
        <v>2122</v>
      </c>
      <c r="R72" t="s">
        <v>14</v>
      </c>
      <c r="S72" t="s">
        <v>2123</v>
      </c>
      <c r="T72" t="s">
        <v>2124</v>
      </c>
      <c r="U72" t="s">
        <v>2052</v>
      </c>
      <c r="V72" t="s">
        <v>14</v>
      </c>
      <c r="W72" t="b">
        <v>1</v>
      </c>
      <c r="X72" t="s">
        <v>2285</v>
      </c>
      <c r="Y72" t="b">
        <v>0</v>
      </c>
      <c r="Z72" t="s">
        <v>2032</v>
      </c>
    </row>
    <row r="73" spans="1:26" x14ac:dyDescent="0.35">
      <c r="A73" t="s">
        <v>2281</v>
      </c>
      <c r="B73" t="s">
        <v>2282</v>
      </c>
      <c r="C73" t="s">
        <v>2283</v>
      </c>
      <c r="D73" t="s">
        <v>1963</v>
      </c>
      <c r="E73" t="s">
        <v>2020</v>
      </c>
      <c r="F73" t="s">
        <v>2021</v>
      </c>
      <c r="G73" t="s">
        <v>2022</v>
      </c>
      <c r="H73" t="s">
        <v>2023</v>
      </c>
      <c r="I73" t="s">
        <v>2199</v>
      </c>
      <c r="J73" t="s">
        <v>1963</v>
      </c>
      <c r="K73" t="s">
        <v>2284</v>
      </c>
      <c r="L73" t="s">
        <v>2046</v>
      </c>
      <c r="M73" t="s">
        <v>2120</v>
      </c>
      <c r="N73" t="s">
        <v>2121</v>
      </c>
      <c r="O73" t="s">
        <v>2060</v>
      </c>
      <c r="P73" t="s">
        <v>2061</v>
      </c>
      <c r="Q73" t="s">
        <v>2122</v>
      </c>
      <c r="R73" t="s">
        <v>14</v>
      </c>
      <c r="S73" t="s">
        <v>2200</v>
      </c>
      <c r="T73" t="s">
        <v>2201</v>
      </c>
      <c r="U73" t="s">
        <v>2052</v>
      </c>
      <c r="V73" t="s">
        <v>14</v>
      </c>
      <c r="W73" t="b">
        <v>1</v>
      </c>
      <c r="X73" t="s">
        <v>2285</v>
      </c>
      <c r="Y73" t="b">
        <v>0</v>
      </c>
      <c r="Z73" t="s">
        <v>2053</v>
      </c>
    </row>
    <row r="74" spans="1:26" x14ac:dyDescent="0.35">
      <c r="A74" t="s">
        <v>1563</v>
      </c>
      <c r="B74" t="s">
        <v>2286</v>
      </c>
      <c r="C74" t="s">
        <v>2283</v>
      </c>
      <c r="D74" t="s">
        <v>1963</v>
      </c>
      <c r="E74" t="s">
        <v>2020</v>
      </c>
      <c r="F74" t="s">
        <v>2021</v>
      </c>
      <c r="G74" t="s">
        <v>2022</v>
      </c>
      <c r="H74" t="s">
        <v>2023</v>
      </c>
      <c r="I74" t="s">
        <v>2225</v>
      </c>
      <c r="J74" t="s">
        <v>1963</v>
      </c>
      <c r="K74" t="s">
        <v>2287</v>
      </c>
      <c r="L74" t="s">
        <v>2046</v>
      </c>
      <c r="M74" t="s">
        <v>2226</v>
      </c>
      <c r="N74" t="s">
        <v>2227</v>
      </c>
      <c r="O74" t="s">
        <v>2205</v>
      </c>
      <c r="P74" t="s">
        <v>2206</v>
      </c>
      <c r="Q74" t="s">
        <v>14</v>
      </c>
      <c r="R74" t="s">
        <v>14</v>
      </c>
      <c r="S74" t="s">
        <v>14</v>
      </c>
      <c r="T74" t="s">
        <v>14</v>
      </c>
      <c r="U74" t="s">
        <v>2052</v>
      </c>
      <c r="V74" t="s">
        <v>14</v>
      </c>
      <c r="W74" t="b">
        <v>1</v>
      </c>
      <c r="X74" t="s">
        <v>1564</v>
      </c>
      <c r="Y74" t="b">
        <v>0</v>
      </c>
      <c r="Z74" t="s">
        <v>2053</v>
      </c>
    </row>
    <row r="75" spans="1:26" x14ac:dyDescent="0.35">
      <c r="A75" t="s">
        <v>1563</v>
      </c>
      <c r="B75" t="s">
        <v>2286</v>
      </c>
      <c r="C75" t="s">
        <v>2283</v>
      </c>
      <c r="D75" t="s">
        <v>1963</v>
      </c>
      <c r="E75" t="s">
        <v>2020</v>
      </c>
      <c r="F75" t="s">
        <v>2021</v>
      </c>
      <c r="G75" t="s">
        <v>2022</v>
      </c>
      <c r="H75" t="s">
        <v>2023</v>
      </c>
      <c r="I75" t="s">
        <v>2288</v>
      </c>
      <c r="J75" t="s">
        <v>1963</v>
      </c>
      <c r="K75" t="s">
        <v>2287</v>
      </c>
      <c r="L75" t="s">
        <v>2046</v>
      </c>
      <c r="M75" t="s">
        <v>2120</v>
      </c>
      <c r="N75" t="s">
        <v>2121</v>
      </c>
      <c r="O75" t="s">
        <v>2060</v>
      </c>
      <c r="P75" t="s">
        <v>2061</v>
      </c>
      <c r="Q75" t="s">
        <v>2122</v>
      </c>
      <c r="R75" t="s">
        <v>14</v>
      </c>
      <c r="S75" t="s">
        <v>2123</v>
      </c>
      <c r="T75" t="s">
        <v>2124</v>
      </c>
      <c r="U75" t="s">
        <v>2052</v>
      </c>
      <c r="V75" t="s">
        <v>14</v>
      </c>
      <c r="W75" t="b">
        <v>1</v>
      </c>
      <c r="X75" t="s">
        <v>1564</v>
      </c>
      <c r="Y75" t="b">
        <v>0</v>
      </c>
      <c r="Z75" t="s">
        <v>2053</v>
      </c>
    </row>
    <row r="76" spans="1:26" x14ac:dyDescent="0.35">
      <c r="A76" t="s">
        <v>1563</v>
      </c>
      <c r="B76" t="s">
        <v>2286</v>
      </c>
      <c r="C76" t="s">
        <v>2283</v>
      </c>
      <c r="D76" t="s">
        <v>1963</v>
      </c>
      <c r="E76" t="s">
        <v>2020</v>
      </c>
      <c r="F76" t="s">
        <v>2021</v>
      </c>
      <c r="G76" t="s">
        <v>2022</v>
      </c>
      <c r="H76" t="s">
        <v>2023</v>
      </c>
      <c r="I76" t="s">
        <v>2289</v>
      </c>
      <c r="J76" t="s">
        <v>1963</v>
      </c>
      <c r="K76" t="s">
        <v>2287</v>
      </c>
      <c r="L76" t="s">
        <v>2046</v>
      </c>
      <c r="M76" t="s">
        <v>2290</v>
      </c>
      <c r="N76" t="s">
        <v>2291</v>
      </c>
      <c r="O76" t="s">
        <v>2292</v>
      </c>
      <c r="P76" t="s">
        <v>2293</v>
      </c>
      <c r="Q76" t="s">
        <v>14</v>
      </c>
      <c r="R76" t="s">
        <v>14</v>
      </c>
      <c r="S76" t="s">
        <v>14</v>
      </c>
      <c r="T76" t="s">
        <v>14</v>
      </c>
      <c r="U76" t="s">
        <v>2052</v>
      </c>
      <c r="V76" t="s">
        <v>14</v>
      </c>
      <c r="W76" t="b">
        <v>1</v>
      </c>
      <c r="X76" t="s">
        <v>1564</v>
      </c>
      <c r="Y76" t="b">
        <v>0</v>
      </c>
      <c r="Z76" t="s">
        <v>2053</v>
      </c>
    </row>
    <row r="77" spans="1:26" x14ac:dyDescent="0.35">
      <c r="A77" t="s">
        <v>1563</v>
      </c>
      <c r="B77" t="s">
        <v>2286</v>
      </c>
      <c r="C77" t="s">
        <v>2283</v>
      </c>
      <c r="D77" t="s">
        <v>1963</v>
      </c>
      <c r="E77" t="s">
        <v>2020</v>
      </c>
      <c r="F77" t="s">
        <v>2021</v>
      </c>
      <c r="G77" t="s">
        <v>2022</v>
      </c>
      <c r="H77" t="s">
        <v>2023</v>
      </c>
      <c r="I77" t="s">
        <v>2238</v>
      </c>
      <c r="J77" t="s">
        <v>1963</v>
      </c>
      <c r="K77" t="s">
        <v>2287</v>
      </c>
      <c r="L77" t="s">
        <v>2046</v>
      </c>
      <c r="M77" t="s">
        <v>2205</v>
      </c>
      <c r="N77" t="s">
        <v>2206</v>
      </c>
      <c r="O77" t="s">
        <v>2205</v>
      </c>
      <c r="P77" t="s">
        <v>2206</v>
      </c>
      <c r="Q77" t="s">
        <v>14</v>
      </c>
      <c r="R77" t="s">
        <v>14</v>
      </c>
      <c r="S77" t="s">
        <v>14</v>
      </c>
      <c r="T77" t="s">
        <v>14</v>
      </c>
      <c r="U77" t="s">
        <v>2052</v>
      </c>
      <c r="V77" t="s">
        <v>14</v>
      </c>
      <c r="W77" t="b">
        <v>1</v>
      </c>
      <c r="X77" t="s">
        <v>1564</v>
      </c>
      <c r="Y77" t="b">
        <v>0</v>
      </c>
      <c r="Z77" t="s">
        <v>2053</v>
      </c>
    </row>
    <row r="78" spans="1:26" x14ac:dyDescent="0.35">
      <c r="A78" t="s">
        <v>1563</v>
      </c>
      <c r="B78" t="s">
        <v>2286</v>
      </c>
      <c r="C78" t="s">
        <v>2283</v>
      </c>
      <c r="D78" t="s">
        <v>1963</v>
      </c>
      <c r="E78" t="s">
        <v>2020</v>
      </c>
      <c r="F78" t="s">
        <v>2021</v>
      </c>
      <c r="G78" t="s">
        <v>2022</v>
      </c>
      <c r="H78" t="s">
        <v>2023</v>
      </c>
      <c r="I78" t="s">
        <v>2294</v>
      </c>
      <c r="J78" t="s">
        <v>1963</v>
      </c>
      <c r="K78" t="s">
        <v>2287</v>
      </c>
      <c r="L78" t="s">
        <v>2046</v>
      </c>
      <c r="M78" t="s">
        <v>2243</v>
      </c>
      <c r="N78" t="s">
        <v>2244</v>
      </c>
      <c r="O78" t="s">
        <v>2214</v>
      </c>
      <c r="P78" t="s">
        <v>2215</v>
      </c>
      <c r="Q78" t="s">
        <v>2295</v>
      </c>
      <c r="R78" t="s">
        <v>14</v>
      </c>
      <c r="S78" t="s">
        <v>2296</v>
      </c>
      <c r="T78" t="s">
        <v>2297</v>
      </c>
      <c r="U78" t="s">
        <v>2052</v>
      </c>
      <c r="V78" t="s">
        <v>14</v>
      </c>
      <c r="W78" t="b">
        <v>1</v>
      </c>
      <c r="X78" t="s">
        <v>1564</v>
      </c>
      <c r="Y78" t="b">
        <v>0</v>
      </c>
      <c r="Z78" t="s">
        <v>2053</v>
      </c>
    </row>
    <row r="79" spans="1:26" x14ac:dyDescent="0.35">
      <c r="A79" t="s">
        <v>1563</v>
      </c>
      <c r="B79" t="s">
        <v>2286</v>
      </c>
      <c r="C79" t="s">
        <v>2283</v>
      </c>
      <c r="D79" t="s">
        <v>1963</v>
      </c>
      <c r="E79" t="s">
        <v>2020</v>
      </c>
      <c r="F79" t="s">
        <v>2021</v>
      </c>
      <c r="G79" t="s">
        <v>2022</v>
      </c>
      <c r="H79" t="s">
        <v>2023</v>
      </c>
      <c r="I79" t="s">
        <v>2298</v>
      </c>
      <c r="J79" t="s">
        <v>1963</v>
      </c>
      <c r="K79" t="s">
        <v>2287</v>
      </c>
      <c r="L79" t="s">
        <v>2046</v>
      </c>
      <c r="M79" t="s">
        <v>2292</v>
      </c>
      <c r="N79" t="s">
        <v>2293</v>
      </c>
      <c r="O79" t="s">
        <v>2047</v>
      </c>
      <c r="P79" t="s">
        <v>2048</v>
      </c>
      <c r="Q79" t="s">
        <v>14</v>
      </c>
      <c r="R79" t="s">
        <v>14</v>
      </c>
      <c r="S79" t="s">
        <v>14</v>
      </c>
      <c r="T79" t="s">
        <v>14</v>
      </c>
      <c r="U79" t="s">
        <v>2052</v>
      </c>
      <c r="V79" t="s">
        <v>14</v>
      </c>
      <c r="W79" t="b">
        <v>1</v>
      </c>
      <c r="X79" t="s">
        <v>1564</v>
      </c>
      <c r="Y79" t="b">
        <v>0</v>
      </c>
      <c r="Z79" t="s">
        <v>2053</v>
      </c>
    </row>
    <row r="80" spans="1:26" x14ac:dyDescent="0.35">
      <c r="A80" t="s">
        <v>1563</v>
      </c>
      <c r="B80" t="s">
        <v>2286</v>
      </c>
      <c r="C80" t="s">
        <v>2283</v>
      </c>
      <c r="D80" t="s">
        <v>1963</v>
      </c>
      <c r="E80" t="s">
        <v>2020</v>
      </c>
      <c r="F80" t="s">
        <v>2021</v>
      </c>
      <c r="G80" t="s">
        <v>2022</v>
      </c>
      <c r="H80" t="s">
        <v>2023</v>
      </c>
      <c r="I80" t="s">
        <v>2299</v>
      </c>
      <c r="J80" t="s">
        <v>1963</v>
      </c>
      <c r="K80" t="s">
        <v>2287</v>
      </c>
      <c r="L80" t="s">
        <v>2046</v>
      </c>
      <c r="M80" t="s">
        <v>2300</v>
      </c>
      <c r="N80" t="s">
        <v>2301</v>
      </c>
      <c r="O80" t="s">
        <v>2292</v>
      </c>
      <c r="P80" t="s">
        <v>2293</v>
      </c>
      <c r="Q80" t="s">
        <v>14</v>
      </c>
      <c r="R80" t="s">
        <v>14</v>
      </c>
      <c r="S80" t="s">
        <v>14</v>
      </c>
      <c r="T80" t="s">
        <v>14</v>
      </c>
      <c r="U80" t="s">
        <v>2052</v>
      </c>
      <c r="V80" t="s">
        <v>14</v>
      </c>
      <c r="W80" t="b">
        <v>1</v>
      </c>
      <c r="X80" t="s">
        <v>1564</v>
      </c>
      <c r="Y80" t="b">
        <v>0</v>
      </c>
      <c r="Z80" t="s">
        <v>2053</v>
      </c>
    </row>
    <row r="81" spans="1:26" x14ac:dyDescent="0.35">
      <c r="A81" t="s">
        <v>1563</v>
      </c>
      <c r="B81" t="s">
        <v>2286</v>
      </c>
      <c r="C81" t="s">
        <v>2283</v>
      </c>
      <c r="D81" t="s">
        <v>1963</v>
      </c>
      <c r="E81" t="s">
        <v>2020</v>
      </c>
      <c r="F81" t="s">
        <v>2021</v>
      </c>
      <c r="G81" t="s">
        <v>2022</v>
      </c>
      <c r="H81" t="s">
        <v>2023</v>
      </c>
      <c r="I81" t="s">
        <v>2302</v>
      </c>
      <c r="J81" t="s">
        <v>1963</v>
      </c>
      <c r="K81" t="s">
        <v>2287</v>
      </c>
      <c r="L81" t="s">
        <v>2046</v>
      </c>
      <c r="M81" t="s">
        <v>2214</v>
      </c>
      <c r="N81" t="s">
        <v>2215</v>
      </c>
      <c r="O81" t="s">
        <v>2214</v>
      </c>
      <c r="P81" t="s">
        <v>2215</v>
      </c>
      <c r="Q81" t="s">
        <v>14</v>
      </c>
      <c r="R81" t="s">
        <v>14</v>
      </c>
      <c r="S81" t="s">
        <v>14</v>
      </c>
      <c r="T81" t="s">
        <v>14</v>
      </c>
      <c r="U81" t="s">
        <v>2052</v>
      </c>
      <c r="V81" t="s">
        <v>14</v>
      </c>
      <c r="W81" t="b">
        <v>1</v>
      </c>
      <c r="X81" t="s">
        <v>1564</v>
      </c>
      <c r="Y81" t="b">
        <v>0</v>
      </c>
      <c r="Z81" t="s">
        <v>2053</v>
      </c>
    </row>
    <row r="82" spans="1:26" x14ac:dyDescent="0.35">
      <c r="A82" t="s">
        <v>1563</v>
      </c>
      <c r="B82" t="s">
        <v>2286</v>
      </c>
      <c r="C82" t="s">
        <v>2283</v>
      </c>
      <c r="D82" t="s">
        <v>1963</v>
      </c>
      <c r="E82" t="s">
        <v>2020</v>
      </c>
      <c r="F82" t="s">
        <v>2021</v>
      </c>
      <c r="G82" t="s">
        <v>2022</v>
      </c>
      <c r="H82" t="s">
        <v>2023</v>
      </c>
      <c r="I82" t="s">
        <v>2303</v>
      </c>
      <c r="J82" t="s">
        <v>1963</v>
      </c>
      <c r="K82" t="s">
        <v>2287</v>
      </c>
      <c r="L82" t="s">
        <v>2046</v>
      </c>
      <c r="M82" t="s">
        <v>2120</v>
      </c>
      <c r="N82" t="s">
        <v>2121</v>
      </c>
      <c r="O82" t="s">
        <v>2060</v>
      </c>
      <c r="P82" t="s">
        <v>2061</v>
      </c>
      <c r="Q82" t="s">
        <v>14</v>
      </c>
      <c r="R82" t="s">
        <v>14</v>
      </c>
      <c r="S82" t="s">
        <v>14</v>
      </c>
      <c r="T82" t="s">
        <v>14</v>
      </c>
      <c r="U82" t="s">
        <v>2052</v>
      </c>
      <c r="V82" t="s">
        <v>14</v>
      </c>
      <c r="W82" t="b">
        <v>1</v>
      </c>
      <c r="X82" t="s">
        <v>1564</v>
      </c>
      <c r="Y82" t="b">
        <v>0</v>
      </c>
      <c r="Z82" t="s">
        <v>2053</v>
      </c>
    </row>
    <row r="83" spans="1:26" x14ac:dyDescent="0.35">
      <c r="A83" t="s">
        <v>1563</v>
      </c>
      <c r="B83" t="s">
        <v>2286</v>
      </c>
      <c r="C83" t="s">
        <v>2283</v>
      </c>
      <c r="D83" t="s">
        <v>1963</v>
      </c>
      <c r="E83" t="s">
        <v>2020</v>
      </c>
      <c r="F83" t="s">
        <v>2021</v>
      </c>
      <c r="G83" t="s">
        <v>2022</v>
      </c>
      <c r="H83" t="s">
        <v>2023</v>
      </c>
      <c r="I83" t="s">
        <v>2304</v>
      </c>
      <c r="J83" t="s">
        <v>1963</v>
      </c>
      <c r="K83" t="s">
        <v>2287</v>
      </c>
      <c r="L83" t="s">
        <v>2046</v>
      </c>
      <c r="M83" t="s">
        <v>2120</v>
      </c>
      <c r="N83" t="s">
        <v>2121</v>
      </c>
      <c r="O83" t="s">
        <v>2060</v>
      </c>
      <c r="P83" t="s">
        <v>2061</v>
      </c>
      <c r="Q83" t="s">
        <v>2122</v>
      </c>
      <c r="R83" t="s">
        <v>14</v>
      </c>
      <c r="S83" t="s">
        <v>2123</v>
      </c>
      <c r="T83" t="s">
        <v>2124</v>
      </c>
      <c r="U83" t="s">
        <v>2052</v>
      </c>
      <c r="V83" t="s">
        <v>14</v>
      </c>
      <c r="W83" t="b">
        <v>1</v>
      </c>
      <c r="X83" t="s">
        <v>1564</v>
      </c>
      <c r="Y83" t="b">
        <v>0</v>
      </c>
      <c r="Z83" t="s">
        <v>2053</v>
      </c>
    </row>
    <row r="84" spans="1:26" x14ac:dyDescent="0.35">
      <c r="A84" t="s">
        <v>1563</v>
      </c>
      <c r="B84" t="s">
        <v>2286</v>
      </c>
      <c r="C84" t="s">
        <v>2283</v>
      </c>
      <c r="D84" t="s">
        <v>1963</v>
      </c>
      <c r="E84" t="s">
        <v>2020</v>
      </c>
      <c r="F84" t="s">
        <v>2021</v>
      </c>
      <c r="G84" t="s">
        <v>2022</v>
      </c>
      <c r="H84" t="s">
        <v>2023</v>
      </c>
      <c r="I84" t="s">
        <v>2305</v>
      </c>
      <c r="J84" t="s">
        <v>1963</v>
      </c>
      <c r="K84" t="s">
        <v>2287</v>
      </c>
      <c r="L84" t="s">
        <v>2046</v>
      </c>
      <c r="M84" t="s">
        <v>2120</v>
      </c>
      <c r="N84" t="s">
        <v>2121</v>
      </c>
      <c r="O84" t="s">
        <v>2060</v>
      </c>
      <c r="P84" t="s">
        <v>2061</v>
      </c>
      <c r="Q84" t="s">
        <v>2122</v>
      </c>
      <c r="R84" t="s">
        <v>14</v>
      </c>
      <c r="S84" t="s">
        <v>2123</v>
      </c>
      <c r="T84" t="s">
        <v>2124</v>
      </c>
      <c r="U84" t="s">
        <v>2052</v>
      </c>
      <c r="V84" t="s">
        <v>14</v>
      </c>
      <c r="W84" t="b">
        <v>1</v>
      </c>
      <c r="X84" t="s">
        <v>1564</v>
      </c>
      <c r="Y84" t="b">
        <v>0</v>
      </c>
      <c r="Z84" t="s">
        <v>2053</v>
      </c>
    </row>
    <row r="85" spans="1:26" x14ac:dyDescent="0.35">
      <c r="A85" t="s">
        <v>1563</v>
      </c>
      <c r="B85" t="s">
        <v>2286</v>
      </c>
      <c r="C85" t="s">
        <v>2283</v>
      </c>
      <c r="D85" t="s">
        <v>1963</v>
      </c>
      <c r="E85" t="s">
        <v>2020</v>
      </c>
      <c r="F85" t="s">
        <v>2021</v>
      </c>
      <c r="G85" t="s">
        <v>2022</v>
      </c>
      <c r="H85" t="s">
        <v>2023</v>
      </c>
      <c r="I85" t="s">
        <v>2306</v>
      </c>
      <c r="J85" t="s">
        <v>1963</v>
      </c>
      <c r="K85" t="s">
        <v>2287</v>
      </c>
      <c r="L85" t="s">
        <v>2046</v>
      </c>
      <c r="M85" t="s">
        <v>2243</v>
      </c>
      <c r="N85" t="s">
        <v>2244</v>
      </c>
      <c r="O85" t="s">
        <v>2214</v>
      </c>
      <c r="P85" t="s">
        <v>2215</v>
      </c>
      <c r="Q85" t="s">
        <v>2295</v>
      </c>
      <c r="R85" t="s">
        <v>14</v>
      </c>
      <c r="S85" t="s">
        <v>2307</v>
      </c>
      <c r="T85" t="s">
        <v>2308</v>
      </c>
      <c r="U85" t="s">
        <v>2052</v>
      </c>
      <c r="V85" t="s">
        <v>14</v>
      </c>
      <c r="W85" t="b">
        <v>1</v>
      </c>
      <c r="X85" t="s">
        <v>1564</v>
      </c>
      <c r="Y85" t="b">
        <v>0</v>
      </c>
      <c r="Z85" t="s">
        <v>2053</v>
      </c>
    </row>
    <row r="86" spans="1:26" x14ac:dyDescent="0.35">
      <c r="A86" t="s">
        <v>1563</v>
      </c>
      <c r="B86" t="s">
        <v>2286</v>
      </c>
      <c r="C86" t="s">
        <v>2283</v>
      </c>
      <c r="D86" t="s">
        <v>1963</v>
      </c>
      <c r="E86" t="s">
        <v>2020</v>
      </c>
      <c r="F86" t="s">
        <v>2021</v>
      </c>
      <c r="G86" t="s">
        <v>2022</v>
      </c>
      <c r="H86" t="s">
        <v>2023</v>
      </c>
      <c r="I86" t="s">
        <v>2207</v>
      </c>
      <c r="J86" t="s">
        <v>1963</v>
      </c>
      <c r="K86" t="s">
        <v>2287</v>
      </c>
      <c r="L86" t="s">
        <v>2046</v>
      </c>
      <c r="M86" t="s">
        <v>2205</v>
      </c>
      <c r="N86" t="s">
        <v>2206</v>
      </c>
      <c r="O86" t="s">
        <v>2205</v>
      </c>
      <c r="P86" t="s">
        <v>2206</v>
      </c>
      <c r="Q86" t="s">
        <v>14</v>
      </c>
      <c r="R86" t="s">
        <v>14</v>
      </c>
      <c r="S86" t="s">
        <v>14</v>
      </c>
      <c r="T86" t="s">
        <v>14</v>
      </c>
      <c r="U86" t="s">
        <v>2052</v>
      </c>
      <c r="V86" t="s">
        <v>14</v>
      </c>
      <c r="W86" t="b">
        <v>1</v>
      </c>
      <c r="X86" t="s">
        <v>1564</v>
      </c>
      <c r="Y86" t="b">
        <v>0</v>
      </c>
      <c r="Z86" t="s">
        <v>2053</v>
      </c>
    </row>
    <row r="87" spans="1:26" x14ac:dyDescent="0.35">
      <c r="A87" t="s">
        <v>1563</v>
      </c>
      <c r="B87" t="s">
        <v>2286</v>
      </c>
      <c r="C87" t="s">
        <v>2283</v>
      </c>
      <c r="D87" t="s">
        <v>1963</v>
      </c>
      <c r="E87" t="s">
        <v>2020</v>
      </c>
      <c r="F87" t="s">
        <v>2021</v>
      </c>
      <c r="G87" t="s">
        <v>2022</v>
      </c>
      <c r="H87" t="s">
        <v>2023</v>
      </c>
      <c r="I87" t="s">
        <v>2309</v>
      </c>
      <c r="J87" t="s">
        <v>1963</v>
      </c>
      <c r="K87" t="s">
        <v>2287</v>
      </c>
      <c r="L87" t="s">
        <v>2046</v>
      </c>
      <c r="M87" t="s">
        <v>2047</v>
      </c>
      <c r="N87" t="s">
        <v>2048</v>
      </c>
      <c r="O87" t="s">
        <v>2047</v>
      </c>
      <c r="P87" t="s">
        <v>2048</v>
      </c>
      <c r="Q87" t="s">
        <v>14</v>
      </c>
      <c r="R87" t="s">
        <v>14</v>
      </c>
      <c r="S87" t="s">
        <v>14</v>
      </c>
      <c r="T87" t="s">
        <v>14</v>
      </c>
      <c r="U87" t="s">
        <v>2052</v>
      </c>
      <c r="V87" t="s">
        <v>14</v>
      </c>
      <c r="W87" t="b">
        <v>1</v>
      </c>
      <c r="X87" t="s">
        <v>1564</v>
      </c>
      <c r="Y87" t="b">
        <v>0</v>
      </c>
      <c r="Z87" t="s">
        <v>2053</v>
      </c>
    </row>
    <row r="88" spans="1:26" x14ac:dyDescent="0.35">
      <c r="A88" t="s">
        <v>1565</v>
      </c>
      <c r="B88" t="s">
        <v>2310</v>
      </c>
      <c r="C88" t="s">
        <v>2283</v>
      </c>
      <c r="D88" t="s">
        <v>1963</v>
      </c>
      <c r="E88" t="s">
        <v>2020</v>
      </c>
      <c r="F88" t="s">
        <v>2021</v>
      </c>
      <c r="G88" t="s">
        <v>2022</v>
      </c>
      <c r="H88" t="s">
        <v>2023</v>
      </c>
      <c r="I88" t="s">
        <v>2241</v>
      </c>
      <c r="J88" t="s">
        <v>1963</v>
      </c>
      <c r="K88" t="s">
        <v>2311</v>
      </c>
      <c r="L88" t="s">
        <v>2046</v>
      </c>
      <c r="M88" t="s">
        <v>2243</v>
      </c>
      <c r="N88" t="s">
        <v>2244</v>
      </c>
      <c r="O88" t="s">
        <v>2214</v>
      </c>
      <c r="P88" t="s">
        <v>2215</v>
      </c>
      <c r="Q88" t="s">
        <v>2245</v>
      </c>
      <c r="R88" t="s">
        <v>14</v>
      </c>
      <c r="S88" t="s">
        <v>2205</v>
      </c>
      <c r="T88" t="s">
        <v>2206</v>
      </c>
      <c r="U88" t="s">
        <v>2052</v>
      </c>
      <c r="V88" t="s">
        <v>14</v>
      </c>
      <c r="W88" t="b">
        <v>1</v>
      </c>
      <c r="X88" t="s">
        <v>1566</v>
      </c>
      <c r="Y88" t="b">
        <v>0</v>
      </c>
      <c r="Z88" t="s">
        <v>2053</v>
      </c>
    </row>
    <row r="89" spans="1:26" x14ac:dyDescent="0.35">
      <c r="A89" t="s">
        <v>1567</v>
      </c>
      <c r="B89" t="s">
        <v>2312</v>
      </c>
      <c r="C89" t="s">
        <v>2283</v>
      </c>
      <c r="D89" t="s">
        <v>1963</v>
      </c>
      <c r="E89" t="s">
        <v>2020</v>
      </c>
      <c r="F89" t="s">
        <v>2021</v>
      </c>
      <c r="G89" t="s">
        <v>2022</v>
      </c>
      <c r="H89" t="s">
        <v>2023</v>
      </c>
      <c r="I89" t="s">
        <v>1756</v>
      </c>
      <c r="J89" t="s">
        <v>1963</v>
      </c>
      <c r="K89" t="s">
        <v>2313</v>
      </c>
      <c r="L89" t="s">
        <v>2046</v>
      </c>
      <c r="M89" t="s">
        <v>2250</v>
      </c>
      <c r="N89" t="s">
        <v>2251</v>
      </c>
      <c r="O89" t="s">
        <v>2047</v>
      </c>
      <c r="P89" t="s">
        <v>2048</v>
      </c>
      <c r="Q89" t="s">
        <v>2252</v>
      </c>
      <c r="R89" t="s">
        <v>14</v>
      </c>
      <c r="S89" t="s">
        <v>2253</v>
      </c>
      <c r="T89" t="s">
        <v>2254</v>
      </c>
      <c r="U89" t="s">
        <v>2052</v>
      </c>
      <c r="V89" t="s">
        <v>14</v>
      </c>
      <c r="W89" t="b">
        <v>1</v>
      </c>
      <c r="X89" t="s">
        <v>1568</v>
      </c>
      <c r="Y89" t="b">
        <v>0</v>
      </c>
      <c r="Z89" t="s">
        <v>2081</v>
      </c>
    </row>
    <row r="90" spans="1:26" x14ac:dyDescent="0.35">
      <c r="A90" t="s">
        <v>1567</v>
      </c>
      <c r="B90" t="s">
        <v>2312</v>
      </c>
      <c r="C90" t="s">
        <v>2283</v>
      </c>
      <c r="D90" t="s">
        <v>1963</v>
      </c>
      <c r="E90" t="s">
        <v>2020</v>
      </c>
      <c r="F90" t="s">
        <v>2021</v>
      </c>
      <c r="G90" t="s">
        <v>2022</v>
      </c>
      <c r="H90" t="s">
        <v>2023</v>
      </c>
      <c r="I90" t="s">
        <v>1756</v>
      </c>
      <c r="J90" t="s">
        <v>1963</v>
      </c>
      <c r="K90" t="s">
        <v>2313</v>
      </c>
      <c r="L90" t="s">
        <v>2046</v>
      </c>
      <c r="M90" t="s">
        <v>2250</v>
      </c>
      <c r="N90" t="s">
        <v>2251</v>
      </c>
      <c r="O90" t="s">
        <v>2047</v>
      </c>
      <c r="P90" t="s">
        <v>2048</v>
      </c>
      <c r="Q90" t="s">
        <v>2252</v>
      </c>
      <c r="R90" t="s">
        <v>14</v>
      </c>
      <c r="S90" t="s">
        <v>2253</v>
      </c>
      <c r="T90" t="s">
        <v>2254</v>
      </c>
      <c r="U90" t="s">
        <v>2052</v>
      </c>
      <c r="V90" t="s">
        <v>14</v>
      </c>
      <c r="W90" t="b">
        <v>1</v>
      </c>
      <c r="X90" t="s">
        <v>1568</v>
      </c>
      <c r="Y90" t="b">
        <v>0</v>
      </c>
      <c r="Z90" t="s">
        <v>2081</v>
      </c>
    </row>
    <row r="91" spans="1:26" x14ac:dyDescent="0.35">
      <c r="A91" t="s">
        <v>1569</v>
      </c>
      <c r="B91" t="s">
        <v>2314</v>
      </c>
      <c r="C91" t="s">
        <v>2283</v>
      </c>
      <c r="D91" t="s">
        <v>1963</v>
      </c>
      <c r="E91" t="s">
        <v>2020</v>
      </c>
      <c r="F91" t="s">
        <v>2021</v>
      </c>
      <c r="G91" t="s">
        <v>2022</v>
      </c>
      <c r="H91" t="s">
        <v>2023</v>
      </c>
      <c r="I91" t="s">
        <v>1756</v>
      </c>
      <c r="J91" t="s">
        <v>1963</v>
      </c>
      <c r="K91" t="s">
        <v>2315</v>
      </c>
      <c r="L91" t="s">
        <v>2046</v>
      </c>
      <c r="M91" t="s">
        <v>2250</v>
      </c>
      <c r="N91" t="s">
        <v>2251</v>
      </c>
      <c r="O91" t="s">
        <v>2047</v>
      </c>
      <c r="P91" t="s">
        <v>2048</v>
      </c>
      <c r="Q91" t="s">
        <v>2252</v>
      </c>
      <c r="R91" t="s">
        <v>14</v>
      </c>
      <c r="S91" t="s">
        <v>2253</v>
      </c>
      <c r="T91" t="s">
        <v>2254</v>
      </c>
      <c r="U91" t="s">
        <v>2052</v>
      </c>
      <c r="V91" t="s">
        <v>14</v>
      </c>
      <c r="W91" t="b">
        <v>1</v>
      </c>
      <c r="X91" t="s">
        <v>1570</v>
      </c>
      <c r="Y91" t="b">
        <v>0</v>
      </c>
      <c r="Z91" t="s">
        <v>2081</v>
      </c>
    </row>
    <row r="92" spans="1:26" x14ac:dyDescent="0.35">
      <c r="A92" t="s">
        <v>1569</v>
      </c>
      <c r="B92" t="s">
        <v>2314</v>
      </c>
      <c r="C92" t="s">
        <v>2283</v>
      </c>
      <c r="D92" t="s">
        <v>1963</v>
      </c>
      <c r="E92" t="s">
        <v>2020</v>
      </c>
      <c r="F92" t="s">
        <v>2021</v>
      </c>
      <c r="G92" t="s">
        <v>2022</v>
      </c>
      <c r="H92" t="s">
        <v>2023</v>
      </c>
      <c r="I92" t="s">
        <v>1756</v>
      </c>
      <c r="J92" t="s">
        <v>1963</v>
      </c>
      <c r="K92" t="s">
        <v>2315</v>
      </c>
      <c r="L92" t="s">
        <v>2046</v>
      </c>
      <c r="M92" t="s">
        <v>2250</v>
      </c>
      <c r="N92" t="s">
        <v>2251</v>
      </c>
      <c r="O92" t="s">
        <v>2047</v>
      </c>
      <c r="P92" t="s">
        <v>2048</v>
      </c>
      <c r="Q92" t="s">
        <v>2252</v>
      </c>
      <c r="R92" t="s">
        <v>14</v>
      </c>
      <c r="S92" t="s">
        <v>2253</v>
      </c>
      <c r="T92" t="s">
        <v>2254</v>
      </c>
      <c r="U92" t="s">
        <v>2052</v>
      </c>
      <c r="V92" t="s">
        <v>14</v>
      </c>
      <c r="W92" t="b">
        <v>1</v>
      </c>
      <c r="X92" t="s">
        <v>1570</v>
      </c>
      <c r="Y92" t="b">
        <v>0</v>
      </c>
      <c r="Z92" t="s">
        <v>2081</v>
      </c>
    </row>
    <row r="93" spans="1:26" x14ac:dyDescent="0.35">
      <c r="A93" t="s">
        <v>1571</v>
      </c>
      <c r="B93" t="s">
        <v>2316</v>
      </c>
      <c r="C93" t="s">
        <v>2283</v>
      </c>
      <c r="D93" t="s">
        <v>1963</v>
      </c>
      <c r="E93" t="s">
        <v>2020</v>
      </c>
      <c r="F93" t="s">
        <v>2021</v>
      </c>
      <c r="G93" t="s">
        <v>2022</v>
      </c>
      <c r="H93" t="s">
        <v>2023</v>
      </c>
      <c r="I93" t="s">
        <v>1426</v>
      </c>
      <c r="J93" t="s">
        <v>1963</v>
      </c>
      <c r="K93" t="s">
        <v>2317</v>
      </c>
      <c r="L93" t="s">
        <v>2046</v>
      </c>
      <c r="M93" t="s">
        <v>2058</v>
      </c>
      <c r="N93" t="s">
        <v>2059</v>
      </c>
      <c r="O93" t="s">
        <v>2060</v>
      </c>
      <c r="P93" t="s">
        <v>2061</v>
      </c>
      <c r="Q93" t="s">
        <v>2062</v>
      </c>
      <c r="R93" t="s">
        <v>14</v>
      </c>
      <c r="S93" t="s">
        <v>2063</v>
      </c>
      <c r="T93" t="s">
        <v>2064</v>
      </c>
      <c r="U93" t="s">
        <v>2052</v>
      </c>
      <c r="V93" t="s">
        <v>14</v>
      </c>
      <c r="W93" t="b">
        <v>1</v>
      </c>
      <c r="X93" t="s">
        <v>1572</v>
      </c>
      <c r="Y93" t="b">
        <v>0</v>
      </c>
      <c r="Z93" t="s">
        <v>2053</v>
      </c>
    </row>
    <row r="94" spans="1:26" x14ac:dyDescent="0.35">
      <c r="A94" t="s">
        <v>1573</v>
      </c>
      <c r="B94" t="s">
        <v>2318</v>
      </c>
      <c r="C94" t="s">
        <v>2283</v>
      </c>
      <c r="D94" t="s">
        <v>1963</v>
      </c>
      <c r="E94" t="s">
        <v>2020</v>
      </c>
      <c r="F94" t="s">
        <v>2021</v>
      </c>
      <c r="G94" t="s">
        <v>2022</v>
      </c>
      <c r="H94" t="s">
        <v>2023</v>
      </c>
      <c r="I94" t="s">
        <v>1426</v>
      </c>
      <c r="J94" t="s">
        <v>1963</v>
      </c>
      <c r="K94" t="s">
        <v>2319</v>
      </c>
      <c r="L94" t="s">
        <v>2046</v>
      </c>
      <c r="M94" t="s">
        <v>2058</v>
      </c>
      <c r="N94" t="s">
        <v>2059</v>
      </c>
      <c r="O94" t="s">
        <v>2060</v>
      </c>
      <c r="P94" t="s">
        <v>2061</v>
      </c>
      <c r="Q94" t="s">
        <v>2062</v>
      </c>
      <c r="R94" t="s">
        <v>14</v>
      </c>
      <c r="S94" t="s">
        <v>2063</v>
      </c>
      <c r="T94" t="s">
        <v>2064</v>
      </c>
      <c r="U94" t="s">
        <v>2052</v>
      </c>
      <c r="V94" t="s">
        <v>14</v>
      </c>
      <c r="W94" t="b">
        <v>1</v>
      </c>
      <c r="X94" t="s">
        <v>1574</v>
      </c>
      <c r="Y94" t="b">
        <v>0</v>
      </c>
      <c r="Z94" t="s">
        <v>2053</v>
      </c>
    </row>
    <row r="95" spans="1:26" x14ac:dyDescent="0.35">
      <c r="A95" t="s">
        <v>1575</v>
      </c>
      <c r="B95" t="s">
        <v>2320</v>
      </c>
      <c r="C95" t="s">
        <v>2283</v>
      </c>
      <c r="D95" t="s">
        <v>1963</v>
      </c>
      <c r="E95" t="s">
        <v>2020</v>
      </c>
      <c r="F95" t="s">
        <v>2021</v>
      </c>
      <c r="G95" t="s">
        <v>2022</v>
      </c>
      <c r="H95" t="s">
        <v>2023</v>
      </c>
      <c r="I95" t="s">
        <v>1426</v>
      </c>
      <c r="J95" t="s">
        <v>1963</v>
      </c>
      <c r="K95" t="s">
        <v>2321</v>
      </c>
      <c r="L95" t="s">
        <v>2046</v>
      </c>
      <c r="M95" t="s">
        <v>2058</v>
      </c>
      <c r="N95" t="s">
        <v>2059</v>
      </c>
      <c r="O95" t="s">
        <v>2060</v>
      </c>
      <c r="P95" t="s">
        <v>2061</v>
      </c>
      <c r="Q95" t="s">
        <v>2062</v>
      </c>
      <c r="R95" t="s">
        <v>14</v>
      </c>
      <c r="S95" t="s">
        <v>2063</v>
      </c>
      <c r="T95" t="s">
        <v>2064</v>
      </c>
      <c r="U95" t="s">
        <v>2052</v>
      </c>
      <c r="V95" t="s">
        <v>14</v>
      </c>
      <c r="W95" t="b">
        <v>1</v>
      </c>
      <c r="X95" t="s">
        <v>1576</v>
      </c>
      <c r="Y95" t="b">
        <v>0</v>
      </c>
      <c r="Z95" t="s">
        <v>2053</v>
      </c>
    </row>
    <row r="96" spans="1:26" x14ac:dyDescent="0.35">
      <c r="A96" t="s">
        <v>1577</v>
      </c>
      <c r="B96" t="s">
        <v>2322</v>
      </c>
      <c r="C96" t="s">
        <v>2283</v>
      </c>
      <c r="D96" t="s">
        <v>1963</v>
      </c>
      <c r="E96" t="s">
        <v>2020</v>
      </c>
      <c r="F96" t="s">
        <v>2055</v>
      </c>
      <c r="G96" t="s">
        <v>2056</v>
      </c>
      <c r="H96" t="s">
        <v>2023</v>
      </c>
      <c r="I96" t="s">
        <v>2132</v>
      </c>
      <c r="J96" t="s">
        <v>1963</v>
      </c>
      <c r="K96" t="s">
        <v>2323</v>
      </c>
      <c r="L96" t="s">
        <v>2046</v>
      </c>
      <c r="M96" t="s">
        <v>2058</v>
      </c>
      <c r="N96" t="s">
        <v>2059</v>
      </c>
      <c r="O96" t="s">
        <v>2060</v>
      </c>
      <c r="P96" t="s">
        <v>2061</v>
      </c>
      <c r="Q96" t="s">
        <v>2062</v>
      </c>
      <c r="R96" t="s">
        <v>14</v>
      </c>
      <c r="S96" t="s">
        <v>2134</v>
      </c>
      <c r="T96" t="s">
        <v>2135</v>
      </c>
      <c r="U96" t="s">
        <v>2052</v>
      </c>
      <c r="V96" t="s">
        <v>14</v>
      </c>
      <c r="W96" t="b">
        <v>1</v>
      </c>
      <c r="X96" t="s">
        <v>1578</v>
      </c>
      <c r="Y96" t="b">
        <v>0</v>
      </c>
      <c r="Z96" t="s">
        <v>2053</v>
      </c>
    </row>
    <row r="97" spans="1:26" x14ac:dyDescent="0.35">
      <c r="A97" t="s">
        <v>1577</v>
      </c>
      <c r="B97" t="s">
        <v>2322</v>
      </c>
      <c r="C97" t="s">
        <v>2283</v>
      </c>
      <c r="D97" t="s">
        <v>1963</v>
      </c>
      <c r="E97" t="s">
        <v>2020</v>
      </c>
      <c r="F97" t="s">
        <v>2055</v>
      </c>
      <c r="G97" t="s">
        <v>2056</v>
      </c>
      <c r="H97" t="s">
        <v>2023</v>
      </c>
      <c r="I97" t="s">
        <v>1426</v>
      </c>
      <c r="J97" t="s">
        <v>1963</v>
      </c>
      <c r="K97" t="s">
        <v>2323</v>
      </c>
      <c r="L97" t="s">
        <v>2046</v>
      </c>
      <c r="M97" t="s">
        <v>2058</v>
      </c>
      <c r="N97" t="s">
        <v>2059</v>
      </c>
      <c r="O97" t="s">
        <v>2060</v>
      </c>
      <c r="P97" t="s">
        <v>2061</v>
      </c>
      <c r="Q97" t="s">
        <v>2062</v>
      </c>
      <c r="R97" t="s">
        <v>14</v>
      </c>
      <c r="S97" t="s">
        <v>2063</v>
      </c>
      <c r="T97" t="s">
        <v>2064</v>
      </c>
      <c r="U97" t="s">
        <v>2052</v>
      </c>
      <c r="V97" t="s">
        <v>14</v>
      </c>
      <c r="W97" t="b">
        <v>1</v>
      </c>
      <c r="X97" t="s">
        <v>1578</v>
      </c>
      <c r="Y97" t="b">
        <v>0</v>
      </c>
      <c r="Z97" t="s">
        <v>2053</v>
      </c>
    </row>
    <row r="98" spans="1:26" x14ac:dyDescent="0.35">
      <c r="A98" t="s">
        <v>1579</v>
      </c>
      <c r="B98" t="s">
        <v>2324</v>
      </c>
      <c r="C98" t="s">
        <v>2283</v>
      </c>
      <c r="D98" t="s">
        <v>1963</v>
      </c>
      <c r="E98" t="s">
        <v>2020</v>
      </c>
      <c r="F98" t="s">
        <v>2055</v>
      </c>
      <c r="G98" t="s">
        <v>2056</v>
      </c>
      <c r="H98" t="s">
        <v>2023</v>
      </c>
      <c r="I98" t="s">
        <v>1426</v>
      </c>
      <c r="J98" t="s">
        <v>1963</v>
      </c>
      <c r="K98" t="s">
        <v>2325</v>
      </c>
      <c r="L98" t="s">
        <v>2046</v>
      </c>
      <c r="M98" t="s">
        <v>2058</v>
      </c>
      <c r="N98" t="s">
        <v>2059</v>
      </c>
      <c r="O98" t="s">
        <v>2060</v>
      </c>
      <c r="P98" t="s">
        <v>2061</v>
      </c>
      <c r="Q98" t="s">
        <v>2062</v>
      </c>
      <c r="R98" t="s">
        <v>14</v>
      </c>
      <c r="S98" t="s">
        <v>2063</v>
      </c>
      <c r="T98" t="s">
        <v>2064</v>
      </c>
      <c r="U98" t="s">
        <v>2052</v>
      </c>
      <c r="V98" t="s">
        <v>14</v>
      </c>
      <c r="W98" t="b">
        <v>1</v>
      </c>
      <c r="X98" t="s">
        <v>1580</v>
      </c>
      <c r="Y98" t="b">
        <v>0</v>
      </c>
      <c r="Z98" t="s">
        <v>2053</v>
      </c>
    </row>
    <row r="99" spans="1:26" x14ac:dyDescent="0.35">
      <c r="A99" t="s">
        <v>1581</v>
      </c>
      <c r="B99" t="s">
        <v>2326</v>
      </c>
      <c r="C99" t="s">
        <v>2283</v>
      </c>
      <c r="D99" t="s">
        <v>1963</v>
      </c>
      <c r="E99" t="s">
        <v>2020</v>
      </c>
      <c r="F99" t="s">
        <v>2055</v>
      </c>
      <c r="G99" t="s">
        <v>2056</v>
      </c>
      <c r="H99" t="s">
        <v>2023</v>
      </c>
      <c r="I99" t="s">
        <v>2327</v>
      </c>
      <c r="J99" t="s">
        <v>1963</v>
      </c>
      <c r="K99" t="s">
        <v>2328</v>
      </c>
      <c r="L99" t="s">
        <v>2046</v>
      </c>
      <c r="M99" t="s">
        <v>2047</v>
      </c>
      <c r="N99" t="s">
        <v>2048</v>
      </c>
      <c r="O99" t="s">
        <v>2047</v>
      </c>
      <c r="P99" t="s">
        <v>2048</v>
      </c>
      <c r="Q99" t="s">
        <v>14</v>
      </c>
      <c r="R99" t="s">
        <v>14</v>
      </c>
      <c r="S99" t="s">
        <v>14</v>
      </c>
      <c r="T99" t="s">
        <v>14</v>
      </c>
      <c r="U99" t="s">
        <v>2052</v>
      </c>
      <c r="V99" t="s">
        <v>14</v>
      </c>
      <c r="W99" t="b">
        <v>1</v>
      </c>
      <c r="X99" t="s">
        <v>1582</v>
      </c>
      <c r="Y99" t="b">
        <v>0</v>
      </c>
      <c r="Z99" t="s">
        <v>2053</v>
      </c>
    </row>
    <row r="100" spans="1:26" x14ac:dyDescent="0.35">
      <c r="A100" t="s">
        <v>1583</v>
      </c>
      <c r="B100" t="s">
        <v>2329</v>
      </c>
      <c r="C100" t="s">
        <v>2283</v>
      </c>
      <c r="D100" t="s">
        <v>1963</v>
      </c>
      <c r="E100" t="s">
        <v>2020</v>
      </c>
      <c r="F100" t="s">
        <v>2021</v>
      </c>
      <c r="G100" t="s">
        <v>2022</v>
      </c>
      <c r="H100" t="s">
        <v>2023</v>
      </c>
      <c r="I100" t="s">
        <v>2306</v>
      </c>
      <c r="J100" t="s">
        <v>1963</v>
      </c>
      <c r="K100" t="s">
        <v>2330</v>
      </c>
      <c r="L100" t="s">
        <v>2046</v>
      </c>
      <c r="M100" t="s">
        <v>2243</v>
      </c>
      <c r="N100" t="s">
        <v>2244</v>
      </c>
      <c r="O100" t="s">
        <v>2214</v>
      </c>
      <c r="P100" t="s">
        <v>2215</v>
      </c>
      <c r="Q100" t="s">
        <v>2295</v>
      </c>
      <c r="R100" t="s">
        <v>14</v>
      </c>
      <c r="S100" t="s">
        <v>2307</v>
      </c>
      <c r="T100" t="s">
        <v>2308</v>
      </c>
      <c r="U100" t="s">
        <v>2052</v>
      </c>
      <c r="V100" t="s">
        <v>14</v>
      </c>
      <c r="W100" t="b">
        <v>1</v>
      </c>
      <c r="X100" t="s">
        <v>1584</v>
      </c>
      <c r="Y100" t="b">
        <v>0</v>
      </c>
      <c r="Z100" t="s">
        <v>2053</v>
      </c>
    </row>
    <row r="101" spans="1:26" x14ac:dyDescent="0.35">
      <c r="A101" t="s">
        <v>1583</v>
      </c>
      <c r="B101" t="s">
        <v>2329</v>
      </c>
      <c r="C101" t="s">
        <v>2283</v>
      </c>
      <c r="D101" t="s">
        <v>1963</v>
      </c>
      <c r="E101" t="s">
        <v>2020</v>
      </c>
      <c r="F101" t="s">
        <v>2021</v>
      </c>
      <c r="G101" t="s">
        <v>2022</v>
      </c>
      <c r="H101" t="s">
        <v>2023</v>
      </c>
      <c r="I101" t="s">
        <v>1829</v>
      </c>
      <c r="J101" t="s">
        <v>1963</v>
      </c>
      <c r="K101" t="s">
        <v>2330</v>
      </c>
      <c r="L101" t="s">
        <v>2046</v>
      </c>
      <c r="M101" t="s">
        <v>14</v>
      </c>
      <c r="N101" t="s">
        <v>14</v>
      </c>
      <c r="O101" t="s">
        <v>2111</v>
      </c>
      <c r="P101" t="s">
        <v>2112</v>
      </c>
      <c r="Q101" t="s">
        <v>14</v>
      </c>
      <c r="R101" t="s">
        <v>14</v>
      </c>
      <c r="S101" t="s">
        <v>14</v>
      </c>
      <c r="T101" t="s">
        <v>14</v>
      </c>
      <c r="U101" t="s">
        <v>2052</v>
      </c>
      <c r="V101" t="s">
        <v>14</v>
      </c>
      <c r="W101" t="b">
        <v>1</v>
      </c>
      <c r="X101" t="s">
        <v>1584</v>
      </c>
      <c r="Y101" t="b">
        <v>0</v>
      </c>
      <c r="Z101" t="s">
        <v>2053</v>
      </c>
    </row>
    <row r="102" spans="1:26" x14ac:dyDescent="0.35">
      <c r="A102" t="s">
        <v>1583</v>
      </c>
      <c r="B102" t="s">
        <v>2329</v>
      </c>
      <c r="C102" t="s">
        <v>2283</v>
      </c>
      <c r="D102" t="s">
        <v>1963</v>
      </c>
      <c r="E102" t="s">
        <v>2020</v>
      </c>
      <c r="F102" t="s">
        <v>2021</v>
      </c>
      <c r="G102" t="s">
        <v>2022</v>
      </c>
      <c r="H102" t="s">
        <v>2023</v>
      </c>
      <c r="I102" t="s">
        <v>2294</v>
      </c>
      <c r="J102" t="s">
        <v>1963</v>
      </c>
      <c r="K102" t="s">
        <v>2330</v>
      </c>
      <c r="L102" t="s">
        <v>2046</v>
      </c>
      <c r="M102" t="s">
        <v>2243</v>
      </c>
      <c r="N102" t="s">
        <v>2244</v>
      </c>
      <c r="O102" t="s">
        <v>2214</v>
      </c>
      <c r="P102" t="s">
        <v>2215</v>
      </c>
      <c r="Q102" t="s">
        <v>2295</v>
      </c>
      <c r="R102" t="s">
        <v>14</v>
      </c>
      <c r="S102" t="s">
        <v>2296</v>
      </c>
      <c r="T102" t="s">
        <v>2297</v>
      </c>
      <c r="U102" t="s">
        <v>2052</v>
      </c>
      <c r="V102" t="s">
        <v>14</v>
      </c>
      <c r="W102" t="b">
        <v>1</v>
      </c>
      <c r="X102" t="s">
        <v>1584</v>
      </c>
      <c r="Y102" t="b">
        <v>0</v>
      </c>
      <c r="Z102" t="s">
        <v>2053</v>
      </c>
    </row>
    <row r="103" spans="1:26" x14ac:dyDescent="0.35">
      <c r="A103" t="s">
        <v>1585</v>
      </c>
      <c r="B103" t="s">
        <v>2331</v>
      </c>
      <c r="C103" t="s">
        <v>2283</v>
      </c>
      <c r="D103" t="s">
        <v>1963</v>
      </c>
      <c r="E103" t="s">
        <v>2020</v>
      </c>
      <c r="F103" t="s">
        <v>2021</v>
      </c>
      <c r="G103" t="s">
        <v>2022</v>
      </c>
      <c r="H103" t="s">
        <v>2023</v>
      </c>
      <c r="I103" t="s">
        <v>2332</v>
      </c>
      <c r="J103" t="s">
        <v>1963</v>
      </c>
      <c r="K103" t="s">
        <v>2333</v>
      </c>
      <c r="L103" t="s">
        <v>2046</v>
      </c>
      <c r="M103" t="s">
        <v>2047</v>
      </c>
      <c r="N103" t="s">
        <v>2048</v>
      </c>
      <c r="O103" t="s">
        <v>2047</v>
      </c>
      <c r="P103" t="s">
        <v>2048</v>
      </c>
      <c r="Q103" t="s">
        <v>14</v>
      </c>
      <c r="R103" t="s">
        <v>14</v>
      </c>
      <c r="S103" t="s">
        <v>14</v>
      </c>
      <c r="T103" t="s">
        <v>14</v>
      </c>
      <c r="U103" t="s">
        <v>2052</v>
      </c>
      <c r="V103" t="s">
        <v>14</v>
      </c>
      <c r="W103" t="b">
        <v>1</v>
      </c>
      <c r="X103" t="s">
        <v>1586</v>
      </c>
      <c r="Y103" t="b">
        <v>0</v>
      </c>
      <c r="Z103" t="s">
        <v>2053</v>
      </c>
    </row>
    <row r="104" spans="1:26" x14ac:dyDescent="0.35">
      <c r="A104" t="s">
        <v>1993</v>
      </c>
      <c r="B104" t="s">
        <v>2334</v>
      </c>
      <c r="C104" t="s">
        <v>2335</v>
      </c>
      <c r="D104" t="s">
        <v>1963</v>
      </c>
      <c r="E104" t="s">
        <v>2020</v>
      </c>
      <c r="F104" t="s">
        <v>2336</v>
      </c>
      <c r="G104" t="s">
        <v>2056</v>
      </c>
      <c r="H104" t="s">
        <v>2023</v>
      </c>
      <c r="I104" t="s">
        <v>41</v>
      </c>
      <c r="J104" t="s">
        <v>1963</v>
      </c>
      <c r="K104" t="s">
        <v>2337</v>
      </c>
      <c r="L104" t="s">
        <v>2025</v>
      </c>
      <c r="M104" t="s">
        <v>2338</v>
      </c>
      <c r="N104" t="s">
        <v>2339</v>
      </c>
      <c r="O104" t="s">
        <v>2340</v>
      </c>
      <c r="P104" t="s">
        <v>2341</v>
      </c>
      <c r="Q104" t="s">
        <v>14</v>
      </c>
      <c r="R104" t="s">
        <v>14</v>
      </c>
      <c r="S104" t="s">
        <v>2342</v>
      </c>
      <c r="T104" t="s">
        <v>2343</v>
      </c>
      <c r="U104" t="s">
        <v>2171</v>
      </c>
      <c r="V104" t="s">
        <v>14</v>
      </c>
      <c r="W104" t="b">
        <v>1</v>
      </c>
      <c r="X104" t="s">
        <v>2344</v>
      </c>
      <c r="Y104" t="b">
        <v>0</v>
      </c>
      <c r="Z104" t="s">
        <v>2032</v>
      </c>
    </row>
    <row r="105" spans="1:26" x14ac:dyDescent="0.35">
      <c r="A105" t="s">
        <v>1904</v>
      </c>
      <c r="B105" t="s">
        <v>2345</v>
      </c>
      <c r="C105" t="s">
        <v>2335</v>
      </c>
      <c r="D105" t="s">
        <v>1963</v>
      </c>
      <c r="E105" t="s">
        <v>2020</v>
      </c>
      <c r="F105" t="s">
        <v>2021</v>
      </c>
      <c r="G105" t="s">
        <v>2022</v>
      </c>
      <c r="H105" t="s">
        <v>2023</v>
      </c>
      <c r="I105" t="s">
        <v>2346</v>
      </c>
      <c r="J105" t="s">
        <v>1963</v>
      </c>
      <c r="K105" t="s">
        <v>2347</v>
      </c>
      <c r="L105" t="s">
        <v>2025</v>
      </c>
      <c r="M105" t="s">
        <v>2348</v>
      </c>
      <c r="N105" t="s">
        <v>2349</v>
      </c>
      <c r="O105" t="s">
        <v>2348</v>
      </c>
      <c r="P105" t="s">
        <v>2349</v>
      </c>
      <c r="Q105" t="s">
        <v>2350</v>
      </c>
      <c r="R105" t="s">
        <v>14</v>
      </c>
      <c r="S105" t="s">
        <v>2351</v>
      </c>
      <c r="T105" t="s">
        <v>2352</v>
      </c>
      <c r="U105" t="s">
        <v>2030</v>
      </c>
      <c r="V105" t="s">
        <v>14</v>
      </c>
      <c r="W105" t="b">
        <v>1</v>
      </c>
      <c r="X105" t="s">
        <v>2353</v>
      </c>
      <c r="Y105" t="b">
        <v>0</v>
      </c>
      <c r="Z105" t="s">
        <v>2053</v>
      </c>
    </row>
    <row r="106" spans="1:26" x14ac:dyDescent="0.35">
      <c r="A106" t="s">
        <v>1905</v>
      </c>
      <c r="B106" t="s">
        <v>2354</v>
      </c>
      <c r="C106" t="s">
        <v>2335</v>
      </c>
      <c r="D106" t="s">
        <v>1963</v>
      </c>
      <c r="E106" t="s">
        <v>2020</v>
      </c>
      <c r="F106" t="s">
        <v>2021</v>
      </c>
      <c r="G106" t="s">
        <v>2022</v>
      </c>
      <c r="H106" t="s">
        <v>2023</v>
      </c>
      <c r="I106" t="s">
        <v>2346</v>
      </c>
      <c r="J106" t="s">
        <v>1963</v>
      </c>
      <c r="K106" t="s">
        <v>2355</v>
      </c>
      <c r="L106" t="s">
        <v>2025</v>
      </c>
      <c r="M106" t="s">
        <v>2348</v>
      </c>
      <c r="N106" t="s">
        <v>2349</v>
      </c>
      <c r="O106" t="s">
        <v>2348</v>
      </c>
      <c r="P106" t="s">
        <v>2349</v>
      </c>
      <c r="Q106" t="s">
        <v>2350</v>
      </c>
      <c r="R106" t="s">
        <v>14</v>
      </c>
      <c r="S106" t="s">
        <v>2351</v>
      </c>
      <c r="T106" t="s">
        <v>2352</v>
      </c>
      <c r="U106" t="s">
        <v>2030</v>
      </c>
      <c r="V106" t="s">
        <v>14</v>
      </c>
      <c r="W106" t="b">
        <v>1</v>
      </c>
      <c r="X106" t="s">
        <v>2356</v>
      </c>
      <c r="Y106" t="b">
        <v>0</v>
      </c>
      <c r="Z106" t="s">
        <v>2053</v>
      </c>
    </row>
    <row r="107" spans="1:26" x14ac:dyDescent="0.35">
      <c r="A107" t="s">
        <v>1907</v>
      </c>
      <c r="B107" t="s">
        <v>2357</v>
      </c>
      <c r="C107" t="s">
        <v>2335</v>
      </c>
      <c r="D107" t="s">
        <v>1963</v>
      </c>
      <c r="E107" t="s">
        <v>2020</v>
      </c>
      <c r="F107" t="s">
        <v>2021</v>
      </c>
      <c r="G107" t="s">
        <v>2022</v>
      </c>
      <c r="H107" t="s">
        <v>2023</v>
      </c>
      <c r="I107" t="s">
        <v>2358</v>
      </c>
      <c r="J107" t="s">
        <v>1963</v>
      </c>
      <c r="K107" t="s">
        <v>2359</v>
      </c>
      <c r="L107" t="s">
        <v>2025</v>
      </c>
      <c r="M107" t="s">
        <v>2360</v>
      </c>
      <c r="N107" t="s">
        <v>2361</v>
      </c>
      <c r="O107" t="s">
        <v>2362</v>
      </c>
      <c r="P107" t="s">
        <v>2363</v>
      </c>
      <c r="Q107" t="s">
        <v>2364</v>
      </c>
      <c r="R107" t="s">
        <v>14</v>
      </c>
      <c r="S107" t="s">
        <v>2365</v>
      </c>
      <c r="T107" t="s">
        <v>2366</v>
      </c>
      <c r="U107" t="s">
        <v>2171</v>
      </c>
      <c r="V107" t="s">
        <v>14</v>
      </c>
      <c r="W107" t="b">
        <v>1</v>
      </c>
      <c r="X107" t="s">
        <v>2367</v>
      </c>
      <c r="Y107" t="b">
        <v>1</v>
      </c>
      <c r="Z107" t="s">
        <v>2032</v>
      </c>
    </row>
    <row r="108" spans="1:26" x14ac:dyDescent="0.35">
      <c r="A108" t="s">
        <v>1908</v>
      </c>
      <c r="B108" t="s">
        <v>2368</v>
      </c>
      <c r="C108" t="s">
        <v>2335</v>
      </c>
      <c r="D108" t="s">
        <v>1963</v>
      </c>
      <c r="E108" t="s">
        <v>2020</v>
      </c>
      <c r="F108" t="s">
        <v>2336</v>
      </c>
      <c r="G108" t="s">
        <v>2056</v>
      </c>
      <c r="H108" t="s">
        <v>2023</v>
      </c>
      <c r="I108" t="s">
        <v>2369</v>
      </c>
      <c r="J108" t="s">
        <v>1963</v>
      </c>
      <c r="K108" t="s">
        <v>2370</v>
      </c>
      <c r="L108" t="s">
        <v>2025</v>
      </c>
      <c r="M108" t="s">
        <v>2371</v>
      </c>
      <c r="N108" t="s">
        <v>2372</v>
      </c>
      <c r="O108" t="s">
        <v>2362</v>
      </c>
      <c r="P108" t="s">
        <v>2363</v>
      </c>
      <c r="Q108" t="s">
        <v>2364</v>
      </c>
      <c r="R108" t="s">
        <v>14</v>
      </c>
      <c r="S108" t="s">
        <v>2365</v>
      </c>
      <c r="T108" t="s">
        <v>2366</v>
      </c>
      <c r="U108" t="s">
        <v>2171</v>
      </c>
      <c r="V108" t="s">
        <v>14</v>
      </c>
      <c r="W108" t="b">
        <v>1</v>
      </c>
      <c r="X108" t="s">
        <v>2373</v>
      </c>
      <c r="Y108" t="b">
        <v>0</v>
      </c>
      <c r="Z108" t="s">
        <v>2032</v>
      </c>
    </row>
    <row r="109" spans="1:26" x14ac:dyDescent="0.35">
      <c r="A109" t="s">
        <v>1909</v>
      </c>
      <c r="B109" t="s">
        <v>2374</v>
      </c>
      <c r="C109" t="s">
        <v>2335</v>
      </c>
      <c r="D109" t="s">
        <v>1963</v>
      </c>
      <c r="E109" t="s">
        <v>2020</v>
      </c>
      <c r="F109" t="s">
        <v>2021</v>
      </c>
      <c r="G109" t="s">
        <v>2022</v>
      </c>
      <c r="H109" t="s">
        <v>2023</v>
      </c>
      <c r="I109" t="s">
        <v>2375</v>
      </c>
      <c r="J109" t="s">
        <v>1963</v>
      </c>
      <c r="K109" t="s">
        <v>2376</v>
      </c>
      <c r="L109" t="s">
        <v>2025</v>
      </c>
      <c r="M109" t="s">
        <v>2377</v>
      </c>
      <c r="N109" t="s">
        <v>2378</v>
      </c>
      <c r="O109" t="s">
        <v>2111</v>
      </c>
      <c r="P109" t="s">
        <v>2112</v>
      </c>
      <c r="Q109" t="s">
        <v>14</v>
      </c>
      <c r="R109" t="s">
        <v>14</v>
      </c>
      <c r="S109" t="s">
        <v>14</v>
      </c>
      <c r="T109" t="s">
        <v>14</v>
      </c>
      <c r="U109" t="s">
        <v>2052</v>
      </c>
      <c r="V109" t="s">
        <v>14</v>
      </c>
      <c r="W109" t="b">
        <v>1</v>
      </c>
      <c r="X109" t="s">
        <v>2379</v>
      </c>
      <c r="Y109" t="b">
        <v>0</v>
      </c>
      <c r="Z109" t="s">
        <v>2053</v>
      </c>
    </row>
    <row r="110" spans="1:26" x14ac:dyDescent="0.35">
      <c r="A110" t="s">
        <v>1910</v>
      </c>
      <c r="B110" t="s">
        <v>2380</v>
      </c>
      <c r="C110" t="s">
        <v>2335</v>
      </c>
      <c r="D110" t="s">
        <v>1963</v>
      </c>
      <c r="E110" t="s">
        <v>2020</v>
      </c>
      <c r="F110" t="s">
        <v>2021</v>
      </c>
      <c r="G110" t="s">
        <v>2022</v>
      </c>
      <c r="H110" t="s">
        <v>2023</v>
      </c>
      <c r="I110" t="s">
        <v>2381</v>
      </c>
      <c r="J110" t="s">
        <v>1963</v>
      </c>
      <c r="K110" t="s">
        <v>2382</v>
      </c>
      <c r="L110" t="s">
        <v>2025</v>
      </c>
      <c r="M110" t="s">
        <v>2383</v>
      </c>
      <c r="N110" t="s">
        <v>2384</v>
      </c>
      <c r="O110" t="s">
        <v>2385</v>
      </c>
      <c r="P110" t="s">
        <v>2386</v>
      </c>
      <c r="Q110" t="s">
        <v>2387</v>
      </c>
      <c r="R110" t="s">
        <v>14</v>
      </c>
      <c r="S110" t="s">
        <v>2388</v>
      </c>
      <c r="T110" t="s">
        <v>2389</v>
      </c>
      <c r="U110" t="s">
        <v>2390</v>
      </c>
      <c r="V110" t="s">
        <v>14</v>
      </c>
      <c r="W110" t="b">
        <v>1</v>
      </c>
      <c r="X110" t="s">
        <v>2391</v>
      </c>
      <c r="Y110" t="b">
        <v>0</v>
      </c>
      <c r="Z110" t="s">
        <v>2032</v>
      </c>
    </row>
    <row r="111" spans="1:26" x14ac:dyDescent="0.35">
      <c r="A111" t="s">
        <v>1911</v>
      </c>
      <c r="B111" t="s">
        <v>2392</v>
      </c>
      <c r="C111" t="s">
        <v>2335</v>
      </c>
      <c r="D111" t="s">
        <v>1963</v>
      </c>
      <c r="E111" t="s">
        <v>2020</v>
      </c>
      <c r="F111" t="s">
        <v>2021</v>
      </c>
      <c r="G111" t="s">
        <v>2022</v>
      </c>
      <c r="H111" t="s">
        <v>2023</v>
      </c>
      <c r="I111" t="s">
        <v>2393</v>
      </c>
      <c r="J111" t="s">
        <v>1963</v>
      </c>
      <c r="K111" t="s">
        <v>2394</v>
      </c>
      <c r="L111" t="s">
        <v>2025</v>
      </c>
      <c r="M111" t="s">
        <v>2047</v>
      </c>
      <c r="N111" t="s">
        <v>2048</v>
      </c>
      <c r="O111" t="s">
        <v>2047</v>
      </c>
      <c r="P111" t="s">
        <v>2048</v>
      </c>
      <c r="Q111" t="s">
        <v>2395</v>
      </c>
      <c r="R111" t="s">
        <v>14</v>
      </c>
      <c r="S111" t="s">
        <v>2069</v>
      </c>
      <c r="T111" t="s">
        <v>2070</v>
      </c>
      <c r="U111" t="s">
        <v>2052</v>
      </c>
      <c r="V111" t="s">
        <v>14</v>
      </c>
      <c r="W111" t="b">
        <v>1</v>
      </c>
      <c r="X111" t="s">
        <v>2396</v>
      </c>
      <c r="Y111" t="b">
        <v>0</v>
      </c>
      <c r="Z111" t="s">
        <v>2081</v>
      </c>
    </row>
    <row r="112" spans="1:26" x14ac:dyDescent="0.35">
      <c r="A112" t="s">
        <v>1912</v>
      </c>
      <c r="B112" t="s">
        <v>2397</v>
      </c>
      <c r="C112" t="s">
        <v>2335</v>
      </c>
      <c r="D112" t="s">
        <v>1963</v>
      </c>
      <c r="E112" t="s">
        <v>2020</v>
      </c>
      <c r="F112" t="s">
        <v>2021</v>
      </c>
      <c r="G112" t="s">
        <v>2022</v>
      </c>
      <c r="H112" t="s">
        <v>2023</v>
      </c>
      <c r="I112" t="s">
        <v>1913</v>
      </c>
      <c r="J112" t="s">
        <v>1963</v>
      </c>
      <c r="K112" t="s">
        <v>2398</v>
      </c>
      <c r="L112" t="s">
        <v>2025</v>
      </c>
      <c r="M112" t="s">
        <v>2399</v>
      </c>
      <c r="N112" t="s">
        <v>2400</v>
      </c>
      <c r="O112" t="s">
        <v>2401</v>
      </c>
      <c r="P112" t="s">
        <v>2402</v>
      </c>
      <c r="Q112" t="s">
        <v>2403</v>
      </c>
      <c r="R112" t="s">
        <v>14</v>
      </c>
      <c r="S112" t="s">
        <v>2404</v>
      </c>
      <c r="T112" t="s">
        <v>2405</v>
      </c>
      <c r="U112" t="s">
        <v>2390</v>
      </c>
      <c r="V112" t="s">
        <v>14</v>
      </c>
      <c r="W112" t="b">
        <v>1</v>
      </c>
      <c r="X112" t="s">
        <v>2406</v>
      </c>
      <c r="Y112" t="b">
        <v>0</v>
      </c>
      <c r="Z112" t="s">
        <v>14</v>
      </c>
    </row>
    <row r="113" spans="1:26" x14ac:dyDescent="0.35">
      <c r="A113" t="s">
        <v>1914</v>
      </c>
      <c r="B113" t="s">
        <v>2407</v>
      </c>
      <c r="C113" t="s">
        <v>2335</v>
      </c>
      <c r="D113" t="s">
        <v>1963</v>
      </c>
      <c r="E113" t="s">
        <v>2020</v>
      </c>
      <c r="F113" t="s">
        <v>2021</v>
      </c>
      <c r="G113" t="s">
        <v>2022</v>
      </c>
      <c r="H113" t="s">
        <v>2023</v>
      </c>
      <c r="I113" t="s">
        <v>1852</v>
      </c>
      <c r="J113" t="s">
        <v>1963</v>
      </c>
      <c r="K113" t="s">
        <v>2408</v>
      </c>
      <c r="L113" t="s">
        <v>2025</v>
      </c>
      <c r="M113" t="s">
        <v>2152</v>
      </c>
      <c r="N113" t="s">
        <v>2153</v>
      </c>
      <c r="O113" t="s">
        <v>2152</v>
      </c>
      <c r="P113" t="s">
        <v>2153</v>
      </c>
      <c r="Q113" t="s">
        <v>14</v>
      </c>
      <c r="R113" t="s">
        <v>14</v>
      </c>
      <c r="S113" t="s">
        <v>14</v>
      </c>
      <c r="T113" t="s">
        <v>14</v>
      </c>
      <c r="U113" t="s">
        <v>2030</v>
      </c>
      <c r="V113" t="s">
        <v>14</v>
      </c>
      <c r="W113" t="b">
        <v>1</v>
      </c>
      <c r="X113" t="s">
        <v>2409</v>
      </c>
      <c r="Y113" t="b">
        <v>0</v>
      </c>
      <c r="Z113" t="s">
        <v>2081</v>
      </c>
    </row>
    <row r="114" spans="1:26" x14ac:dyDescent="0.35">
      <c r="A114" t="s">
        <v>1915</v>
      </c>
      <c r="B114" t="s">
        <v>2410</v>
      </c>
      <c r="C114" t="s">
        <v>2335</v>
      </c>
      <c r="D114" t="s">
        <v>1963</v>
      </c>
      <c r="E114" t="s">
        <v>2020</v>
      </c>
      <c r="F114" t="s">
        <v>2411</v>
      </c>
      <c r="G114" t="s">
        <v>2412</v>
      </c>
      <c r="H114" t="s">
        <v>2023</v>
      </c>
      <c r="I114" t="s">
        <v>1852</v>
      </c>
      <c r="J114" t="s">
        <v>1963</v>
      </c>
      <c r="K114" t="s">
        <v>2413</v>
      </c>
      <c r="L114" t="s">
        <v>2025</v>
      </c>
      <c r="M114" t="s">
        <v>2152</v>
      </c>
      <c r="N114" t="s">
        <v>2153</v>
      </c>
      <c r="O114" t="s">
        <v>2152</v>
      </c>
      <c r="P114" t="s">
        <v>2153</v>
      </c>
      <c r="Q114" t="s">
        <v>14</v>
      </c>
      <c r="R114" t="s">
        <v>14</v>
      </c>
      <c r="S114" t="s">
        <v>14</v>
      </c>
      <c r="T114" t="s">
        <v>14</v>
      </c>
      <c r="U114" t="s">
        <v>2030</v>
      </c>
      <c r="V114" t="s">
        <v>14</v>
      </c>
      <c r="W114" t="b">
        <v>1</v>
      </c>
      <c r="X114" t="s">
        <v>2414</v>
      </c>
      <c r="Y114" t="b">
        <v>0</v>
      </c>
      <c r="Z114" t="s">
        <v>2081</v>
      </c>
    </row>
    <row r="115" spans="1:26" x14ac:dyDescent="0.35">
      <c r="A115" t="s">
        <v>1916</v>
      </c>
      <c r="B115" t="s">
        <v>2415</v>
      </c>
      <c r="C115" t="s">
        <v>2335</v>
      </c>
      <c r="D115" t="s">
        <v>1963</v>
      </c>
      <c r="E115" t="s">
        <v>2020</v>
      </c>
      <c r="F115" t="s">
        <v>2021</v>
      </c>
      <c r="G115" t="s">
        <v>2022</v>
      </c>
      <c r="H115" t="s">
        <v>2023</v>
      </c>
      <c r="I115" t="s">
        <v>1852</v>
      </c>
      <c r="J115" t="s">
        <v>1963</v>
      </c>
      <c r="K115" t="s">
        <v>2416</v>
      </c>
      <c r="L115" t="s">
        <v>14</v>
      </c>
      <c r="M115" t="s">
        <v>2152</v>
      </c>
      <c r="N115" t="s">
        <v>2153</v>
      </c>
      <c r="O115" t="s">
        <v>2152</v>
      </c>
      <c r="P115" t="s">
        <v>2153</v>
      </c>
      <c r="Q115" t="s">
        <v>14</v>
      </c>
      <c r="R115" t="s">
        <v>14</v>
      </c>
      <c r="S115" t="s">
        <v>14</v>
      </c>
      <c r="T115" t="s">
        <v>14</v>
      </c>
      <c r="U115" t="s">
        <v>2030</v>
      </c>
      <c r="V115" t="s">
        <v>14</v>
      </c>
      <c r="W115" t="b">
        <v>1</v>
      </c>
      <c r="X115" t="s">
        <v>2417</v>
      </c>
      <c r="Y115" t="b">
        <v>0</v>
      </c>
      <c r="Z115" t="s">
        <v>2081</v>
      </c>
    </row>
    <row r="116" spans="1:26" x14ac:dyDescent="0.35">
      <c r="A116" t="s">
        <v>1917</v>
      </c>
      <c r="B116" t="s">
        <v>2418</v>
      </c>
      <c r="C116" t="s">
        <v>2335</v>
      </c>
      <c r="D116" t="s">
        <v>1963</v>
      </c>
      <c r="E116" t="s">
        <v>2020</v>
      </c>
      <c r="F116" t="s">
        <v>2021</v>
      </c>
      <c r="G116" t="s">
        <v>2022</v>
      </c>
      <c r="H116" t="s">
        <v>2023</v>
      </c>
      <c r="I116" t="s">
        <v>1852</v>
      </c>
      <c r="J116" t="s">
        <v>1963</v>
      </c>
      <c r="K116" t="s">
        <v>2419</v>
      </c>
      <c r="L116" t="s">
        <v>2025</v>
      </c>
      <c r="M116" t="s">
        <v>2152</v>
      </c>
      <c r="N116" t="s">
        <v>2153</v>
      </c>
      <c r="O116" t="s">
        <v>2152</v>
      </c>
      <c r="P116" t="s">
        <v>2153</v>
      </c>
      <c r="Q116" t="s">
        <v>14</v>
      </c>
      <c r="R116" t="s">
        <v>14</v>
      </c>
      <c r="S116" t="s">
        <v>14</v>
      </c>
      <c r="T116" t="s">
        <v>14</v>
      </c>
      <c r="U116" t="s">
        <v>2030</v>
      </c>
      <c r="V116" t="s">
        <v>14</v>
      </c>
      <c r="W116" t="b">
        <v>1</v>
      </c>
      <c r="X116" t="s">
        <v>2420</v>
      </c>
      <c r="Y116" t="b">
        <v>0</v>
      </c>
      <c r="Z116" t="s">
        <v>2081</v>
      </c>
    </row>
    <row r="117" spans="1:26" x14ac:dyDescent="0.35">
      <c r="A117" t="s">
        <v>1918</v>
      </c>
      <c r="B117" t="s">
        <v>2421</v>
      </c>
      <c r="C117" t="s">
        <v>2335</v>
      </c>
      <c r="D117" t="s">
        <v>1963</v>
      </c>
      <c r="E117" t="s">
        <v>2020</v>
      </c>
      <c r="F117" t="s">
        <v>2021</v>
      </c>
      <c r="G117" t="s">
        <v>2022</v>
      </c>
      <c r="H117" t="s">
        <v>2023</v>
      </c>
      <c r="I117" t="s">
        <v>1852</v>
      </c>
      <c r="J117" t="s">
        <v>1963</v>
      </c>
      <c r="K117" t="s">
        <v>2422</v>
      </c>
      <c r="L117" t="s">
        <v>2025</v>
      </c>
      <c r="M117" t="s">
        <v>2152</v>
      </c>
      <c r="N117" t="s">
        <v>2153</v>
      </c>
      <c r="O117" t="s">
        <v>2152</v>
      </c>
      <c r="P117" t="s">
        <v>2153</v>
      </c>
      <c r="Q117" t="s">
        <v>14</v>
      </c>
      <c r="R117" t="s">
        <v>14</v>
      </c>
      <c r="S117" t="s">
        <v>14</v>
      </c>
      <c r="T117" t="s">
        <v>14</v>
      </c>
      <c r="U117" t="s">
        <v>2030</v>
      </c>
      <c r="V117" t="s">
        <v>14</v>
      </c>
      <c r="W117" t="b">
        <v>1</v>
      </c>
      <c r="X117" t="s">
        <v>2423</v>
      </c>
      <c r="Y117" t="b">
        <v>0</v>
      </c>
      <c r="Z117" t="s">
        <v>2081</v>
      </c>
    </row>
    <row r="118" spans="1:26" x14ac:dyDescent="0.35">
      <c r="A118" t="s">
        <v>1919</v>
      </c>
      <c r="B118" t="s">
        <v>2424</v>
      </c>
      <c r="C118" t="s">
        <v>2335</v>
      </c>
      <c r="D118" t="s">
        <v>1963</v>
      </c>
      <c r="E118" t="s">
        <v>2020</v>
      </c>
      <c r="F118" t="s">
        <v>2021</v>
      </c>
      <c r="G118" t="s">
        <v>2022</v>
      </c>
      <c r="H118" t="s">
        <v>2023</v>
      </c>
      <c r="I118" t="s">
        <v>1852</v>
      </c>
      <c r="J118" t="s">
        <v>1963</v>
      </c>
      <c r="K118" t="s">
        <v>2425</v>
      </c>
      <c r="L118" t="s">
        <v>2025</v>
      </c>
      <c r="M118" t="s">
        <v>2152</v>
      </c>
      <c r="N118" t="s">
        <v>2153</v>
      </c>
      <c r="O118" t="s">
        <v>2152</v>
      </c>
      <c r="P118" t="s">
        <v>2153</v>
      </c>
      <c r="Q118" t="s">
        <v>14</v>
      </c>
      <c r="R118" t="s">
        <v>14</v>
      </c>
      <c r="S118" t="s">
        <v>14</v>
      </c>
      <c r="T118" t="s">
        <v>14</v>
      </c>
      <c r="U118" t="s">
        <v>2030</v>
      </c>
      <c r="V118" t="s">
        <v>14</v>
      </c>
      <c r="W118" t="b">
        <v>1</v>
      </c>
      <c r="X118" t="s">
        <v>2426</v>
      </c>
      <c r="Y118" t="b">
        <v>0</v>
      </c>
      <c r="Z118" t="s">
        <v>2081</v>
      </c>
    </row>
    <row r="119" spans="1:26" x14ac:dyDescent="0.35">
      <c r="A119" t="s">
        <v>1920</v>
      </c>
      <c r="B119" t="s">
        <v>2427</v>
      </c>
      <c r="C119" t="s">
        <v>2335</v>
      </c>
      <c r="D119" t="s">
        <v>1963</v>
      </c>
      <c r="E119" t="s">
        <v>2020</v>
      </c>
      <c r="F119" t="s">
        <v>2021</v>
      </c>
      <c r="G119" t="s">
        <v>2022</v>
      </c>
      <c r="H119" t="s">
        <v>2023</v>
      </c>
      <c r="I119" t="s">
        <v>1852</v>
      </c>
      <c r="J119" t="s">
        <v>1963</v>
      </c>
      <c r="K119" t="s">
        <v>2428</v>
      </c>
      <c r="L119" t="s">
        <v>2025</v>
      </c>
      <c r="M119" t="s">
        <v>2152</v>
      </c>
      <c r="N119" t="s">
        <v>2153</v>
      </c>
      <c r="O119" t="s">
        <v>2152</v>
      </c>
      <c r="P119" t="s">
        <v>2153</v>
      </c>
      <c r="Q119" t="s">
        <v>14</v>
      </c>
      <c r="R119" t="s">
        <v>14</v>
      </c>
      <c r="S119" t="s">
        <v>14</v>
      </c>
      <c r="T119" t="s">
        <v>14</v>
      </c>
      <c r="U119" t="s">
        <v>2030</v>
      </c>
      <c r="V119" t="s">
        <v>14</v>
      </c>
      <c r="W119" t="b">
        <v>1</v>
      </c>
      <c r="X119" t="s">
        <v>2429</v>
      </c>
      <c r="Y119" t="b">
        <v>0</v>
      </c>
      <c r="Z119" t="s">
        <v>2081</v>
      </c>
    </row>
    <row r="120" spans="1:26" x14ac:dyDescent="0.35">
      <c r="A120" t="s">
        <v>1966</v>
      </c>
      <c r="B120" t="s">
        <v>2430</v>
      </c>
      <c r="C120" t="s">
        <v>2335</v>
      </c>
      <c r="D120" t="s">
        <v>1963</v>
      </c>
      <c r="E120" t="s">
        <v>2020</v>
      </c>
      <c r="F120" t="s">
        <v>2336</v>
      </c>
      <c r="G120" t="s">
        <v>2056</v>
      </c>
      <c r="H120" t="s">
        <v>2023</v>
      </c>
      <c r="I120" t="s">
        <v>2431</v>
      </c>
      <c r="J120" t="s">
        <v>1963</v>
      </c>
      <c r="K120" t="s">
        <v>2432</v>
      </c>
      <c r="L120" t="s">
        <v>2025</v>
      </c>
      <c r="M120" t="s">
        <v>2338</v>
      </c>
      <c r="N120" t="s">
        <v>2339</v>
      </c>
      <c r="O120" t="s">
        <v>2340</v>
      </c>
      <c r="P120" t="s">
        <v>2341</v>
      </c>
      <c r="Q120" t="s">
        <v>14</v>
      </c>
      <c r="R120" t="s">
        <v>14</v>
      </c>
      <c r="S120" t="s">
        <v>2342</v>
      </c>
      <c r="T120" t="s">
        <v>2343</v>
      </c>
      <c r="U120" t="s">
        <v>2171</v>
      </c>
      <c r="V120" t="s">
        <v>14</v>
      </c>
      <c r="W120" t="b">
        <v>1</v>
      </c>
      <c r="X120" t="s">
        <v>2433</v>
      </c>
      <c r="Y120" t="b">
        <v>0</v>
      </c>
      <c r="Z120" t="s">
        <v>2032</v>
      </c>
    </row>
    <row r="121" spans="1:26" x14ac:dyDescent="0.35">
      <c r="A121" t="s">
        <v>1967</v>
      </c>
      <c r="B121" t="s">
        <v>2434</v>
      </c>
      <c r="C121" t="s">
        <v>2335</v>
      </c>
      <c r="D121" t="s">
        <v>1963</v>
      </c>
      <c r="E121" t="s">
        <v>2020</v>
      </c>
      <c r="F121" t="s">
        <v>2021</v>
      </c>
      <c r="G121" t="s">
        <v>2022</v>
      </c>
      <c r="H121" t="s">
        <v>2023</v>
      </c>
      <c r="I121" t="s">
        <v>77</v>
      </c>
      <c r="J121" t="s">
        <v>1963</v>
      </c>
      <c r="K121" t="s">
        <v>2435</v>
      </c>
      <c r="L121" t="s">
        <v>2025</v>
      </c>
      <c r="M121" t="s">
        <v>2338</v>
      </c>
      <c r="N121" t="s">
        <v>2339</v>
      </c>
      <c r="O121" t="s">
        <v>2340</v>
      </c>
      <c r="P121" t="s">
        <v>2341</v>
      </c>
      <c r="Q121" t="s">
        <v>14</v>
      </c>
      <c r="R121" t="s">
        <v>14</v>
      </c>
      <c r="S121" t="s">
        <v>2436</v>
      </c>
      <c r="T121" t="s">
        <v>2437</v>
      </c>
      <c r="U121" t="s">
        <v>2171</v>
      </c>
      <c r="V121" t="s">
        <v>14</v>
      </c>
      <c r="W121" t="b">
        <v>1</v>
      </c>
      <c r="X121" t="s">
        <v>2438</v>
      </c>
      <c r="Y121" t="b">
        <v>0</v>
      </c>
      <c r="Z121" t="s">
        <v>2081</v>
      </c>
    </row>
    <row r="122" spans="1:26" x14ac:dyDescent="0.35">
      <c r="A122" t="s">
        <v>1968</v>
      </c>
      <c r="B122" t="s">
        <v>2439</v>
      </c>
      <c r="C122" t="s">
        <v>2335</v>
      </c>
      <c r="D122" t="s">
        <v>1963</v>
      </c>
      <c r="E122" t="s">
        <v>2020</v>
      </c>
      <c r="F122" t="s">
        <v>2021</v>
      </c>
      <c r="G122" t="s">
        <v>2022</v>
      </c>
      <c r="H122" t="s">
        <v>2023</v>
      </c>
      <c r="I122" t="s">
        <v>41</v>
      </c>
      <c r="J122" t="s">
        <v>1963</v>
      </c>
      <c r="K122" t="s">
        <v>2440</v>
      </c>
      <c r="L122" t="s">
        <v>2025</v>
      </c>
      <c r="M122" t="s">
        <v>2338</v>
      </c>
      <c r="N122" t="s">
        <v>2339</v>
      </c>
      <c r="O122" t="s">
        <v>2340</v>
      </c>
      <c r="P122" t="s">
        <v>2341</v>
      </c>
      <c r="Q122" t="s">
        <v>14</v>
      </c>
      <c r="R122" t="s">
        <v>14</v>
      </c>
      <c r="S122" t="s">
        <v>2342</v>
      </c>
      <c r="T122" t="s">
        <v>2343</v>
      </c>
      <c r="U122" t="s">
        <v>2171</v>
      </c>
      <c r="V122" t="s">
        <v>14</v>
      </c>
      <c r="W122" t="b">
        <v>1</v>
      </c>
      <c r="X122" t="s">
        <v>2441</v>
      </c>
      <c r="Y122" t="b">
        <v>0</v>
      </c>
      <c r="Z122" t="s">
        <v>2032</v>
      </c>
    </row>
    <row r="123" spans="1:26" x14ac:dyDescent="0.35">
      <c r="A123" t="s">
        <v>1969</v>
      </c>
      <c r="B123" t="s">
        <v>2442</v>
      </c>
      <c r="C123" t="s">
        <v>2335</v>
      </c>
      <c r="D123" t="s">
        <v>1963</v>
      </c>
      <c r="E123" t="s">
        <v>2020</v>
      </c>
      <c r="F123" t="s">
        <v>2021</v>
      </c>
      <c r="G123" t="s">
        <v>2022</v>
      </c>
      <c r="H123" t="s">
        <v>2023</v>
      </c>
      <c r="I123" t="s">
        <v>2431</v>
      </c>
      <c r="J123" t="s">
        <v>1963</v>
      </c>
      <c r="K123" t="s">
        <v>2443</v>
      </c>
      <c r="L123" t="s">
        <v>2025</v>
      </c>
      <c r="M123" t="s">
        <v>2338</v>
      </c>
      <c r="N123" t="s">
        <v>2339</v>
      </c>
      <c r="O123" t="s">
        <v>2340</v>
      </c>
      <c r="P123" t="s">
        <v>2341</v>
      </c>
      <c r="Q123" t="s">
        <v>14</v>
      </c>
      <c r="R123" t="s">
        <v>14</v>
      </c>
      <c r="S123" t="s">
        <v>2342</v>
      </c>
      <c r="T123" t="s">
        <v>2343</v>
      </c>
      <c r="U123" t="s">
        <v>2171</v>
      </c>
      <c r="V123" t="s">
        <v>14</v>
      </c>
      <c r="W123" t="b">
        <v>1</v>
      </c>
      <c r="X123" t="s">
        <v>2444</v>
      </c>
      <c r="Y123" t="b">
        <v>0</v>
      </c>
      <c r="Z123" t="s">
        <v>2032</v>
      </c>
    </row>
    <row r="124" spans="1:26" x14ac:dyDescent="0.35">
      <c r="A124" t="s">
        <v>1921</v>
      </c>
      <c r="B124" t="s">
        <v>2445</v>
      </c>
      <c r="C124" t="s">
        <v>2335</v>
      </c>
      <c r="D124" t="s">
        <v>1963</v>
      </c>
      <c r="E124" t="s">
        <v>2020</v>
      </c>
      <c r="F124" t="s">
        <v>2021</v>
      </c>
      <c r="G124" t="s">
        <v>2022</v>
      </c>
      <c r="H124" t="s">
        <v>2023</v>
      </c>
      <c r="I124" t="s">
        <v>77</v>
      </c>
      <c r="J124" t="s">
        <v>1963</v>
      </c>
      <c r="K124" t="s">
        <v>2446</v>
      </c>
      <c r="L124" t="s">
        <v>2025</v>
      </c>
      <c r="M124" t="s">
        <v>2338</v>
      </c>
      <c r="N124" t="s">
        <v>2339</v>
      </c>
      <c r="O124" t="s">
        <v>2340</v>
      </c>
      <c r="P124" t="s">
        <v>2341</v>
      </c>
      <c r="Q124" t="s">
        <v>14</v>
      </c>
      <c r="R124" t="s">
        <v>14</v>
      </c>
      <c r="S124" t="s">
        <v>2436</v>
      </c>
      <c r="T124" t="s">
        <v>2437</v>
      </c>
      <c r="U124" t="s">
        <v>2171</v>
      </c>
      <c r="V124" t="s">
        <v>14</v>
      </c>
      <c r="W124" t="b">
        <v>1</v>
      </c>
      <c r="X124" t="s">
        <v>2447</v>
      </c>
      <c r="Y124" t="b">
        <v>0</v>
      </c>
      <c r="Z124" t="s">
        <v>2081</v>
      </c>
    </row>
    <row r="125" spans="1:26" x14ac:dyDescent="0.35">
      <c r="A125" t="s">
        <v>1922</v>
      </c>
      <c r="B125" t="s">
        <v>2448</v>
      </c>
      <c r="C125" t="s">
        <v>2335</v>
      </c>
      <c r="D125" t="s">
        <v>1963</v>
      </c>
      <c r="E125" t="s">
        <v>2020</v>
      </c>
      <c r="F125" t="s">
        <v>2021</v>
      </c>
      <c r="G125" t="s">
        <v>2022</v>
      </c>
      <c r="H125" t="s">
        <v>2023</v>
      </c>
      <c r="I125" t="s">
        <v>2381</v>
      </c>
      <c r="J125" t="s">
        <v>1963</v>
      </c>
      <c r="K125" t="s">
        <v>2449</v>
      </c>
      <c r="L125" t="s">
        <v>14</v>
      </c>
      <c r="M125" t="s">
        <v>2383</v>
      </c>
      <c r="N125" t="s">
        <v>2384</v>
      </c>
      <c r="O125" t="s">
        <v>2385</v>
      </c>
      <c r="P125" t="s">
        <v>2386</v>
      </c>
      <c r="Q125" t="s">
        <v>2387</v>
      </c>
      <c r="R125" t="s">
        <v>14</v>
      </c>
      <c r="S125" t="s">
        <v>2388</v>
      </c>
      <c r="T125" t="s">
        <v>2389</v>
      </c>
      <c r="U125" t="s">
        <v>2390</v>
      </c>
      <c r="V125" t="s">
        <v>14</v>
      </c>
      <c r="W125" t="b">
        <v>1</v>
      </c>
      <c r="X125" t="s">
        <v>2450</v>
      </c>
      <c r="Y125" t="b">
        <v>0</v>
      </c>
      <c r="Z125" t="s">
        <v>2032</v>
      </c>
    </row>
    <row r="126" spans="1:26" x14ac:dyDescent="0.35">
      <c r="A126" t="s">
        <v>1923</v>
      </c>
      <c r="B126" t="s">
        <v>2451</v>
      </c>
      <c r="C126" t="s">
        <v>2335</v>
      </c>
      <c r="D126" t="s">
        <v>1963</v>
      </c>
      <c r="E126" t="s">
        <v>2020</v>
      </c>
      <c r="F126" t="s">
        <v>2021</v>
      </c>
      <c r="G126" t="s">
        <v>2022</v>
      </c>
      <c r="H126" t="s">
        <v>2023</v>
      </c>
      <c r="I126" t="s">
        <v>1995</v>
      </c>
      <c r="J126" t="s">
        <v>1963</v>
      </c>
      <c r="K126" t="s">
        <v>2452</v>
      </c>
      <c r="L126" t="s">
        <v>2025</v>
      </c>
      <c r="M126" t="s">
        <v>2026</v>
      </c>
      <c r="N126" t="s">
        <v>2027</v>
      </c>
      <c r="O126" t="s">
        <v>2028</v>
      </c>
      <c r="P126" t="s">
        <v>2029</v>
      </c>
      <c r="Q126" t="s">
        <v>14</v>
      </c>
      <c r="R126" t="s">
        <v>14</v>
      </c>
      <c r="S126" t="s">
        <v>14</v>
      </c>
      <c r="T126" t="s">
        <v>14</v>
      </c>
      <c r="U126" t="s">
        <v>2030</v>
      </c>
      <c r="V126" t="s">
        <v>14</v>
      </c>
      <c r="W126" t="b">
        <v>1</v>
      </c>
      <c r="X126" t="s">
        <v>2453</v>
      </c>
      <c r="Y126" t="b">
        <v>0</v>
      </c>
      <c r="Z126" t="s">
        <v>2032</v>
      </c>
    </row>
    <row r="127" spans="1:26" x14ac:dyDescent="0.35">
      <c r="A127" t="s">
        <v>1970</v>
      </c>
      <c r="B127" t="s">
        <v>2454</v>
      </c>
      <c r="C127" t="s">
        <v>2335</v>
      </c>
      <c r="D127" t="s">
        <v>1963</v>
      </c>
      <c r="E127" t="s">
        <v>2020</v>
      </c>
      <c r="F127" t="s">
        <v>2021</v>
      </c>
      <c r="G127" t="s">
        <v>2022</v>
      </c>
      <c r="H127" t="s">
        <v>2023</v>
      </c>
      <c r="I127" t="s">
        <v>1995</v>
      </c>
      <c r="J127" t="s">
        <v>1963</v>
      </c>
      <c r="K127" t="s">
        <v>2455</v>
      </c>
      <c r="L127" t="s">
        <v>2025</v>
      </c>
      <c r="M127" t="s">
        <v>2026</v>
      </c>
      <c r="N127" t="s">
        <v>2027</v>
      </c>
      <c r="O127" t="s">
        <v>2028</v>
      </c>
      <c r="P127" t="s">
        <v>2029</v>
      </c>
      <c r="Q127" t="s">
        <v>14</v>
      </c>
      <c r="R127" t="s">
        <v>14</v>
      </c>
      <c r="S127" t="s">
        <v>14</v>
      </c>
      <c r="T127" t="s">
        <v>14</v>
      </c>
      <c r="U127" t="s">
        <v>2030</v>
      </c>
      <c r="V127" t="s">
        <v>14</v>
      </c>
      <c r="W127" t="b">
        <v>1</v>
      </c>
      <c r="X127" t="s">
        <v>2456</v>
      </c>
      <c r="Y127" t="b">
        <v>0</v>
      </c>
      <c r="Z127" t="s">
        <v>2032</v>
      </c>
    </row>
    <row r="128" spans="1:26" x14ac:dyDescent="0.35">
      <c r="A128" t="s">
        <v>1924</v>
      </c>
      <c r="B128" t="s">
        <v>2457</v>
      </c>
      <c r="C128" t="s">
        <v>2335</v>
      </c>
      <c r="D128" t="s">
        <v>1963</v>
      </c>
      <c r="E128" t="s">
        <v>2020</v>
      </c>
      <c r="F128" t="s">
        <v>2021</v>
      </c>
      <c r="G128" t="s">
        <v>2022</v>
      </c>
      <c r="H128" t="s">
        <v>2023</v>
      </c>
      <c r="I128" t="s">
        <v>41</v>
      </c>
      <c r="J128" t="s">
        <v>1963</v>
      </c>
      <c r="K128" t="s">
        <v>2458</v>
      </c>
      <c r="L128" t="s">
        <v>2025</v>
      </c>
      <c r="M128" t="s">
        <v>2338</v>
      </c>
      <c r="N128" t="s">
        <v>2339</v>
      </c>
      <c r="O128" t="s">
        <v>2340</v>
      </c>
      <c r="P128" t="s">
        <v>2341</v>
      </c>
      <c r="Q128" t="s">
        <v>14</v>
      </c>
      <c r="R128" t="s">
        <v>14</v>
      </c>
      <c r="S128" t="s">
        <v>2342</v>
      </c>
      <c r="T128" t="s">
        <v>2343</v>
      </c>
      <c r="U128" t="s">
        <v>2171</v>
      </c>
      <c r="V128" t="s">
        <v>14</v>
      </c>
      <c r="W128" t="b">
        <v>1</v>
      </c>
      <c r="X128" t="s">
        <v>2459</v>
      </c>
      <c r="Y128" t="b">
        <v>0</v>
      </c>
      <c r="Z128" t="s">
        <v>2032</v>
      </c>
    </row>
    <row r="129" spans="1:26" x14ac:dyDescent="0.35">
      <c r="A129" t="s">
        <v>1924</v>
      </c>
      <c r="B129" t="s">
        <v>2457</v>
      </c>
      <c r="C129" t="s">
        <v>2335</v>
      </c>
      <c r="D129" t="s">
        <v>1963</v>
      </c>
      <c r="E129" t="s">
        <v>2020</v>
      </c>
      <c r="F129" t="s">
        <v>2021</v>
      </c>
      <c r="G129" t="s">
        <v>2022</v>
      </c>
      <c r="H129" t="s">
        <v>2023</v>
      </c>
      <c r="I129" t="s">
        <v>2460</v>
      </c>
      <c r="J129" t="s">
        <v>1963</v>
      </c>
      <c r="K129" t="s">
        <v>2458</v>
      </c>
      <c r="L129" t="s">
        <v>2025</v>
      </c>
      <c r="M129" t="s">
        <v>2338</v>
      </c>
      <c r="N129" t="s">
        <v>2339</v>
      </c>
      <c r="O129" t="s">
        <v>2340</v>
      </c>
      <c r="P129" t="s">
        <v>2341</v>
      </c>
      <c r="Q129" t="s">
        <v>14</v>
      </c>
      <c r="R129" t="s">
        <v>14</v>
      </c>
      <c r="S129" t="s">
        <v>2342</v>
      </c>
      <c r="T129" t="s">
        <v>2343</v>
      </c>
      <c r="U129" t="s">
        <v>2171</v>
      </c>
      <c r="V129" t="s">
        <v>14</v>
      </c>
      <c r="W129" t="b">
        <v>1</v>
      </c>
      <c r="X129" t="s">
        <v>2459</v>
      </c>
      <c r="Y129" t="b">
        <v>0</v>
      </c>
      <c r="Z129" t="s">
        <v>2032</v>
      </c>
    </row>
    <row r="130" spans="1:26" x14ac:dyDescent="0.35">
      <c r="A130" t="s">
        <v>1925</v>
      </c>
      <c r="B130" t="s">
        <v>2461</v>
      </c>
      <c r="C130" t="s">
        <v>2335</v>
      </c>
      <c r="D130" t="s">
        <v>1963</v>
      </c>
      <c r="E130" t="s">
        <v>2020</v>
      </c>
      <c r="F130" t="s">
        <v>2021</v>
      </c>
      <c r="G130" t="s">
        <v>2022</v>
      </c>
      <c r="H130" t="s">
        <v>2023</v>
      </c>
      <c r="I130" t="s">
        <v>41</v>
      </c>
      <c r="J130" t="s">
        <v>1963</v>
      </c>
      <c r="K130" t="s">
        <v>2462</v>
      </c>
      <c r="L130" t="s">
        <v>2025</v>
      </c>
      <c r="M130" t="s">
        <v>2338</v>
      </c>
      <c r="N130" t="s">
        <v>2339</v>
      </c>
      <c r="O130" t="s">
        <v>2340</v>
      </c>
      <c r="P130" t="s">
        <v>2341</v>
      </c>
      <c r="Q130" t="s">
        <v>14</v>
      </c>
      <c r="R130" t="s">
        <v>14</v>
      </c>
      <c r="S130" t="s">
        <v>2342</v>
      </c>
      <c r="T130" t="s">
        <v>2343</v>
      </c>
      <c r="U130" t="s">
        <v>2171</v>
      </c>
      <c r="V130" t="s">
        <v>14</v>
      </c>
      <c r="W130" t="b">
        <v>1</v>
      </c>
      <c r="X130" t="s">
        <v>2463</v>
      </c>
      <c r="Y130" t="b">
        <v>0</v>
      </c>
      <c r="Z130" t="s">
        <v>2032</v>
      </c>
    </row>
    <row r="131" spans="1:26" x14ac:dyDescent="0.35">
      <c r="A131" t="s">
        <v>1925</v>
      </c>
      <c r="B131" t="s">
        <v>2461</v>
      </c>
      <c r="C131" t="s">
        <v>2335</v>
      </c>
      <c r="D131" t="s">
        <v>1963</v>
      </c>
      <c r="E131" t="s">
        <v>2020</v>
      </c>
      <c r="F131" t="s">
        <v>2021</v>
      </c>
      <c r="G131" t="s">
        <v>2022</v>
      </c>
      <c r="H131" t="s">
        <v>2023</v>
      </c>
      <c r="I131" t="s">
        <v>2460</v>
      </c>
      <c r="J131" t="s">
        <v>1963</v>
      </c>
      <c r="K131" t="s">
        <v>2462</v>
      </c>
      <c r="L131" t="s">
        <v>2025</v>
      </c>
      <c r="M131" t="s">
        <v>2338</v>
      </c>
      <c r="N131" t="s">
        <v>2339</v>
      </c>
      <c r="O131" t="s">
        <v>2340</v>
      </c>
      <c r="P131" t="s">
        <v>2341</v>
      </c>
      <c r="Q131" t="s">
        <v>14</v>
      </c>
      <c r="R131" t="s">
        <v>14</v>
      </c>
      <c r="S131" t="s">
        <v>2342</v>
      </c>
      <c r="T131" t="s">
        <v>2343</v>
      </c>
      <c r="U131" t="s">
        <v>2171</v>
      </c>
      <c r="V131" t="s">
        <v>14</v>
      </c>
      <c r="W131" t="b">
        <v>1</v>
      </c>
      <c r="X131" t="s">
        <v>2463</v>
      </c>
      <c r="Y131" t="b">
        <v>0</v>
      </c>
      <c r="Z131" t="s">
        <v>2032</v>
      </c>
    </row>
    <row r="132" spans="1:26" x14ac:dyDescent="0.35">
      <c r="A132" t="s">
        <v>1926</v>
      </c>
      <c r="B132" t="s">
        <v>2464</v>
      </c>
      <c r="C132" t="s">
        <v>2335</v>
      </c>
      <c r="D132" t="s">
        <v>1963</v>
      </c>
      <c r="E132" t="s">
        <v>2020</v>
      </c>
      <c r="F132" t="s">
        <v>2021</v>
      </c>
      <c r="G132" t="s">
        <v>2022</v>
      </c>
      <c r="H132" t="s">
        <v>2023</v>
      </c>
      <c r="I132" t="s">
        <v>41</v>
      </c>
      <c r="J132" t="s">
        <v>1963</v>
      </c>
      <c r="K132" t="s">
        <v>2465</v>
      </c>
      <c r="L132" t="s">
        <v>2025</v>
      </c>
      <c r="M132" t="s">
        <v>2338</v>
      </c>
      <c r="N132" t="s">
        <v>2339</v>
      </c>
      <c r="O132" t="s">
        <v>2340</v>
      </c>
      <c r="P132" t="s">
        <v>2341</v>
      </c>
      <c r="Q132" t="s">
        <v>14</v>
      </c>
      <c r="R132" t="s">
        <v>14</v>
      </c>
      <c r="S132" t="s">
        <v>2342</v>
      </c>
      <c r="T132" t="s">
        <v>2343</v>
      </c>
      <c r="U132" t="s">
        <v>2171</v>
      </c>
      <c r="V132" t="s">
        <v>14</v>
      </c>
      <c r="W132" t="b">
        <v>1</v>
      </c>
      <c r="X132" t="s">
        <v>2466</v>
      </c>
      <c r="Y132" t="b">
        <v>0</v>
      </c>
      <c r="Z132" t="s">
        <v>2032</v>
      </c>
    </row>
    <row r="133" spans="1:26" x14ac:dyDescent="0.35">
      <c r="A133" t="s">
        <v>1926</v>
      </c>
      <c r="B133" t="s">
        <v>2464</v>
      </c>
      <c r="C133" t="s">
        <v>2335</v>
      </c>
      <c r="D133" t="s">
        <v>1963</v>
      </c>
      <c r="E133" t="s">
        <v>2020</v>
      </c>
      <c r="F133" t="s">
        <v>2021</v>
      </c>
      <c r="G133" t="s">
        <v>2022</v>
      </c>
      <c r="H133" t="s">
        <v>2023</v>
      </c>
      <c r="I133" t="s">
        <v>2460</v>
      </c>
      <c r="J133" t="s">
        <v>1963</v>
      </c>
      <c r="K133" t="s">
        <v>2465</v>
      </c>
      <c r="L133" t="s">
        <v>2025</v>
      </c>
      <c r="M133" t="s">
        <v>2338</v>
      </c>
      <c r="N133" t="s">
        <v>2339</v>
      </c>
      <c r="O133" t="s">
        <v>2340</v>
      </c>
      <c r="P133" t="s">
        <v>2341</v>
      </c>
      <c r="Q133" t="s">
        <v>14</v>
      </c>
      <c r="R133" t="s">
        <v>14</v>
      </c>
      <c r="S133" t="s">
        <v>2342</v>
      </c>
      <c r="T133" t="s">
        <v>2343</v>
      </c>
      <c r="U133" t="s">
        <v>2171</v>
      </c>
      <c r="V133" t="s">
        <v>14</v>
      </c>
      <c r="W133" t="b">
        <v>1</v>
      </c>
      <c r="X133" t="s">
        <v>2466</v>
      </c>
      <c r="Y133" t="b">
        <v>0</v>
      </c>
      <c r="Z133" t="s">
        <v>2032</v>
      </c>
    </row>
    <row r="134" spans="1:26" x14ac:dyDescent="0.35">
      <c r="A134" t="s">
        <v>1927</v>
      </c>
      <c r="B134" t="s">
        <v>2467</v>
      </c>
      <c r="C134" t="s">
        <v>2335</v>
      </c>
      <c r="D134" t="s">
        <v>1963</v>
      </c>
      <c r="E134" t="s">
        <v>2020</v>
      </c>
      <c r="F134" t="s">
        <v>2021</v>
      </c>
      <c r="G134" t="s">
        <v>2022</v>
      </c>
      <c r="H134" t="s">
        <v>2023</v>
      </c>
      <c r="I134" t="s">
        <v>2460</v>
      </c>
      <c r="J134" t="s">
        <v>1963</v>
      </c>
      <c r="K134" t="s">
        <v>2468</v>
      </c>
      <c r="L134" t="s">
        <v>2025</v>
      </c>
      <c r="M134" t="s">
        <v>2338</v>
      </c>
      <c r="N134" t="s">
        <v>2339</v>
      </c>
      <c r="O134" t="s">
        <v>2340</v>
      </c>
      <c r="P134" t="s">
        <v>2341</v>
      </c>
      <c r="Q134" t="s">
        <v>14</v>
      </c>
      <c r="R134" t="s">
        <v>14</v>
      </c>
      <c r="S134" t="s">
        <v>2342</v>
      </c>
      <c r="T134" t="s">
        <v>2343</v>
      </c>
      <c r="U134" t="s">
        <v>2171</v>
      </c>
      <c r="V134" t="s">
        <v>14</v>
      </c>
      <c r="W134" t="b">
        <v>1</v>
      </c>
      <c r="X134" t="s">
        <v>2469</v>
      </c>
      <c r="Y134" t="b">
        <v>0</v>
      </c>
      <c r="Z134" t="s">
        <v>2032</v>
      </c>
    </row>
    <row r="135" spans="1:26" x14ac:dyDescent="0.35">
      <c r="A135" t="s">
        <v>1927</v>
      </c>
      <c r="B135" t="s">
        <v>2467</v>
      </c>
      <c r="C135" t="s">
        <v>2335</v>
      </c>
      <c r="D135" t="s">
        <v>1963</v>
      </c>
      <c r="E135" t="s">
        <v>2020</v>
      </c>
      <c r="F135" t="s">
        <v>2021</v>
      </c>
      <c r="G135" t="s">
        <v>2022</v>
      </c>
      <c r="H135" t="s">
        <v>2023</v>
      </c>
      <c r="I135" t="s">
        <v>41</v>
      </c>
      <c r="J135" t="s">
        <v>1963</v>
      </c>
      <c r="K135" t="s">
        <v>2468</v>
      </c>
      <c r="L135" t="s">
        <v>2025</v>
      </c>
      <c r="M135" t="s">
        <v>2338</v>
      </c>
      <c r="N135" t="s">
        <v>2339</v>
      </c>
      <c r="O135" t="s">
        <v>2340</v>
      </c>
      <c r="P135" t="s">
        <v>2341</v>
      </c>
      <c r="Q135" t="s">
        <v>14</v>
      </c>
      <c r="R135" t="s">
        <v>14</v>
      </c>
      <c r="S135" t="s">
        <v>2342</v>
      </c>
      <c r="T135" t="s">
        <v>2343</v>
      </c>
      <c r="U135" t="s">
        <v>2171</v>
      </c>
      <c r="V135" t="s">
        <v>14</v>
      </c>
      <c r="W135" t="b">
        <v>1</v>
      </c>
      <c r="X135" t="s">
        <v>2469</v>
      </c>
      <c r="Y135" t="b">
        <v>0</v>
      </c>
      <c r="Z135" t="s">
        <v>2032</v>
      </c>
    </row>
    <row r="136" spans="1:26" x14ac:dyDescent="0.35">
      <c r="A136" t="s">
        <v>1928</v>
      </c>
      <c r="B136" t="s">
        <v>2470</v>
      </c>
      <c r="C136" t="s">
        <v>2335</v>
      </c>
      <c r="D136" t="s">
        <v>1963</v>
      </c>
      <c r="E136" t="s">
        <v>2020</v>
      </c>
      <c r="F136" t="s">
        <v>2021</v>
      </c>
      <c r="G136" t="s">
        <v>2022</v>
      </c>
      <c r="H136" t="s">
        <v>2023</v>
      </c>
      <c r="I136" t="s">
        <v>2460</v>
      </c>
      <c r="J136" t="s">
        <v>1963</v>
      </c>
      <c r="K136" t="s">
        <v>2471</v>
      </c>
      <c r="L136" t="s">
        <v>2025</v>
      </c>
      <c r="M136" t="s">
        <v>2338</v>
      </c>
      <c r="N136" t="s">
        <v>2339</v>
      </c>
      <c r="O136" t="s">
        <v>2340</v>
      </c>
      <c r="P136" t="s">
        <v>2341</v>
      </c>
      <c r="Q136" t="s">
        <v>14</v>
      </c>
      <c r="R136" t="s">
        <v>14</v>
      </c>
      <c r="S136" t="s">
        <v>2342</v>
      </c>
      <c r="T136" t="s">
        <v>2343</v>
      </c>
      <c r="U136" t="s">
        <v>2171</v>
      </c>
      <c r="V136" t="s">
        <v>14</v>
      </c>
      <c r="W136" t="b">
        <v>1</v>
      </c>
      <c r="X136" t="s">
        <v>2472</v>
      </c>
      <c r="Y136" t="b">
        <v>0</v>
      </c>
      <c r="Z136" t="s">
        <v>2032</v>
      </c>
    </row>
    <row r="137" spans="1:26" x14ac:dyDescent="0.35">
      <c r="A137" t="s">
        <v>1928</v>
      </c>
      <c r="B137" t="s">
        <v>2470</v>
      </c>
      <c r="C137" t="s">
        <v>2335</v>
      </c>
      <c r="D137" t="s">
        <v>1963</v>
      </c>
      <c r="E137" t="s">
        <v>2020</v>
      </c>
      <c r="F137" t="s">
        <v>2021</v>
      </c>
      <c r="G137" t="s">
        <v>2022</v>
      </c>
      <c r="H137" t="s">
        <v>2023</v>
      </c>
      <c r="I137" t="s">
        <v>41</v>
      </c>
      <c r="J137" t="s">
        <v>1963</v>
      </c>
      <c r="K137" t="s">
        <v>2471</v>
      </c>
      <c r="L137" t="s">
        <v>2025</v>
      </c>
      <c r="M137" t="s">
        <v>2338</v>
      </c>
      <c r="N137" t="s">
        <v>2339</v>
      </c>
      <c r="O137" t="s">
        <v>2340</v>
      </c>
      <c r="P137" t="s">
        <v>2341</v>
      </c>
      <c r="Q137" t="s">
        <v>14</v>
      </c>
      <c r="R137" t="s">
        <v>14</v>
      </c>
      <c r="S137" t="s">
        <v>2342</v>
      </c>
      <c r="T137" t="s">
        <v>2343</v>
      </c>
      <c r="U137" t="s">
        <v>2171</v>
      </c>
      <c r="V137" t="s">
        <v>14</v>
      </c>
      <c r="W137" t="b">
        <v>1</v>
      </c>
      <c r="X137" t="s">
        <v>2472</v>
      </c>
      <c r="Y137" t="b">
        <v>0</v>
      </c>
      <c r="Z137" t="s">
        <v>2032</v>
      </c>
    </row>
    <row r="138" spans="1:26" x14ac:dyDescent="0.35">
      <c r="A138" t="s">
        <v>1929</v>
      </c>
      <c r="B138" t="s">
        <v>2473</v>
      </c>
      <c r="C138" t="s">
        <v>2335</v>
      </c>
      <c r="D138" t="s">
        <v>1963</v>
      </c>
      <c r="E138" t="s">
        <v>2020</v>
      </c>
      <c r="F138" t="s">
        <v>2021</v>
      </c>
      <c r="G138" t="s">
        <v>2022</v>
      </c>
      <c r="H138" t="s">
        <v>2023</v>
      </c>
      <c r="I138" t="s">
        <v>2460</v>
      </c>
      <c r="J138" t="s">
        <v>1963</v>
      </c>
      <c r="K138" t="s">
        <v>2474</v>
      </c>
      <c r="L138" t="s">
        <v>2025</v>
      </c>
      <c r="M138" t="s">
        <v>2338</v>
      </c>
      <c r="N138" t="s">
        <v>2339</v>
      </c>
      <c r="O138" t="s">
        <v>2340</v>
      </c>
      <c r="P138" t="s">
        <v>2341</v>
      </c>
      <c r="Q138" t="s">
        <v>14</v>
      </c>
      <c r="R138" t="s">
        <v>14</v>
      </c>
      <c r="S138" t="s">
        <v>2342</v>
      </c>
      <c r="T138" t="s">
        <v>2343</v>
      </c>
      <c r="U138" t="s">
        <v>2171</v>
      </c>
      <c r="V138" t="s">
        <v>14</v>
      </c>
      <c r="W138" t="b">
        <v>1</v>
      </c>
      <c r="X138" t="s">
        <v>2475</v>
      </c>
      <c r="Y138" t="b">
        <v>0</v>
      </c>
      <c r="Z138" t="s">
        <v>2032</v>
      </c>
    </row>
    <row r="139" spans="1:26" x14ac:dyDescent="0.35">
      <c r="A139" t="s">
        <v>1929</v>
      </c>
      <c r="B139" t="s">
        <v>2473</v>
      </c>
      <c r="C139" t="s">
        <v>2335</v>
      </c>
      <c r="D139" t="s">
        <v>1963</v>
      </c>
      <c r="E139" t="s">
        <v>2020</v>
      </c>
      <c r="F139" t="s">
        <v>2021</v>
      </c>
      <c r="G139" t="s">
        <v>2022</v>
      </c>
      <c r="H139" t="s">
        <v>2023</v>
      </c>
      <c r="I139" t="s">
        <v>41</v>
      </c>
      <c r="J139" t="s">
        <v>1963</v>
      </c>
      <c r="K139" t="s">
        <v>2474</v>
      </c>
      <c r="L139" t="s">
        <v>2025</v>
      </c>
      <c r="M139" t="s">
        <v>2338</v>
      </c>
      <c r="N139" t="s">
        <v>2339</v>
      </c>
      <c r="O139" t="s">
        <v>2340</v>
      </c>
      <c r="P139" t="s">
        <v>2341</v>
      </c>
      <c r="Q139" t="s">
        <v>14</v>
      </c>
      <c r="R139" t="s">
        <v>14</v>
      </c>
      <c r="S139" t="s">
        <v>2342</v>
      </c>
      <c r="T139" t="s">
        <v>2343</v>
      </c>
      <c r="U139" t="s">
        <v>2171</v>
      </c>
      <c r="V139" t="s">
        <v>14</v>
      </c>
      <c r="W139" t="b">
        <v>1</v>
      </c>
      <c r="X139" t="s">
        <v>2475</v>
      </c>
      <c r="Y139" t="b">
        <v>0</v>
      </c>
      <c r="Z139" t="s">
        <v>2032</v>
      </c>
    </row>
    <row r="140" spans="1:26" x14ac:dyDescent="0.35">
      <c r="A140" t="s">
        <v>1930</v>
      </c>
      <c r="B140" t="s">
        <v>2476</v>
      </c>
      <c r="C140" t="s">
        <v>2335</v>
      </c>
      <c r="D140" t="s">
        <v>1963</v>
      </c>
      <c r="E140" t="s">
        <v>2020</v>
      </c>
      <c r="F140" t="s">
        <v>2021</v>
      </c>
      <c r="G140" t="s">
        <v>2022</v>
      </c>
      <c r="H140" t="s">
        <v>2023</v>
      </c>
      <c r="I140" t="s">
        <v>2460</v>
      </c>
      <c r="J140" t="s">
        <v>1963</v>
      </c>
      <c r="K140" t="s">
        <v>2477</v>
      </c>
      <c r="L140" t="s">
        <v>2025</v>
      </c>
      <c r="M140" t="s">
        <v>2338</v>
      </c>
      <c r="N140" t="s">
        <v>2339</v>
      </c>
      <c r="O140" t="s">
        <v>2340</v>
      </c>
      <c r="P140" t="s">
        <v>2341</v>
      </c>
      <c r="Q140" t="s">
        <v>14</v>
      </c>
      <c r="R140" t="s">
        <v>14</v>
      </c>
      <c r="S140" t="s">
        <v>2342</v>
      </c>
      <c r="T140" t="s">
        <v>2343</v>
      </c>
      <c r="U140" t="s">
        <v>2171</v>
      </c>
      <c r="V140" t="s">
        <v>14</v>
      </c>
      <c r="W140" t="b">
        <v>1</v>
      </c>
      <c r="X140" t="s">
        <v>2478</v>
      </c>
      <c r="Y140" t="b">
        <v>0</v>
      </c>
      <c r="Z140" t="s">
        <v>2032</v>
      </c>
    </row>
    <row r="141" spans="1:26" x14ac:dyDescent="0.35">
      <c r="A141" t="s">
        <v>1930</v>
      </c>
      <c r="B141" t="s">
        <v>2476</v>
      </c>
      <c r="C141" t="s">
        <v>2335</v>
      </c>
      <c r="D141" t="s">
        <v>1963</v>
      </c>
      <c r="E141" t="s">
        <v>2020</v>
      </c>
      <c r="F141" t="s">
        <v>2021</v>
      </c>
      <c r="G141" t="s">
        <v>2022</v>
      </c>
      <c r="H141" t="s">
        <v>2023</v>
      </c>
      <c r="I141" t="s">
        <v>41</v>
      </c>
      <c r="J141" t="s">
        <v>1963</v>
      </c>
      <c r="K141" t="s">
        <v>2477</v>
      </c>
      <c r="L141" t="s">
        <v>2025</v>
      </c>
      <c r="M141" t="s">
        <v>2338</v>
      </c>
      <c r="N141" t="s">
        <v>2339</v>
      </c>
      <c r="O141" t="s">
        <v>2340</v>
      </c>
      <c r="P141" t="s">
        <v>2341</v>
      </c>
      <c r="Q141" t="s">
        <v>14</v>
      </c>
      <c r="R141" t="s">
        <v>14</v>
      </c>
      <c r="S141" t="s">
        <v>2342</v>
      </c>
      <c r="T141" t="s">
        <v>2343</v>
      </c>
      <c r="U141" t="s">
        <v>2171</v>
      </c>
      <c r="V141" t="s">
        <v>14</v>
      </c>
      <c r="W141" t="b">
        <v>1</v>
      </c>
      <c r="X141" t="s">
        <v>2478</v>
      </c>
      <c r="Y141" t="b">
        <v>0</v>
      </c>
      <c r="Z141" t="s">
        <v>2032</v>
      </c>
    </row>
    <row r="142" spans="1:26" x14ac:dyDescent="0.35">
      <c r="A142" t="s">
        <v>1931</v>
      </c>
      <c r="B142" t="s">
        <v>2479</v>
      </c>
      <c r="C142" t="s">
        <v>2335</v>
      </c>
      <c r="D142" t="s">
        <v>1963</v>
      </c>
      <c r="E142" t="s">
        <v>2020</v>
      </c>
      <c r="F142" t="s">
        <v>2021</v>
      </c>
      <c r="G142" t="s">
        <v>2022</v>
      </c>
      <c r="H142" t="s">
        <v>2023</v>
      </c>
      <c r="I142" t="s">
        <v>41</v>
      </c>
      <c r="J142" t="s">
        <v>1963</v>
      </c>
      <c r="K142" t="s">
        <v>2480</v>
      </c>
      <c r="L142" t="s">
        <v>2025</v>
      </c>
      <c r="M142" t="s">
        <v>2338</v>
      </c>
      <c r="N142" t="s">
        <v>2339</v>
      </c>
      <c r="O142" t="s">
        <v>2340</v>
      </c>
      <c r="P142" t="s">
        <v>2341</v>
      </c>
      <c r="Q142" t="s">
        <v>14</v>
      </c>
      <c r="R142" t="s">
        <v>14</v>
      </c>
      <c r="S142" t="s">
        <v>2342</v>
      </c>
      <c r="T142" t="s">
        <v>2343</v>
      </c>
      <c r="U142" t="s">
        <v>2171</v>
      </c>
      <c r="V142" t="s">
        <v>14</v>
      </c>
      <c r="W142" t="b">
        <v>1</v>
      </c>
      <c r="X142" t="s">
        <v>2481</v>
      </c>
      <c r="Y142" t="b">
        <v>0</v>
      </c>
      <c r="Z142" t="s">
        <v>2032</v>
      </c>
    </row>
    <row r="143" spans="1:26" x14ac:dyDescent="0.35">
      <c r="A143" t="s">
        <v>1931</v>
      </c>
      <c r="B143" t="s">
        <v>2479</v>
      </c>
      <c r="C143" t="s">
        <v>2335</v>
      </c>
      <c r="D143" t="s">
        <v>1963</v>
      </c>
      <c r="E143" t="s">
        <v>2020</v>
      </c>
      <c r="F143" t="s">
        <v>2021</v>
      </c>
      <c r="G143" t="s">
        <v>2022</v>
      </c>
      <c r="H143" t="s">
        <v>2023</v>
      </c>
      <c r="I143" t="s">
        <v>2460</v>
      </c>
      <c r="J143" t="s">
        <v>1963</v>
      </c>
      <c r="K143" t="s">
        <v>2480</v>
      </c>
      <c r="L143" t="s">
        <v>2025</v>
      </c>
      <c r="M143" t="s">
        <v>2338</v>
      </c>
      <c r="N143" t="s">
        <v>2339</v>
      </c>
      <c r="O143" t="s">
        <v>2340</v>
      </c>
      <c r="P143" t="s">
        <v>2341</v>
      </c>
      <c r="Q143" t="s">
        <v>14</v>
      </c>
      <c r="R143" t="s">
        <v>14</v>
      </c>
      <c r="S143" t="s">
        <v>2342</v>
      </c>
      <c r="T143" t="s">
        <v>2343</v>
      </c>
      <c r="U143" t="s">
        <v>2171</v>
      </c>
      <c r="V143" t="s">
        <v>14</v>
      </c>
      <c r="W143" t="b">
        <v>1</v>
      </c>
      <c r="X143" t="s">
        <v>2481</v>
      </c>
      <c r="Y143" t="b">
        <v>0</v>
      </c>
      <c r="Z143" t="s">
        <v>2032</v>
      </c>
    </row>
    <row r="144" spans="1:26" x14ac:dyDescent="0.35">
      <c r="A144" t="s">
        <v>1932</v>
      </c>
      <c r="B144" t="s">
        <v>2482</v>
      </c>
      <c r="C144" t="s">
        <v>2335</v>
      </c>
      <c r="D144" t="s">
        <v>1963</v>
      </c>
      <c r="E144" t="s">
        <v>2020</v>
      </c>
      <c r="F144" t="s">
        <v>2021</v>
      </c>
      <c r="G144" t="s">
        <v>2022</v>
      </c>
      <c r="H144" t="s">
        <v>2023</v>
      </c>
      <c r="I144" t="s">
        <v>41</v>
      </c>
      <c r="J144" t="s">
        <v>1963</v>
      </c>
      <c r="K144" t="s">
        <v>2483</v>
      </c>
      <c r="L144" t="s">
        <v>2025</v>
      </c>
      <c r="M144" t="s">
        <v>2338</v>
      </c>
      <c r="N144" t="s">
        <v>2339</v>
      </c>
      <c r="O144" t="s">
        <v>2340</v>
      </c>
      <c r="P144" t="s">
        <v>2341</v>
      </c>
      <c r="Q144" t="s">
        <v>14</v>
      </c>
      <c r="R144" t="s">
        <v>14</v>
      </c>
      <c r="S144" t="s">
        <v>2342</v>
      </c>
      <c r="T144" t="s">
        <v>2343</v>
      </c>
      <c r="U144" t="s">
        <v>2171</v>
      </c>
      <c r="V144" t="s">
        <v>14</v>
      </c>
      <c r="W144" t="b">
        <v>1</v>
      </c>
      <c r="X144" t="s">
        <v>2484</v>
      </c>
      <c r="Y144" t="b">
        <v>0</v>
      </c>
      <c r="Z144" t="s">
        <v>2032</v>
      </c>
    </row>
    <row r="145" spans="1:26" x14ac:dyDescent="0.35">
      <c r="A145" t="s">
        <v>1933</v>
      </c>
      <c r="B145" t="s">
        <v>2485</v>
      </c>
      <c r="C145" t="s">
        <v>2335</v>
      </c>
      <c r="D145" t="s">
        <v>1963</v>
      </c>
      <c r="E145" t="s">
        <v>2020</v>
      </c>
      <c r="F145" t="s">
        <v>2021</v>
      </c>
      <c r="G145" t="s">
        <v>2022</v>
      </c>
      <c r="H145" t="s">
        <v>2023</v>
      </c>
      <c r="I145" t="s">
        <v>41</v>
      </c>
      <c r="J145" t="s">
        <v>1963</v>
      </c>
      <c r="K145" t="s">
        <v>2486</v>
      </c>
      <c r="L145" t="s">
        <v>2025</v>
      </c>
      <c r="M145" t="s">
        <v>2338</v>
      </c>
      <c r="N145" t="s">
        <v>2339</v>
      </c>
      <c r="O145" t="s">
        <v>2340</v>
      </c>
      <c r="P145" t="s">
        <v>2341</v>
      </c>
      <c r="Q145" t="s">
        <v>14</v>
      </c>
      <c r="R145" t="s">
        <v>14</v>
      </c>
      <c r="S145" t="s">
        <v>2342</v>
      </c>
      <c r="T145" t="s">
        <v>2343</v>
      </c>
      <c r="U145" t="s">
        <v>2171</v>
      </c>
      <c r="V145" t="s">
        <v>14</v>
      </c>
      <c r="W145" t="b">
        <v>1</v>
      </c>
      <c r="X145" t="s">
        <v>2487</v>
      </c>
      <c r="Y145" t="b">
        <v>0</v>
      </c>
      <c r="Z145" t="s">
        <v>2032</v>
      </c>
    </row>
    <row r="146" spans="1:26" x14ac:dyDescent="0.35">
      <c r="A146" t="s">
        <v>1934</v>
      </c>
      <c r="B146" t="s">
        <v>2488</v>
      </c>
      <c r="C146" t="s">
        <v>2335</v>
      </c>
      <c r="D146" t="s">
        <v>1963</v>
      </c>
      <c r="E146" t="s">
        <v>2020</v>
      </c>
      <c r="F146" t="s">
        <v>2021</v>
      </c>
      <c r="G146" t="s">
        <v>2022</v>
      </c>
      <c r="H146" t="s">
        <v>2023</v>
      </c>
      <c r="I146" t="s">
        <v>2358</v>
      </c>
      <c r="J146" t="s">
        <v>1963</v>
      </c>
      <c r="K146" t="s">
        <v>2489</v>
      </c>
      <c r="L146" t="s">
        <v>2025</v>
      </c>
      <c r="M146" t="s">
        <v>2360</v>
      </c>
      <c r="N146" t="s">
        <v>2361</v>
      </c>
      <c r="O146" t="s">
        <v>2362</v>
      </c>
      <c r="P146" t="s">
        <v>2363</v>
      </c>
      <c r="Q146" t="s">
        <v>2364</v>
      </c>
      <c r="R146" t="s">
        <v>14</v>
      </c>
      <c r="S146" t="s">
        <v>2365</v>
      </c>
      <c r="T146" t="s">
        <v>2366</v>
      </c>
      <c r="U146" t="s">
        <v>2171</v>
      </c>
      <c r="V146" t="s">
        <v>14</v>
      </c>
      <c r="W146" t="b">
        <v>1</v>
      </c>
      <c r="X146" t="s">
        <v>2490</v>
      </c>
      <c r="Y146" t="b">
        <v>1</v>
      </c>
      <c r="Z146" t="s">
        <v>2032</v>
      </c>
    </row>
    <row r="147" spans="1:26" x14ac:dyDescent="0.35">
      <c r="A147" t="s">
        <v>1935</v>
      </c>
      <c r="B147" t="s">
        <v>2491</v>
      </c>
      <c r="C147" t="s">
        <v>2335</v>
      </c>
      <c r="D147" t="s">
        <v>1963</v>
      </c>
      <c r="E147" t="s">
        <v>2020</v>
      </c>
      <c r="F147" t="s">
        <v>2021</v>
      </c>
      <c r="G147" t="s">
        <v>2022</v>
      </c>
      <c r="H147" t="s">
        <v>2023</v>
      </c>
      <c r="I147" t="s">
        <v>2358</v>
      </c>
      <c r="J147" t="s">
        <v>1963</v>
      </c>
      <c r="K147" t="s">
        <v>2492</v>
      </c>
      <c r="L147" t="s">
        <v>2025</v>
      </c>
      <c r="M147" t="s">
        <v>2360</v>
      </c>
      <c r="N147" t="s">
        <v>2361</v>
      </c>
      <c r="O147" t="s">
        <v>2362</v>
      </c>
      <c r="P147" t="s">
        <v>2363</v>
      </c>
      <c r="Q147" t="s">
        <v>2364</v>
      </c>
      <c r="R147" t="s">
        <v>14</v>
      </c>
      <c r="S147" t="s">
        <v>2365</v>
      </c>
      <c r="T147" t="s">
        <v>2366</v>
      </c>
      <c r="U147" t="s">
        <v>2171</v>
      </c>
      <c r="V147" t="s">
        <v>14</v>
      </c>
      <c r="W147" t="b">
        <v>1</v>
      </c>
      <c r="X147" t="s">
        <v>2493</v>
      </c>
      <c r="Y147" t="b">
        <v>1</v>
      </c>
      <c r="Z147" t="s">
        <v>2032</v>
      </c>
    </row>
    <row r="148" spans="1:26" x14ac:dyDescent="0.35">
      <c r="A148" t="s">
        <v>1587</v>
      </c>
      <c r="B148" t="s">
        <v>2494</v>
      </c>
      <c r="C148" t="s">
        <v>2495</v>
      </c>
      <c r="D148" t="s">
        <v>1963</v>
      </c>
      <c r="E148" t="s">
        <v>2020</v>
      </c>
      <c r="F148" t="s">
        <v>2021</v>
      </c>
      <c r="G148" t="s">
        <v>2022</v>
      </c>
      <c r="H148" t="s">
        <v>2023</v>
      </c>
      <c r="I148" t="s">
        <v>2496</v>
      </c>
      <c r="J148" t="s">
        <v>1963</v>
      </c>
      <c r="K148" t="s">
        <v>2497</v>
      </c>
      <c r="L148" t="s">
        <v>2025</v>
      </c>
      <c r="M148" t="s">
        <v>2498</v>
      </c>
      <c r="N148" t="s">
        <v>2499</v>
      </c>
      <c r="O148" t="s">
        <v>2167</v>
      </c>
      <c r="P148" t="s">
        <v>2168</v>
      </c>
      <c r="Q148" t="s">
        <v>14</v>
      </c>
      <c r="R148" t="s">
        <v>14</v>
      </c>
      <c r="S148" t="s">
        <v>2169</v>
      </c>
      <c r="T148" t="s">
        <v>2170</v>
      </c>
      <c r="U148" t="s">
        <v>2171</v>
      </c>
      <c r="V148" t="s">
        <v>14</v>
      </c>
      <c r="W148" t="b">
        <v>1</v>
      </c>
      <c r="X148" t="s">
        <v>2500</v>
      </c>
      <c r="Y148" t="b">
        <v>0</v>
      </c>
      <c r="Z148" t="s">
        <v>2032</v>
      </c>
    </row>
    <row r="149" spans="1:26" x14ac:dyDescent="0.35">
      <c r="A149" t="s">
        <v>1588</v>
      </c>
      <c r="B149" t="s">
        <v>2501</v>
      </c>
      <c r="C149" t="s">
        <v>2495</v>
      </c>
      <c r="D149" t="s">
        <v>1963</v>
      </c>
      <c r="E149" t="s">
        <v>2020</v>
      </c>
      <c r="F149" t="s">
        <v>2021</v>
      </c>
      <c r="G149" t="s">
        <v>2022</v>
      </c>
      <c r="H149" t="s">
        <v>2023</v>
      </c>
      <c r="I149" t="s">
        <v>2496</v>
      </c>
      <c r="J149" t="s">
        <v>1963</v>
      </c>
      <c r="K149" t="s">
        <v>2502</v>
      </c>
      <c r="L149" t="s">
        <v>2025</v>
      </c>
      <c r="M149" t="s">
        <v>2498</v>
      </c>
      <c r="N149" t="s">
        <v>2499</v>
      </c>
      <c r="O149" t="s">
        <v>2167</v>
      </c>
      <c r="P149" t="s">
        <v>2168</v>
      </c>
      <c r="Q149" t="s">
        <v>14</v>
      </c>
      <c r="R149" t="s">
        <v>14</v>
      </c>
      <c r="S149" t="s">
        <v>2169</v>
      </c>
      <c r="T149" t="s">
        <v>2170</v>
      </c>
      <c r="U149" t="s">
        <v>2171</v>
      </c>
      <c r="V149" t="s">
        <v>14</v>
      </c>
      <c r="W149" t="b">
        <v>1</v>
      </c>
      <c r="X149" t="s">
        <v>2503</v>
      </c>
      <c r="Y149" t="b">
        <v>0</v>
      </c>
      <c r="Z149" t="s">
        <v>2032</v>
      </c>
    </row>
    <row r="150" spans="1:26" x14ac:dyDescent="0.35">
      <c r="A150" t="s">
        <v>1936</v>
      </c>
      <c r="B150" t="s">
        <v>2504</v>
      </c>
      <c r="C150" t="s">
        <v>2505</v>
      </c>
      <c r="D150" t="s">
        <v>1963</v>
      </c>
      <c r="E150" t="s">
        <v>2020</v>
      </c>
      <c r="F150" t="s">
        <v>2021</v>
      </c>
      <c r="G150" t="s">
        <v>2022</v>
      </c>
      <c r="H150" t="s">
        <v>2023</v>
      </c>
      <c r="I150" t="s">
        <v>1995</v>
      </c>
      <c r="J150" t="s">
        <v>1963</v>
      </c>
      <c r="K150" t="s">
        <v>2506</v>
      </c>
      <c r="L150" t="s">
        <v>2025</v>
      </c>
      <c r="M150" t="s">
        <v>2026</v>
      </c>
      <c r="N150" t="s">
        <v>2027</v>
      </c>
      <c r="O150" t="s">
        <v>2028</v>
      </c>
      <c r="P150" t="s">
        <v>2029</v>
      </c>
      <c r="Q150" t="s">
        <v>14</v>
      </c>
      <c r="R150" t="s">
        <v>14</v>
      </c>
      <c r="S150" t="s">
        <v>14</v>
      </c>
      <c r="T150" t="s">
        <v>14</v>
      </c>
      <c r="U150" t="s">
        <v>2030</v>
      </c>
      <c r="V150" t="s">
        <v>14</v>
      </c>
      <c r="W150" t="b">
        <v>1</v>
      </c>
      <c r="X150" t="s">
        <v>2507</v>
      </c>
      <c r="Y150" t="b">
        <v>0</v>
      </c>
      <c r="Z150" t="s">
        <v>2032</v>
      </c>
    </row>
    <row r="151" spans="1:26" x14ac:dyDescent="0.35">
      <c r="A151" t="s">
        <v>1589</v>
      </c>
      <c r="B151" t="s">
        <v>2508</v>
      </c>
      <c r="C151" t="s">
        <v>2509</v>
      </c>
      <c r="D151" t="s">
        <v>1963</v>
      </c>
      <c r="E151" t="s">
        <v>2020</v>
      </c>
      <c r="F151" t="s">
        <v>2021</v>
      </c>
      <c r="G151" t="s">
        <v>2022</v>
      </c>
      <c r="H151" t="s">
        <v>2023</v>
      </c>
      <c r="I151" t="s">
        <v>2199</v>
      </c>
      <c r="J151" t="s">
        <v>1963</v>
      </c>
      <c r="K151" t="s">
        <v>2510</v>
      </c>
      <c r="L151" t="s">
        <v>14</v>
      </c>
      <c r="M151" t="s">
        <v>2120</v>
      </c>
      <c r="N151" t="s">
        <v>2121</v>
      </c>
      <c r="O151" t="s">
        <v>2060</v>
      </c>
      <c r="P151" t="s">
        <v>2061</v>
      </c>
      <c r="Q151" t="s">
        <v>2122</v>
      </c>
      <c r="R151" t="s">
        <v>14</v>
      </c>
      <c r="S151" t="s">
        <v>2200</v>
      </c>
      <c r="T151" t="s">
        <v>2201</v>
      </c>
      <c r="U151" t="s">
        <v>2052</v>
      </c>
      <c r="V151" t="s">
        <v>14</v>
      </c>
      <c r="W151" t="b">
        <v>1</v>
      </c>
      <c r="X151" t="s">
        <v>1590</v>
      </c>
      <c r="Y151" t="b">
        <v>0</v>
      </c>
      <c r="Z151" t="s">
        <v>2053</v>
      </c>
    </row>
    <row r="152" spans="1:26" x14ac:dyDescent="0.35">
      <c r="A152" t="s">
        <v>1589</v>
      </c>
      <c r="B152" t="s">
        <v>2508</v>
      </c>
      <c r="C152" t="s">
        <v>2509</v>
      </c>
      <c r="D152" t="s">
        <v>1963</v>
      </c>
      <c r="E152" t="s">
        <v>2020</v>
      </c>
      <c r="F152" t="s">
        <v>2021</v>
      </c>
      <c r="G152" t="s">
        <v>2022</v>
      </c>
      <c r="H152" t="s">
        <v>2023</v>
      </c>
      <c r="I152" t="s">
        <v>2197</v>
      </c>
      <c r="J152" t="s">
        <v>1963</v>
      </c>
      <c r="K152" t="s">
        <v>2510</v>
      </c>
      <c r="L152" t="s">
        <v>14</v>
      </c>
      <c r="M152" t="s">
        <v>2120</v>
      </c>
      <c r="N152" t="s">
        <v>2121</v>
      </c>
      <c r="O152" t="s">
        <v>2060</v>
      </c>
      <c r="P152" t="s">
        <v>2061</v>
      </c>
      <c r="Q152" t="s">
        <v>2122</v>
      </c>
      <c r="R152" t="s">
        <v>14</v>
      </c>
      <c r="S152" t="s">
        <v>2123</v>
      </c>
      <c r="T152" t="s">
        <v>2124</v>
      </c>
      <c r="U152" t="s">
        <v>2052</v>
      </c>
      <c r="V152" t="s">
        <v>14</v>
      </c>
      <c r="W152" t="b">
        <v>1</v>
      </c>
      <c r="X152" t="s">
        <v>1590</v>
      </c>
      <c r="Y152" t="b">
        <v>0</v>
      </c>
      <c r="Z152" t="s">
        <v>2032</v>
      </c>
    </row>
    <row r="153" spans="1:26" x14ac:dyDescent="0.35">
      <c r="A153" t="s">
        <v>1591</v>
      </c>
      <c r="B153" t="s">
        <v>2511</v>
      </c>
      <c r="C153" t="s">
        <v>2509</v>
      </c>
      <c r="D153" t="s">
        <v>1963</v>
      </c>
      <c r="E153" t="s">
        <v>2020</v>
      </c>
      <c r="F153" t="s">
        <v>2021</v>
      </c>
      <c r="G153" t="s">
        <v>2022</v>
      </c>
      <c r="H153" t="s">
        <v>2023</v>
      </c>
      <c r="I153" t="s">
        <v>2225</v>
      </c>
      <c r="J153" t="s">
        <v>1963</v>
      </c>
      <c r="K153" t="s">
        <v>2512</v>
      </c>
      <c r="L153" t="s">
        <v>2046</v>
      </c>
      <c r="M153" t="s">
        <v>2226</v>
      </c>
      <c r="N153" t="s">
        <v>2227</v>
      </c>
      <c r="O153" t="s">
        <v>2205</v>
      </c>
      <c r="P153" t="s">
        <v>2206</v>
      </c>
      <c r="Q153" t="s">
        <v>14</v>
      </c>
      <c r="R153" t="s">
        <v>14</v>
      </c>
      <c r="S153" t="s">
        <v>14</v>
      </c>
      <c r="T153" t="s">
        <v>14</v>
      </c>
      <c r="U153" t="s">
        <v>2052</v>
      </c>
      <c r="V153" t="s">
        <v>14</v>
      </c>
      <c r="W153" t="b">
        <v>1</v>
      </c>
      <c r="X153" t="s">
        <v>1592</v>
      </c>
      <c r="Y153" t="b">
        <v>0</v>
      </c>
      <c r="Z153" t="s">
        <v>2053</v>
      </c>
    </row>
    <row r="154" spans="1:26" x14ac:dyDescent="0.35">
      <c r="A154" t="s">
        <v>1591</v>
      </c>
      <c r="B154" t="s">
        <v>2511</v>
      </c>
      <c r="C154" t="s">
        <v>2509</v>
      </c>
      <c r="D154" t="s">
        <v>1963</v>
      </c>
      <c r="E154" t="s">
        <v>2020</v>
      </c>
      <c r="F154" t="s">
        <v>2021</v>
      </c>
      <c r="G154" t="s">
        <v>2022</v>
      </c>
      <c r="H154" t="s">
        <v>2023</v>
      </c>
      <c r="I154" t="s">
        <v>2513</v>
      </c>
      <c r="J154" t="s">
        <v>1963</v>
      </c>
      <c r="K154" t="s">
        <v>2512</v>
      </c>
      <c r="L154" t="s">
        <v>2046</v>
      </c>
      <c r="M154" t="s">
        <v>2514</v>
      </c>
      <c r="N154" t="s">
        <v>2515</v>
      </c>
      <c r="O154" t="s">
        <v>2211</v>
      </c>
      <c r="P154" t="s">
        <v>2212</v>
      </c>
      <c r="Q154" t="s">
        <v>2049</v>
      </c>
      <c r="R154" t="s">
        <v>14</v>
      </c>
      <c r="S154" t="s">
        <v>2231</v>
      </c>
      <c r="T154" t="s">
        <v>2232</v>
      </c>
      <c r="U154" t="s">
        <v>2052</v>
      </c>
      <c r="V154" t="s">
        <v>14</v>
      </c>
      <c r="W154" t="b">
        <v>1</v>
      </c>
      <c r="X154" t="s">
        <v>1592</v>
      </c>
      <c r="Y154" t="b">
        <v>0</v>
      </c>
      <c r="Z154" t="s">
        <v>2053</v>
      </c>
    </row>
    <row r="155" spans="1:26" x14ac:dyDescent="0.35">
      <c r="A155" t="s">
        <v>1591</v>
      </c>
      <c r="B155" t="s">
        <v>2511</v>
      </c>
      <c r="C155" t="s">
        <v>2509</v>
      </c>
      <c r="D155" t="s">
        <v>1963</v>
      </c>
      <c r="E155" t="s">
        <v>2020</v>
      </c>
      <c r="F155" t="s">
        <v>2021</v>
      </c>
      <c r="G155" t="s">
        <v>2022</v>
      </c>
      <c r="H155" t="s">
        <v>2023</v>
      </c>
      <c r="I155" t="s">
        <v>2238</v>
      </c>
      <c r="J155" t="s">
        <v>1963</v>
      </c>
      <c r="K155" t="s">
        <v>2512</v>
      </c>
      <c r="L155" t="s">
        <v>2046</v>
      </c>
      <c r="M155" t="s">
        <v>2205</v>
      </c>
      <c r="N155" t="s">
        <v>2206</v>
      </c>
      <c r="O155" t="s">
        <v>2205</v>
      </c>
      <c r="P155" t="s">
        <v>2206</v>
      </c>
      <c r="Q155" t="s">
        <v>14</v>
      </c>
      <c r="R155" t="s">
        <v>14</v>
      </c>
      <c r="S155" t="s">
        <v>14</v>
      </c>
      <c r="T155" t="s">
        <v>14</v>
      </c>
      <c r="U155" t="s">
        <v>2052</v>
      </c>
      <c r="V155" t="s">
        <v>14</v>
      </c>
      <c r="W155" t="b">
        <v>1</v>
      </c>
      <c r="X155" t="s">
        <v>1592</v>
      </c>
      <c r="Y155" t="b">
        <v>0</v>
      </c>
      <c r="Z155" t="s">
        <v>2053</v>
      </c>
    </row>
    <row r="156" spans="1:26" x14ac:dyDescent="0.35">
      <c r="A156" t="s">
        <v>1591</v>
      </c>
      <c r="B156" t="s">
        <v>2511</v>
      </c>
      <c r="C156" t="s">
        <v>2509</v>
      </c>
      <c r="D156" t="s">
        <v>1963</v>
      </c>
      <c r="E156" t="s">
        <v>2020</v>
      </c>
      <c r="F156" t="s">
        <v>2021</v>
      </c>
      <c r="G156" t="s">
        <v>2022</v>
      </c>
      <c r="H156" t="s">
        <v>2023</v>
      </c>
      <c r="I156" t="s">
        <v>2213</v>
      </c>
      <c r="J156" t="s">
        <v>1963</v>
      </c>
      <c r="K156" t="s">
        <v>2512</v>
      </c>
      <c r="L156" t="s">
        <v>2046</v>
      </c>
      <c r="M156" t="s">
        <v>2214</v>
      </c>
      <c r="N156" t="s">
        <v>2215</v>
      </c>
      <c r="O156" t="s">
        <v>2214</v>
      </c>
      <c r="P156" t="s">
        <v>2215</v>
      </c>
      <c r="Q156" t="s">
        <v>14</v>
      </c>
      <c r="R156" t="s">
        <v>14</v>
      </c>
      <c r="S156" t="s">
        <v>14</v>
      </c>
      <c r="T156" t="s">
        <v>14</v>
      </c>
      <c r="U156" t="s">
        <v>2052</v>
      </c>
      <c r="V156" t="s">
        <v>14</v>
      </c>
      <c r="W156" t="b">
        <v>1</v>
      </c>
      <c r="X156" t="s">
        <v>1592</v>
      </c>
      <c r="Y156" t="b">
        <v>0</v>
      </c>
      <c r="Z156" t="s">
        <v>2053</v>
      </c>
    </row>
    <row r="157" spans="1:26" x14ac:dyDescent="0.35">
      <c r="A157" t="s">
        <v>1593</v>
      </c>
      <c r="B157" t="s">
        <v>2516</v>
      </c>
      <c r="C157" t="s">
        <v>2509</v>
      </c>
      <c r="D157" t="s">
        <v>1963</v>
      </c>
      <c r="E157" t="s">
        <v>2020</v>
      </c>
      <c r="F157" t="s">
        <v>2021</v>
      </c>
      <c r="G157" t="s">
        <v>2022</v>
      </c>
      <c r="H157" t="s">
        <v>2023</v>
      </c>
      <c r="I157" t="s">
        <v>2241</v>
      </c>
      <c r="J157" t="s">
        <v>1963</v>
      </c>
      <c r="K157" t="s">
        <v>2517</v>
      </c>
      <c r="L157" t="s">
        <v>2046</v>
      </c>
      <c r="M157" t="s">
        <v>2243</v>
      </c>
      <c r="N157" t="s">
        <v>2244</v>
      </c>
      <c r="O157" t="s">
        <v>2214</v>
      </c>
      <c r="P157" t="s">
        <v>2215</v>
      </c>
      <c r="Q157" t="s">
        <v>2245</v>
      </c>
      <c r="R157" t="s">
        <v>14</v>
      </c>
      <c r="S157" t="s">
        <v>2205</v>
      </c>
      <c r="T157" t="s">
        <v>2206</v>
      </c>
      <c r="U157" t="s">
        <v>2052</v>
      </c>
      <c r="V157" t="s">
        <v>14</v>
      </c>
      <c r="W157" t="b">
        <v>1</v>
      </c>
      <c r="X157" t="s">
        <v>1594</v>
      </c>
      <c r="Y157" t="b">
        <v>0</v>
      </c>
      <c r="Z157" t="s">
        <v>2053</v>
      </c>
    </row>
    <row r="158" spans="1:26" x14ac:dyDescent="0.35">
      <c r="A158" t="s">
        <v>1595</v>
      </c>
      <c r="B158" t="s">
        <v>2518</v>
      </c>
      <c r="C158" t="s">
        <v>2509</v>
      </c>
      <c r="D158" t="s">
        <v>1963</v>
      </c>
      <c r="E158" t="s">
        <v>2020</v>
      </c>
      <c r="F158" t="s">
        <v>2021</v>
      </c>
      <c r="G158" t="s">
        <v>2022</v>
      </c>
      <c r="H158" t="s">
        <v>2023</v>
      </c>
      <c r="I158" t="s">
        <v>1426</v>
      </c>
      <c r="J158" t="s">
        <v>1963</v>
      </c>
      <c r="K158" t="s">
        <v>2519</v>
      </c>
      <c r="L158" t="s">
        <v>2046</v>
      </c>
      <c r="M158" t="s">
        <v>2058</v>
      </c>
      <c r="N158" t="s">
        <v>2059</v>
      </c>
      <c r="O158" t="s">
        <v>2060</v>
      </c>
      <c r="P158" t="s">
        <v>2061</v>
      </c>
      <c r="Q158" t="s">
        <v>2062</v>
      </c>
      <c r="R158" t="s">
        <v>14</v>
      </c>
      <c r="S158" t="s">
        <v>2063</v>
      </c>
      <c r="T158" t="s">
        <v>2064</v>
      </c>
      <c r="U158" t="s">
        <v>2052</v>
      </c>
      <c r="V158" t="s">
        <v>14</v>
      </c>
      <c r="W158" t="b">
        <v>1</v>
      </c>
      <c r="X158" t="s">
        <v>1596</v>
      </c>
      <c r="Y158" t="b">
        <v>0</v>
      </c>
      <c r="Z158" t="s">
        <v>2053</v>
      </c>
    </row>
    <row r="159" spans="1:26" x14ac:dyDescent="0.35">
      <c r="A159" t="s">
        <v>1597</v>
      </c>
      <c r="B159" t="s">
        <v>2520</v>
      </c>
      <c r="C159" t="s">
        <v>2509</v>
      </c>
      <c r="D159" t="s">
        <v>1963</v>
      </c>
      <c r="E159" t="s">
        <v>2020</v>
      </c>
      <c r="F159" t="s">
        <v>2021</v>
      </c>
      <c r="G159" t="s">
        <v>2022</v>
      </c>
      <c r="H159" t="s">
        <v>2023</v>
      </c>
      <c r="I159" t="s">
        <v>1426</v>
      </c>
      <c r="J159" t="s">
        <v>1963</v>
      </c>
      <c r="K159" t="s">
        <v>2521</v>
      </c>
      <c r="L159" t="s">
        <v>2046</v>
      </c>
      <c r="M159" t="s">
        <v>2058</v>
      </c>
      <c r="N159" t="s">
        <v>2059</v>
      </c>
      <c r="O159" t="s">
        <v>2060</v>
      </c>
      <c r="P159" t="s">
        <v>2061</v>
      </c>
      <c r="Q159" t="s">
        <v>2062</v>
      </c>
      <c r="R159" t="s">
        <v>14</v>
      </c>
      <c r="S159" t="s">
        <v>2063</v>
      </c>
      <c r="T159" t="s">
        <v>2064</v>
      </c>
      <c r="U159" t="s">
        <v>2052</v>
      </c>
      <c r="V159" t="s">
        <v>14</v>
      </c>
      <c r="W159" t="b">
        <v>1</v>
      </c>
      <c r="X159" t="s">
        <v>1598</v>
      </c>
      <c r="Y159" t="b">
        <v>0</v>
      </c>
      <c r="Z159" t="s">
        <v>2053</v>
      </c>
    </row>
    <row r="160" spans="1:26" x14ac:dyDescent="0.35">
      <c r="A160" t="s">
        <v>1599</v>
      </c>
      <c r="B160" t="s">
        <v>2522</v>
      </c>
      <c r="C160" t="s">
        <v>2509</v>
      </c>
      <c r="D160" t="s">
        <v>1963</v>
      </c>
      <c r="E160" t="s">
        <v>2020</v>
      </c>
      <c r="F160" t="s">
        <v>2021</v>
      </c>
      <c r="G160" t="s">
        <v>2022</v>
      </c>
      <c r="H160" t="s">
        <v>2023</v>
      </c>
      <c r="I160" t="s">
        <v>1426</v>
      </c>
      <c r="J160" t="s">
        <v>1963</v>
      </c>
      <c r="K160" t="s">
        <v>2523</v>
      </c>
      <c r="L160" t="s">
        <v>2046</v>
      </c>
      <c r="M160" t="s">
        <v>2058</v>
      </c>
      <c r="N160" t="s">
        <v>2059</v>
      </c>
      <c r="O160" t="s">
        <v>2060</v>
      </c>
      <c r="P160" t="s">
        <v>2061</v>
      </c>
      <c r="Q160" t="s">
        <v>2062</v>
      </c>
      <c r="R160" t="s">
        <v>14</v>
      </c>
      <c r="S160" t="s">
        <v>2063</v>
      </c>
      <c r="T160" t="s">
        <v>2064</v>
      </c>
      <c r="U160" t="s">
        <v>2052</v>
      </c>
      <c r="V160" t="s">
        <v>14</v>
      </c>
      <c r="W160" t="b">
        <v>1</v>
      </c>
      <c r="X160" t="s">
        <v>1600</v>
      </c>
      <c r="Y160" t="b">
        <v>0</v>
      </c>
      <c r="Z160" t="s">
        <v>2053</v>
      </c>
    </row>
    <row r="161" spans="1:26" x14ac:dyDescent="0.35">
      <c r="A161" t="s">
        <v>1601</v>
      </c>
      <c r="B161" t="s">
        <v>2524</v>
      </c>
      <c r="C161" t="s">
        <v>2509</v>
      </c>
      <c r="D161" t="s">
        <v>1963</v>
      </c>
      <c r="E161" t="s">
        <v>2020</v>
      </c>
      <c r="F161" t="s">
        <v>2055</v>
      </c>
      <c r="G161" t="s">
        <v>2056</v>
      </c>
      <c r="H161" t="s">
        <v>2023</v>
      </c>
      <c r="I161" t="s">
        <v>2132</v>
      </c>
      <c r="J161" t="s">
        <v>1963</v>
      </c>
      <c r="K161" t="s">
        <v>2525</v>
      </c>
      <c r="L161" t="s">
        <v>2046</v>
      </c>
      <c r="M161" t="s">
        <v>2058</v>
      </c>
      <c r="N161" t="s">
        <v>2059</v>
      </c>
      <c r="O161" t="s">
        <v>2060</v>
      </c>
      <c r="P161" t="s">
        <v>2061</v>
      </c>
      <c r="Q161" t="s">
        <v>2062</v>
      </c>
      <c r="R161" t="s">
        <v>14</v>
      </c>
      <c r="S161" t="s">
        <v>2134</v>
      </c>
      <c r="T161" t="s">
        <v>2135</v>
      </c>
      <c r="U161" t="s">
        <v>2052</v>
      </c>
      <c r="V161" t="s">
        <v>14</v>
      </c>
      <c r="W161" t="b">
        <v>1</v>
      </c>
      <c r="X161" t="s">
        <v>1602</v>
      </c>
      <c r="Y161" t="b">
        <v>0</v>
      </c>
      <c r="Z161" t="s">
        <v>2053</v>
      </c>
    </row>
    <row r="162" spans="1:26" x14ac:dyDescent="0.35">
      <c r="A162" t="s">
        <v>1601</v>
      </c>
      <c r="B162" t="s">
        <v>2524</v>
      </c>
      <c r="C162" t="s">
        <v>2509</v>
      </c>
      <c r="D162" t="s">
        <v>1963</v>
      </c>
      <c r="E162" t="s">
        <v>2020</v>
      </c>
      <c r="F162" t="s">
        <v>2055</v>
      </c>
      <c r="G162" t="s">
        <v>2056</v>
      </c>
      <c r="H162" t="s">
        <v>2023</v>
      </c>
      <c r="I162" t="s">
        <v>1426</v>
      </c>
      <c r="J162" t="s">
        <v>1963</v>
      </c>
      <c r="K162" t="s">
        <v>2525</v>
      </c>
      <c r="L162" t="s">
        <v>2046</v>
      </c>
      <c r="M162" t="s">
        <v>2058</v>
      </c>
      <c r="N162" t="s">
        <v>2059</v>
      </c>
      <c r="O162" t="s">
        <v>2060</v>
      </c>
      <c r="P162" t="s">
        <v>2061</v>
      </c>
      <c r="Q162" t="s">
        <v>2062</v>
      </c>
      <c r="R162" t="s">
        <v>14</v>
      </c>
      <c r="S162" t="s">
        <v>2063</v>
      </c>
      <c r="T162" t="s">
        <v>2064</v>
      </c>
      <c r="U162" t="s">
        <v>2052</v>
      </c>
      <c r="V162" t="s">
        <v>14</v>
      </c>
      <c r="W162" t="b">
        <v>1</v>
      </c>
      <c r="X162" t="s">
        <v>1602</v>
      </c>
      <c r="Y162" t="b">
        <v>0</v>
      </c>
      <c r="Z162" t="s">
        <v>2053</v>
      </c>
    </row>
    <row r="163" spans="1:26" x14ac:dyDescent="0.35">
      <c r="A163" t="s">
        <v>1603</v>
      </c>
      <c r="B163" t="s">
        <v>2526</v>
      </c>
      <c r="C163" t="s">
        <v>2509</v>
      </c>
      <c r="D163" t="s">
        <v>1963</v>
      </c>
      <c r="E163" t="s">
        <v>2020</v>
      </c>
      <c r="F163" t="s">
        <v>2055</v>
      </c>
      <c r="G163" t="s">
        <v>2056</v>
      </c>
      <c r="H163" t="s">
        <v>2023</v>
      </c>
      <c r="I163" t="s">
        <v>1426</v>
      </c>
      <c r="J163" t="s">
        <v>1963</v>
      </c>
      <c r="K163" t="s">
        <v>2527</v>
      </c>
      <c r="L163" t="s">
        <v>2046</v>
      </c>
      <c r="M163" t="s">
        <v>2058</v>
      </c>
      <c r="N163" t="s">
        <v>2059</v>
      </c>
      <c r="O163" t="s">
        <v>2060</v>
      </c>
      <c r="P163" t="s">
        <v>2061</v>
      </c>
      <c r="Q163" t="s">
        <v>2062</v>
      </c>
      <c r="R163" t="s">
        <v>14</v>
      </c>
      <c r="S163" t="s">
        <v>2063</v>
      </c>
      <c r="T163" t="s">
        <v>2064</v>
      </c>
      <c r="U163" t="s">
        <v>2052</v>
      </c>
      <c r="V163" t="s">
        <v>14</v>
      </c>
      <c r="W163" t="b">
        <v>1</v>
      </c>
      <c r="X163" t="s">
        <v>1604</v>
      </c>
      <c r="Y163" t="b">
        <v>0</v>
      </c>
      <c r="Z163" t="s">
        <v>2053</v>
      </c>
    </row>
    <row r="164" spans="1:26" x14ac:dyDescent="0.35">
      <c r="A164" t="s">
        <v>1605</v>
      </c>
      <c r="B164" t="s">
        <v>2528</v>
      </c>
      <c r="C164" t="s">
        <v>2509</v>
      </c>
      <c r="D164" t="s">
        <v>1963</v>
      </c>
      <c r="E164" t="s">
        <v>2020</v>
      </c>
      <c r="F164" t="s">
        <v>2021</v>
      </c>
      <c r="G164" t="s">
        <v>2022</v>
      </c>
      <c r="H164" t="s">
        <v>2023</v>
      </c>
      <c r="I164" t="s">
        <v>1829</v>
      </c>
      <c r="J164" t="s">
        <v>1963</v>
      </c>
      <c r="K164" t="s">
        <v>2529</v>
      </c>
      <c r="L164" t="s">
        <v>2046</v>
      </c>
      <c r="M164" t="s">
        <v>14</v>
      </c>
      <c r="N164" t="s">
        <v>14</v>
      </c>
      <c r="O164" t="s">
        <v>2111</v>
      </c>
      <c r="P164" t="s">
        <v>2112</v>
      </c>
      <c r="Q164" t="s">
        <v>14</v>
      </c>
      <c r="R164" t="s">
        <v>14</v>
      </c>
      <c r="S164" t="s">
        <v>14</v>
      </c>
      <c r="T164" t="s">
        <v>14</v>
      </c>
      <c r="U164" t="s">
        <v>2052</v>
      </c>
      <c r="V164" t="s">
        <v>14</v>
      </c>
      <c r="W164" t="b">
        <v>1</v>
      </c>
      <c r="X164" t="s">
        <v>1606</v>
      </c>
      <c r="Y164" t="b">
        <v>0</v>
      </c>
      <c r="Z164" t="s">
        <v>2053</v>
      </c>
    </row>
    <row r="165" spans="1:26" x14ac:dyDescent="0.35">
      <c r="A165" t="s">
        <v>2530</v>
      </c>
      <c r="B165" t="s">
        <v>2531</v>
      </c>
      <c r="C165" t="s">
        <v>2509</v>
      </c>
      <c r="D165" t="s">
        <v>1963</v>
      </c>
      <c r="E165" t="s">
        <v>2020</v>
      </c>
      <c r="F165" t="s">
        <v>2140</v>
      </c>
      <c r="G165" t="s">
        <v>2141</v>
      </c>
      <c r="H165" t="s">
        <v>2023</v>
      </c>
      <c r="I165" t="s">
        <v>1806</v>
      </c>
      <c r="J165" t="s">
        <v>1963</v>
      </c>
      <c r="K165" t="s">
        <v>2532</v>
      </c>
      <c r="L165" t="s">
        <v>2046</v>
      </c>
      <c r="M165" t="s">
        <v>2067</v>
      </c>
      <c r="N165" t="s">
        <v>2068</v>
      </c>
      <c r="O165" t="s">
        <v>2047</v>
      </c>
      <c r="P165" t="s">
        <v>2048</v>
      </c>
      <c r="Q165" t="s">
        <v>14</v>
      </c>
      <c r="R165" t="s">
        <v>14</v>
      </c>
      <c r="S165" t="s">
        <v>2069</v>
      </c>
      <c r="T165" t="s">
        <v>2070</v>
      </c>
      <c r="U165" t="s">
        <v>2052</v>
      </c>
      <c r="V165" t="s">
        <v>14</v>
      </c>
      <c r="W165" t="b">
        <v>1</v>
      </c>
      <c r="X165" t="s">
        <v>2533</v>
      </c>
      <c r="Y165" t="b">
        <v>0</v>
      </c>
      <c r="Z165" t="s">
        <v>2053</v>
      </c>
    </row>
    <row r="166" spans="1:26" x14ac:dyDescent="0.35">
      <c r="A166" t="s">
        <v>2530</v>
      </c>
      <c r="B166" t="s">
        <v>2531</v>
      </c>
      <c r="C166" t="s">
        <v>2509</v>
      </c>
      <c r="D166" t="s">
        <v>1963</v>
      </c>
      <c r="E166" t="s">
        <v>2020</v>
      </c>
      <c r="F166" t="s">
        <v>2140</v>
      </c>
      <c r="G166" t="s">
        <v>2141</v>
      </c>
      <c r="H166" t="s">
        <v>2023</v>
      </c>
      <c r="I166" t="s">
        <v>2144</v>
      </c>
      <c r="J166" t="s">
        <v>1963</v>
      </c>
      <c r="K166" t="s">
        <v>2532</v>
      </c>
      <c r="L166" t="s">
        <v>2046</v>
      </c>
      <c r="M166" t="s">
        <v>2047</v>
      </c>
      <c r="N166" t="s">
        <v>2048</v>
      </c>
      <c r="O166" t="s">
        <v>2047</v>
      </c>
      <c r="P166" t="s">
        <v>2048</v>
      </c>
      <c r="Q166" t="s">
        <v>2145</v>
      </c>
      <c r="R166" t="s">
        <v>14</v>
      </c>
      <c r="S166" t="s">
        <v>2069</v>
      </c>
      <c r="T166" t="s">
        <v>2070</v>
      </c>
      <c r="U166" t="s">
        <v>2052</v>
      </c>
      <c r="V166" t="s">
        <v>14</v>
      </c>
      <c r="W166" t="b">
        <v>1</v>
      </c>
      <c r="X166" t="s">
        <v>2533</v>
      </c>
      <c r="Y166" t="b">
        <v>0</v>
      </c>
      <c r="Z166" t="s">
        <v>2053</v>
      </c>
    </row>
    <row r="167" spans="1:26" x14ac:dyDescent="0.35">
      <c r="A167" t="s">
        <v>2530</v>
      </c>
      <c r="B167" t="s">
        <v>2531</v>
      </c>
      <c r="C167" t="s">
        <v>2509</v>
      </c>
      <c r="D167" t="s">
        <v>1963</v>
      </c>
      <c r="E167" t="s">
        <v>2020</v>
      </c>
      <c r="F167" t="s">
        <v>2140</v>
      </c>
      <c r="G167" t="s">
        <v>2141</v>
      </c>
      <c r="H167" t="s">
        <v>2023</v>
      </c>
      <c r="I167" t="s">
        <v>2146</v>
      </c>
      <c r="J167" t="s">
        <v>1963</v>
      </c>
      <c r="K167" t="s">
        <v>2532</v>
      </c>
      <c r="L167" t="s">
        <v>2046</v>
      </c>
      <c r="M167" t="s">
        <v>14</v>
      </c>
      <c r="N167" t="s">
        <v>14</v>
      </c>
      <c r="O167" t="s">
        <v>2147</v>
      </c>
      <c r="P167" t="s">
        <v>2148</v>
      </c>
      <c r="Q167" t="s">
        <v>14</v>
      </c>
      <c r="R167" t="s">
        <v>14</v>
      </c>
      <c r="S167" t="s">
        <v>14</v>
      </c>
      <c r="T167" t="s">
        <v>14</v>
      </c>
      <c r="U167" t="s">
        <v>2052</v>
      </c>
      <c r="V167" t="s">
        <v>14</v>
      </c>
      <c r="W167" t="b">
        <v>1</v>
      </c>
      <c r="X167" t="s">
        <v>2533</v>
      </c>
      <c r="Y167" t="b">
        <v>0</v>
      </c>
      <c r="Z167" t="s">
        <v>2053</v>
      </c>
    </row>
    <row r="168" spans="1:26" x14ac:dyDescent="0.35">
      <c r="A168" t="s">
        <v>1607</v>
      </c>
      <c r="B168" t="s">
        <v>2534</v>
      </c>
      <c r="C168" t="s">
        <v>2509</v>
      </c>
      <c r="D168" t="s">
        <v>1963</v>
      </c>
      <c r="E168" t="s">
        <v>2020</v>
      </c>
      <c r="F168" t="s">
        <v>2021</v>
      </c>
      <c r="G168" t="s">
        <v>2022</v>
      </c>
      <c r="H168" t="s">
        <v>2023</v>
      </c>
      <c r="I168" t="s">
        <v>2513</v>
      </c>
      <c r="J168" t="s">
        <v>1963</v>
      </c>
      <c r="K168" t="s">
        <v>2535</v>
      </c>
      <c r="L168" t="s">
        <v>2046</v>
      </c>
      <c r="M168" t="s">
        <v>2514</v>
      </c>
      <c r="N168" t="s">
        <v>2515</v>
      </c>
      <c r="O168" t="s">
        <v>2211</v>
      </c>
      <c r="P168" t="s">
        <v>2212</v>
      </c>
      <c r="Q168" t="s">
        <v>2049</v>
      </c>
      <c r="R168" t="s">
        <v>14</v>
      </c>
      <c r="S168" t="s">
        <v>2231</v>
      </c>
      <c r="T168" t="s">
        <v>2232</v>
      </c>
      <c r="U168" t="s">
        <v>2052</v>
      </c>
      <c r="V168" t="s">
        <v>14</v>
      </c>
      <c r="W168" t="b">
        <v>1</v>
      </c>
      <c r="X168" t="s">
        <v>1608</v>
      </c>
      <c r="Y168" t="b">
        <v>0</v>
      </c>
      <c r="Z168" t="s">
        <v>2053</v>
      </c>
    </row>
    <row r="169" spans="1:26" x14ac:dyDescent="0.35">
      <c r="A169" t="s">
        <v>1607</v>
      </c>
      <c r="B169" t="s">
        <v>2534</v>
      </c>
      <c r="C169" t="s">
        <v>2509</v>
      </c>
      <c r="D169" t="s">
        <v>1963</v>
      </c>
      <c r="E169" t="s">
        <v>2020</v>
      </c>
      <c r="F169" t="s">
        <v>2021</v>
      </c>
      <c r="G169" t="s">
        <v>2022</v>
      </c>
      <c r="H169" t="s">
        <v>2023</v>
      </c>
      <c r="I169" t="s">
        <v>2213</v>
      </c>
      <c r="J169" t="s">
        <v>1963</v>
      </c>
      <c r="K169" t="s">
        <v>2535</v>
      </c>
      <c r="L169" t="s">
        <v>2046</v>
      </c>
      <c r="M169" t="s">
        <v>2214</v>
      </c>
      <c r="N169" t="s">
        <v>2215</v>
      </c>
      <c r="O169" t="s">
        <v>2214</v>
      </c>
      <c r="P169" t="s">
        <v>2215</v>
      </c>
      <c r="Q169" t="s">
        <v>14</v>
      </c>
      <c r="R169" t="s">
        <v>14</v>
      </c>
      <c r="S169" t="s">
        <v>14</v>
      </c>
      <c r="T169" t="s">
        <v>14</v>
      </c>
      <c r="U169" t="s">
        <v>2052</v>
      </c>
      <c r="V169" t="s">
        <v>14</v>
      </c>
      <c r="W169" t="b">
        <v>1</v>
      </c>
      <c r="X169" t="s">
        <v>1608</v>
      </c>
      <c r="Y169" t="b">
        <v>0</v>
      </c>
      <c r="Z169" t="s">
        <v>2053</v>
      </c>
    </row>
    <row r="170" spans="1:26" x14ac:dyDescent="0.35">
      <c r="A170" t="s">
        <v>2536</v>
      </c>
      <c r="B170" t="s">
        <v>2537</v>
      </c>
      <c r="C170" t="s">
        <v>2538</v>
      </c>
      <c r="D170" t="s">
        <v>1963</v>
      </c>
      <c r="E170" t="s">
        <v>2020</v>
      </c>
      <c r="F170" t="s">
        <v>2021</v>
      </c>
      <c r="G170" t="s">
        <v>2022</v>
      </c>
      <c r="H170" t="s">
        <v>2023</v>
      </c>
      <c r="I170" t="s">
        <v>1426</v>
      </c>
      <c r="J170" t="s">
        <v>1963</v>
      </c>
      <c r="K170" t="s">
        <v>2539</v>
      </c>
      <c r="L170" t="s">
        <v>2540</v>
      </c>
      <c r="M170" t="s">
        <v>2058</v>
      </c>
      <c r="N170" t="s">
        <v>2059</v>
      </c>
      <c r="O170" t="s">
        <v>2060</v>
      </c>
      <c r="P170" t="s">
        <v>2061</v>
      </c>
      <c r="Q170" t="s">
        <v>2062</v>
      </c>
      <c r="R170" t="s">
        <v>14</v>
      </c>
      <c r="S170" t="s">
        <v>2063</v>
      </c>
      <c r="T170" t="s">
        <v>2064</v>
      </c>
      <c r="U170" t="s">
        <v>2052</v>
      </c>
      <c r="V170" t="s">
        <v>14</v>
      </c>
      <c r="W170" t="b">
        <v>1</v>
      </c>
      <c r="X170" t="s">
        <v>2541</v>
      </c>
      <c r="Y170" t="b">
        <v>0</v>
      </c>
      <c r="Z170" t="s">
        <v>2053</v>
      </c>
    </row>
    <row r="171" spans="1:26" x14ac:dyDescent="0.35">
      <c r="A171" t="s">
        <v>2542</v>
      </c>
      <c r="B171" t="s">
        <v>2543</v>
      </c>
      <c r="C171" t="s">
        <v>2544</v>
      </c>
      <c r="D171" t="s">
        <v>1963</v>
      </c>
      <c r="E171" t="s">
        <v>2020</v>
      </c>
      <c r="F171" t="s">
        <v>2055</v>
      </c>
      <c r="G171" t="s">
        <v>2056</v>
      </c>
      <c r="H171" t="s">
        <v>2023</v>
      </c>
      <c r="I171" t="s">
        <v>2118</v>
      </c>
      <c r="J171" t="s">
        <v>1963</v>
      </c>
      <c r="K171" t="s">
        <v>2545</v>
      </c>
      <c r="L171" t="s">
        <v>2046</v>
      </c>
      <c r="M171" t="s">
        <v>2120</v>
      </c>
      <c r="N171" t="s">
        <v>2121</v>
      </c>
      <c r="O171" t="s">
        <v>2060</v>
      </c>
      <c r="P171" t="s">
        <v>2061</v>
      </c>
      <c r="Q171" t="s">
        <v>2122</v>
      </c>
      <c r="R171" t="s">
        <v>14</v>
      </c>
      <c r="S171" t="s">
        <v>2123</v>
      </c>
      <c r="T171" t="s">
        <v>2124</v>
      </c>
      <c r="U171" t="s">
        <v>2052</v>
      </c>
      <c r="V171" t="s">
        <v>14</v>
      </c>
      <c r="W171" t="b">
        <v>1</v>
      </c>
      <c r="X171" t="s">
        <v>2546</v>
      </c>
      <c r="Y171" t="b">
        <v>0</v>
      </c>
      <c r="Z171" t="s">
        <v>2053</v>
      </c>
    </row>
    <row r="172" spans="1:26" x14ac:dyDescent="0.35">
      <c r="A172" t="s">
        <v>2542</v>
      </c>
      <c r="B172" t="s">
        <v>2543</v>
      </c>
      <c r="C172" t="s">
        <v>2544</v>
      </c>
      <c r="D172" t="s">
        <v>1963</v>
      </c>
      <c r="E172" t="s">
        <v>2020</v>
      </c>
      <c r="F172" t="s">
        <v>2055</v>
      </c>
      <c r="G172" t="s">
        <v>2056</v>
      </c>
      <c r="H172" t="s">
        <v>2023</v>
      </c>
      <c r="I172" t="s">
        <v>1764</v>
      </c>
      <c r="J172" t="s">
        <v>1963</v>
      </c>
      <c r="K172" t="s">
        <v>2545</v>
      </c>
      <c r="L172" t="s">
        <v>2046</v>
      </c>
      <c r="M172" t="s">
        <v>2120</v>
      </c>
      <c r="N172" t="s">
        <v>2121</v>
      </c>
      <c r="O172" t="s">
        <v>2060</v>
      </c>
      <c r="P172" t="s">
        <v>2061</v>
      </c>
      <c r="Q172" t="s">
        <v>2122</v>
      </c>
      <c r="R172" t="s">
        <v>14</v>
      </c>
      <c r="S172" t="s">
        <v>2125</v>
      </c>
      <c r="T172" t="s">
        <v>2126</v>
      </c>
      <c r="U172" t="s">
        <v>2052</v>
      </c>
      <c r="V172" t="s">
        <v>14</v>
      </c>
      <c r="W172" t="b">
        <v>1</v>
      </c>
      <c r="X172" t="s">
        <v>2546</v>
      </c>
      <c r="Y172" t="b">
        <v>0</v>
      </c>
      <c r="Z172" t="s">
        <v>2032</v>
      </c>
    </row>
    <row r="173" spans="1:26" x14ac:dyDescent="0.35">
      <c r="A173" t="s">
        <v>1610</v>
      </c>
      <c r="B173" t="s">
        <v>2547</v>
      </c>
      <c r="C173" t="s">
        <v>2538</v>
      </c>
      <c r="D173" t="s">
        <v>1963</v>
      </c>
      <c r="E173" t="s">
        <v>2020</v>
      </c>
      <c r="F173" t="s">
        <v>2055</v>
      </c>
      <c r="G173" t="s">
        <v>2056</v>
      </c>
      <c r="H173" t="s">
        <v>2023</v>
      </c>
      <c r="I173" t="s">
        <v>1426</v>
      </c>
      <c r="J173" t="s">
        <v>1963</v>
      </c>
      <c r="K173" t="s">
        <v>2548</v>
      </c>
      <c r="L173" t="s">
        <v>2046</v>
      </c>
      <c r="M173" t="s">
        <v>2058</v>
      </c>
      <c r="N173" t="s">
        <v>2059</v>
      </c>
      <c r="O173" t="s">
        <v>2060</v>
      </c>
      <c r="P173" t="s">
        <v>2061</v>
      </c>
      <c r="Q173" t="s">
        <v>2062</v>
      </c>
      <c r="R173" t="s">
        <v>14</v>
      </c>
      <c r="S173" t="s">
        <v>2063</v>
      </c>
      <c r="T173" t="s">
        <v>2064</v>
      </c>
      <c r="U173" t="s">
        <v>2052</v>
      </c>
      <c r="V173" t="s">
        <v>14</v>
      </c>
      <c r="W173" t="b">
        <v>1</v>
      </c>
      <c r="X173" t="s">
        <v>1611</v>
      </c>
      <c r="Y173" t="b">
        <v>0</v>
      </c>
      <c r="Z173" t="s">
        <v>2053</v>
      </c>
    </row>
    <row r="174" spans="1:26" x14ac:dyDescent="0.35">
      <c r="A174" t="s">
        <v>1612</v>
      </c>
      <c r="B174" t="s">
        <v>2549</v>
      </c>
      <c r="C174" t="s">
        <v>2538</v>
      </c>
      <c r="D174" t="s">
        <v>1963</v>
      </c>
      <c r="E174" t="s">
        <v>2020</v>
      </c>
      <c r="F174" t="s">
        <v>2055</v>
      </c>
      <c r="G174" t="s">
        <v>2056</v>
      </c>
      <c r="H174" t="s">
        <v>2023</v>
      </c>
      <c r="I174" t="s">
        <v>1426</v>
      </c>
      <c r="J174" t="s">
        <v>1963</v>
      </c>
      <c r="K174" t="s">
        <v>2550</v>
      </c>
      <c r="L174" t="s">
        <v>2046</v>
      </c>
      <c r="M174" t="s">
        <v>2058</v>
      </c>
      <c r="N174" t="s">
        <v>2059</v>
      </c>
      <c r="O174" t="s">
        <v>2060</v>
      </c>
      <c r="P174" t="s">
        <v>2061</v>
      </c>
      <c r="Q174" t="s">
        <v>2062</v>
      </c>
      <c r="R174" t="s">
        <v>14</v>
      </c>
      <c r="S174" t="s">
        <v>2063</v>
      </c>
      <c r="T174" t="s">
        <v>2064</v>
      </c>
      <c r="U174" t="s">
        <v>2052</v>
      </c>
      <c r="V174" t="s">
        <v>14</v>
      </c>
      <c r="W174" t="b">
        <v>1</v>
      </c>
      <c r="X174" t="s">
        <v>1613</v>
      </c>
      <c r="Y174" t="b">
        <v>0</v>
      </c>
      <c r="Z174" t="s">
        <v>2053</v>
      </c>
    </row>
    <row r="175" spans="1:26" x14ac:dyDescent="0.35">
      <c r="A175" t="s">
        <v>1614</v>
      </c>
      <c r="B175" t="s">
        <v>2551</v>
      </c>
      <c r="C175" t="s">
        <v>2538</v>
      </c>
      <c r="D175" t="s">
        <v>1963</v>
      </c>
      <c r="E175" t="s">
        <v>2020</v>
      </c>
      <c r="F175" t="s">
        <v>2055</v>
      </c>
      <c r="G175" t="s">
        <v>2056</v>
      </c>
      <c r="H175" t="s">
        <v>2023</v>
      </c>
      <c r="I175" t="s">
        <v>2132</v>
      </c>
      <c r="J175" t="s">
        <v>1963</v>
      </c>
      <c r="K175" t="s">
        <v>2552</v>
      </c>
      <c r="L175" t="s">
        <v>2046</v>
      </c>
      <c r="M175" t="s">
        <v>2058</v>
      </c>
      <c r="N175" t="s">
        <v>2059</v>
      </c>
      <c r="O175" t="s">
        <v>2060</v>
      </c>
      <c r="P175" t="s">
        <v>2061</v>
      </c>
      <c r="Q175" t="s">
        <v>2062</v>
      </c>
      <c r="R175" t="s">
        <v>14</v>
      </c>
      <c r="S175" t="s">
        <v>2134</v>
      </c>
      <c r="T175" t="s">
        <v>2135</v>
      </c>
      <c r="U175" t="s">
        <v>2052</v>
      </c>
      <c r="V175" t="s">
        <v>14</v>
      </c>
      <c r="W175" t="b">
        <v>1</v>
      </c>
      <c r="X175" t="s">
        <v>1615</v>
      </c>
      <c r="Y175" t="b">
        <v>0</v>
      </c>
      <c r="Z175" t="s">
        <v>2053</v>
      </c>
    </row>
    <row r="176" spans="1:26" x14ac:dyDescent="0.35">
      <c r="A176" t="s">
        <v>1614</v>
      </c>
      <c r="B176" t="s">
        <v>2551</v>
      </c>
      <c r="C176" t="s">
        <v>2538</v>
      </c>
      <c r="D176" t="s">
        <v>1963</v>
      </c>
      <c r="E176" t="s">
        <v>2020</v>
      </c>
      <c r="F176" t="s">
        <v>2055</v>
      </c>
      <c r="G176" t="s">
        <v>2056</v>
      </c>
      <c r="H176" t="s">
        <v>2023</v>
      </c>
      <c r="I176" t="s">
        <v>1426</v>
      </c>
      <c r="J176" t="s">
        <v>1963</v>
      </c>
      <c r="K176" t="s">
        <v>2552</v>
      </c>
      <c r="L176" t="s">
        <v>2046</v>
      </c>
      <c r="M176" t="s">
        <v>2058</v>
      </c>
      <c r="N176" t="s">
        <v>2059</v>
      </c>
      <c r="O176" t="s">
        <v>2060</v>
      </c>
      <c r="P176" t="s">
        <v>2061</v>
      </c>
      <c r="Q176" t="s">
        <v>2062</v>
      </c>
      <c r="R176" t="s">
        <v>14</v>
      </c>
      <c r="S176" t="s">
        <v>2063</v>
      </c>
      <c r="T176" t="s">
        <v>2064</v>
      </c>
      <c r="U176" t="s">
        <v>2052</v>
      </c>
      <c r="V176" t="s">
        <v>14</v>
      </c>
      <c r="W176" t="b">
        <v>1</v>
      </c>
      <c r="X176" t="s">
        <v>1615</v>
      </c>
      <c r="Y176" t="b">
        <v>0</v>
      </c>
      <c r="Z176" t="s">
        <v>2053</v>
      </c>
    </row>
    <row r="177" spans="1:26" x14ac:dyDescent="0.35">
      <c r="A177" t="s">
        <v>1616</v>
      </c>
      <c r="B177" t="s">
        <v>2553</v>
      </c>
      <c r="C177" t="s">
        <v>2538</v>
      </c>
      <c r="D177" t="s">
        <v>1963</v>
      </c>
      <c r="E177" t="s">
        <v>2020</v>
      </c>
      <c r="F177" t="s">
        <v>2055</v>
      </c>
      <c r="G177" t="s">
        <v>2056</v>
      </c>
      <c r="H177" t="s">
        <v>2023</v>
      </c>
      <c r="I177" t="s">
        <v>1426</v>
      </c>
      <c r="J177" t="s">
        <v>1963</v>
      </c>
      <c r="K177" t="s">
        <v>2554</v>
      </c>
      <c r="L177" t="s">
        <v>2046</v>
      </c>
      <c r="M177" t="s">
        <v>2058</v>
      </c>
      <c r="N177" t="s">
        <v>2059</v>
      </c>
      <c r="O177" t="s">
        <v>2060</v>
      </c>
      <c r="P177" t="s">
        <v>2061</v>
      </c>
      <c r="Q177" t="s">
        <v>2062</v>
      </c>
      <c r="R177" t="s">
        <v>14</v>
      </c>
      <c r="S177" t="s">
        <v>2063</v>
      </c>
      <c r="T177" t="s">
        <v>2064</v>
      </c>
      <c r="U177" t="s">
        <v>2052</v>
      </c>
      <c r="V177" t="s">
        <v>14</v>
      </c>
      <c r="W177" t="b">
        <v>1</v>
      </c>
      <c r="X177" t="s">
        <v>1617</v>
      </c>
      <c r="Y177" t="b">
        <v>0</v>
      </c>
      <c r="Z177" t="s">
        <v>2053</v>
      </c>
    </row>
    <row r="178" spans="1:26" x14ac:dyDescent="0.35">
      <c r="A178" t="s">
        <v>1618</v>
      </c>
      <c r="B178" t="s">
        <v>2555</v>
      </c>
      <c r="C178" t="s">
        <v>2175</v>
      </c>
      <c r="D178" t="s">
        <v>1963</v>
      </c>
      <c r="E178" t="s">
        <v>2020</v>
      </c>
      <c r="F178" t="s">
        <v>2055</v>
      </c>
      <c r="G178" t="s">
        <v>2056</v>
      </c>
      <c r="H178" t="s">
        <v>2023</v>
      </c>
      <c r="I178" t="s">
        <v>2197</v>
      </c>
      <c r="J178" t="s">
        <v>1963</v>
      </c>
      <c r="K178" t="s">
        <v>2556</v>
      </c>
      <c r="L178" t="s">
        <v>2046</v>
      </c>
      <c r="M178" t="s">
        <v>2120</v>
      </c>
      <c r="N178" t="s">
        <v>2121</v>
      </c>
      <c r="O178" t="s">
        <v>2060</v>
      </c>
      <c r="P178" t="s">
        <v>2061</v>
      </c>
      <c r="Q178" t="s">
        <v>2122</v>
      </c>
      <c r="R178" t="s">
        <v>14</v>
      </c>
      <c r="S178" t="s">
        <v>2123</v>
      </c>
      <c r="T178" t="s">
        <v>2124</v>
      </c>
      <c r="U178" t="s">
        <v>2052</v>
      </c>
      <c r="V178" t="s">
        <v>14</v>
      </c>
      <c r="W178" t="b">
        <v>1</v>
      </c>
      <c r="X178" t="s">
        <v>1619</v>
      </c>
      <c r="Y178" t="b">
        <v>0</v>
      </c>
      <c r="Z178" t="s">
        <v>2032</v>
      </c>
    </row>
    <row r="179" spans="1:26" x14ac:dyDescent="0.35">
      <c r="A179" t="s">
        <v>1618</v>
      </c>
      <c r="B179" t="s">
        <v>2555</v>
      </c>
      <c r="C179" t="s">
        <v>2175</v>
      </c>
      <c r="D179" t="s">
        <v>1963</v>
      </c>
      <c r="E179" t="s">
        <v>2020</v>
      </c>
      <c r="F179" t="s">
        <v>2055</v>
      </c>
      <c r="G179" t="s">
        <v>2056</v>
      </c>
      <c r="H179" t="s">
        <v>2023</v>
      </c>
      <c r="I179" t="s">
        <v>2199</v>
      </c>
      <c r="J179" t="s">
        <v>1963</v>
      </c>
      <c r="K179" t="s">
        <v>2556</v>
      </c>
      <c r="L179" t="s">
        <v>2046</v>
      </c>
      <c r="M179" t="s">
        <v>2120</v>
      </c>
      <c r="N179" t="s">
        <v>2121</v>
      </c>
      <c r="O179" t="s">
        <v>2060</v>
      </c>
      <c r="P179" t="s">
        <v>2061</v>
      </c>
      <c r="Q179" t="s">
        <v>2122</v>
      </c>
      <c r="R179" t="s">
        <v>14</v>
      </c>
      <c r="S179" t="s">
        <v>2200</v>
      </c>
      <c r="T179" t="s">
        <v>2201</v>
      </c>
      <c r="U179" t="s">
        <v>2052</v>
      </c>
      <c r="V179" t="s">
        <v>14</v>
      </c>
      <c r="W179" t="b">
        <v>1</v>
      </c>
      <c r="X179" t="s">
        <v>1619</v>
      </c>
      <c r="Y179" t="b">
        <v>0</v>
      </c>
      <c r="Z179" t="s">
        <v>2053</v>
      </c>
    </row>
    <row r="180" spans="1:26" x14ac:dyDescent="0.35">
      <c r="A180" t="s">
        <v>1844</v>
      </c>
      <c r="B180" t="s">
        <v>2557</v>
      </c>
      <c r="C180" t="s">
        <v>2175</v>
      </c>
      <c r="D180" t="s">
        <v>1963</v>
      </c>
      <c r="E180" t="s">
        <v>2020</v>
      </c>
      <c r="F180" t="s">
        <v>2055</v>
      </c>
      <c r="G180" t="s">
        <v>2056</v>
      </c>
      <c r="H180" t="s">
        <v>2023</v>
      </c>
      <c r="I180" t="s">
        <v>25</v>
      </c>
      <c r="J180" t="s">
        <v>1963</v>
      </c>
      <c r="K180" t="s">
        <v>2558</v>
      </c>
      <c r="L180" t="s">
        <v>2025</v>
      </c>
      <c r="M180" t="s">
        <v>2073</v>
      </c>
      <c r="N180" t="s">
        <v>2074</v>
      </c>
      <c r="O180" t="s">
        <v>2075</v>
      </c>
      <c r="P180" t="s">
        <v>2076</v>
      </c>
      <c r="Q180" t="s">
        <v>2077</v>
      </c>
      <c r="R180" t="s">
        <v>14</v>
      </c>
      <c r="S180" t="s">
        <v>2078</v>
      </c>
      <c r="T180" t="s">
        <v>2079</v>
      </c>
      <c r="U180" t="s">
        <v>2080</v>
      </c>
      <c r="V180" t="s">
        <v>14</v>
      </c>
      <c r="W180" t="b">
        <v>1</v>
      </c>
      <c r="X180" t="s">
        <v>1845</v>
      </c>
      <c r="Y180" t="b">
        <v>0</v>
      </c>
      <c r="Z180" t="s">
        <v>2081</v>
      </c>
    </row>
    <row r="181" spans="1:26" x14ac:dyDescent="0.35">
      <c r="A181" t="s">
        <v>1620</v>
      </c>
      <c r="B181" t="s">
        <v>2559</v>
      </c>
      <c r="C181" t="s">
        <v>2175</v>
      </c>
      <c r="D181" t="s">
        <v>1963</v>
      </c>
      <c r="E181" t="s">
        <v>2020</v>
      </c>
      <c r="F181" t="s">
        <v>2055</v>
      </c>
      <c r="G181" t="s">
        <v>2056</v>
      </c>
      <c r="H181" t="s">
        <v>2023</v>
      </c>
      <c r="I181" t="s">
        <v>1756</v>
      </c>
      <c r="J181" t="s">
        <v>1963</v>
      </c>
      <c r="K181" t="s">
        <v>2560</v>
      </c>
      <c r="L181" t="s">
        <v>2025</v>
      </c>
      <c r="M181" t="s">
        <v>2250</v>
      </c>
      <c r="N181" t="s">
        <v>2251</v>
      </c>
      <c r="O181" t="s">
        <v>2047</v>
      </c>
      <c r="P181" t="s">
        <v>2048</v>
      </c>
      <c r="Q181" t="s">
        <v>2252</v>
      </c>
      <c r="R181" t="s">
        <v>14</v>
      </c>
      <c r="S181" t="s">
        <v>2253</v>
      </c>
      <c r="T181" t="s">
        <v>2254</v>
      </c>
      <c r="U181" t="s">
        <v>2052</v>
      </c>
      <c r="V181" t="s">
        <v>14</v>
      </c>
      <c r="W181" t="b">
        <v>1</v>
      </c>
      <c r="X181" t="s">
        <v>1621</v>
      </c>
      <c r="Y181" t="b">
        <v>0</v>
      </c>
      <c r="Z181" t="s">
        <v>2081</v>
      </c>
    </row>
    <row r="182" spans="1:26" x14ac:dyDescent="0.35">
      <c r="A182" t="s">
        <v>1622</v>
      </c>
      <c r="B182" t="s">
        <v>2561</v>
      </c>
      <c r="C182" t="s">
        <v>2175</v>
      </c>
      <c r="D182" t="s">
        <v>1963</v>
      </c>
      <c r="E182" t="s">
        <v>2020</v>
      </c>
      <c r="F182" t="s">
        <v>2055</v>
      </c>
      <c r="G182" t="s">
        <v>2056</v>
      </c>
      <c r="H182" t="s">
        <v>2023</v>
      </c>
      <c r="I182" t="s">
        <v>1756</v>
      </c>
      <c r="J182" t="s">
        <v>1963</v>
      </c>
      <c r="K182" t="s">
        <v>2562</v>
      </c>
      <c r="L182" t="s">
        <v>2046</v>
      </c>
      <c r="M182" t="s">
        <v>2250</v>
      </c>
      <c r="N182" t="s">
        <v>2251</v>
      </c>
      <c r="O182" t="s">
        <v>2047</v>
      </c>
      <c r="P182" t="s">
        <v>2048</v>
      </c>
      <c r="Q182" t="s">
        <v>2252</v>
      </c>
      <c r="R182" t="s">
        <v>14</v>
      </c>
      <c r="S182" t="s">
        <v>2253</v>
      </c>
      <c r="T182" t="s">
        <v>2254</v>
      </c>
      <c r="U182" t="s">
        <v>2052</v>
      </c>
      <c r="V182" t="s">
        <v>14</v>
      </c>
      <c r="W182" t="b">
        <v>1</v>
      </c>
      <c r="X182" t="s">
        <v>1623</v>
      </c>
      <c r="Y182" t="b">
        <v>0</v>
      </c>
      <c r="Z182" t="s">
        <v>2081</v>
      </c>
    </row>
    <row r="183" spans="1:26" x14ac:dyDescent="0.35">
      <c r="A183" t="s">
        <v>1624</v>
      </c>
      <c r="B183" t="s">
        <v>2563</v>
      </c>
      <c r="C183" t="s">
        <v>2175</v>
      </c>
      <c r="D183" t="s">
        <v>1963</v>
      </c>
      <c r="E183" t="s">
        <v>2020</v>
      </c>
      <c r="F183" t="s">
        <v>2055</v>
      </c>
      <c r="G183" t="s">
        <v>2056</v>
      </c>
      <c r="H183" t="s">
        <v>2023</v>
      </c>
      <c r="I183" t="s">
        <v>1756</v>
      </c>
      <c r="J183" t="s">
        <v>1963</v>
      </c>
      <c r="K183" t="s">
        <v>2564</v>
      </c>
      <c r="L183" t="s">
        <v>2046</v>
      </c>
      <c r="M183" t="s">
        <v>2250</v>
      </c>
      <c r="N183" t="s">
        <v>2251</v>
      </c>
      <c r="O183" t="s">
        <v>2047</v>
      </c>
      <c r="P183" t="s">
        <v>2048</v>
      </c>
      <c r="Q183" t="s">
        <v>2252</v>
      </c>
      <c r="R183" t="s">
        <v>14</v>
      </c>
      <c r="S183" t="s">
        <v>2253</v>
      </c>
      <c r="T183" t="s">
        <v>2254</v>
      </c>
      <c r="U183" t="s">
        <v>2052</v>
      </c>
      <c r="V183" t="s">
        <v>14</v>
      </c>
      <c r="W183" t="b">
        <v>1</v>
      </c>
      <c r="X183" t="s">
        <v>1625</v>
      </c>
      <c r="Y183" t="b">
        <v>0</v>
      </c>
      <c r="Z183" t="s">
        <v>2081</v>
      </c>
    </row>
    <row r="184" spans="1:26" x14ac:dyDescent="0.35">
      <c r="A184" t="s">
        <v>1626</v>
      </c>
      <c r="B184" t="s">
        <v>2565</v>
      </c>
      <c r="C184" t="s">
        <v>2175</v>
      </c>
      <c r="D184" t="s">
        <v>1963</v>
      </c>
      <c r="E184" t="s">
        <v>2020</v>
      </c>
      <c r="F184" t="s">
        <v>2055</v>
      </c>
      <c r="G184" t="s">
        <v>2056</v>
      </c>
      <c r="H184" t="s">
        <v>2023</v>
      </c>
      <c r="I184" t="s">
        <v>1756</v>
      </c>
      <c r="J184" t="s">
        <v>1963</v>
      </c>
      <c r="K184" t="s">
        <v>2566</v>
      </c>
      <c r="L184" t="s">
        <v>2046</v>
      </c>
      <c r="M184" t="s">
        <v>2250</v>
      </c>
      <c r="N184" t="s">
        <v>2251</v>
      </c>
      <c r="O184" t="s">
        <v>2047</v>
      </c>
      <c r="P184" t="s">
        <v>2048</v>
      </c>
      <c r="Q184" t="s">
        <v>2252</v>
      </c>
      <c r="R184" t="s">
        <v>14</v>
      </c>
      <c r="S184" t="s">
        <v>2253</v>
      </c>
      <c r="T184" t="s">
        <v>2254</v>
      </c>
      <c r="U184" t="s">
        <v>2052</v>
      </c>
      <c r="V184" t="s">
        <v>14</v>
      </c>
      <c r="W184" t="b">
        <v>1</v>
      </c>
      <c r="X184" t="s">
        <v>1627</v>
      </c>
      <c r="Y184" t="b">
        <v>0</v>
      </c>
      <c r="Z184" t="s">
        <v>2081</v>
      </c>
    </row>
    <row r="185" spans="1:26" x14ac:dyDescent="0.35">
      <c r="A185" t="s">
        <v>1628</v>
      </c>
      <c r="B185" t="s">
        <v>2567</v>
      </c>
      <c r="C185" t="s">
        <v>2175</v>
      </c>
      <c r="D185" t="s">
        <v>1963</v>
      </c>
      <c r="E185" t="s">
        <v>2020</v>
      </c>
      <c r="F185" t="s">
        <v>2021</v>
      </c>
      <c r="G185" t="s">
        <v>2022</v>
      </c>
      <c r="H185" t="s">
        <v>2023</v>
      </c>
      <c r="I185" t="s">
        <v>1756</v>
      </c>
      <c r="J185" t="s">
        <v>1963</v>
      </c>
      <c r="K185" t="s">
        <v>2568</v>
      </c>
      <c r="L185" t="s">
        <v>2025</v>
      </c>
      <c r="M185" t="s">
        <v>2250</v>
      </c>
      <c r="N185" t="s">
        <v>2251</v>
      </c>
      <c r="O185" t="s">
        <v>2047</v>
      </c>
      <c r="P185" t="s">
        <v>2048</v>
      </c>
      <c r="Q185" t="s">
        <v>2252</v>
      </c>
      <c r="R185" t="s">
        <v>14</v>
      </c>
      <c r="S185" t="s">
        <v>2253</v>
      </c>
      <c r="T185" t="s">
        <v>2254</v>
      </c>
      <c r="U185" t="s">
        <v>2052</v>
      </c>
      <c r="V185" t="s">
        <v>14</v>
      </c>
      <c r="W185" t="b">
        <v>1</v>
      </c>
      <c r="X185" t="s">
        <v>1629</v>
      </c>
      <c r="Y185" t="b">
        <v>0</v>
      </c>
      <c r="Z185" t="s">
        <v>2081</v>
      </c>
    </row>
    <row r="186" spans="1:26" x14ac:dyDescent="0.35">
      <c r="A186" t="s">
        <v>2569</v>
      </c>
      <c r="B186" t="s">
        <v>2570</v>
      </c>
      <c r="C186" t="s">
        <v>2175</v>
      </c>
      <c r="D186" t="s">
        <v>1963</v>
      </c>
      <c r="E186" t="s">
        <v>2020</v>
      </c>
      <c r="F186" t="s">
        <v>2055</v>
      </c>
      <c r="G186" t="s">
        <v>2056</v>
      </c>
      <c r="H186" t="s">
        <v>2023</v>
      </c>
      <c r="I186" t="s">
        <v>1426</v>
      </c>
      <c r="J186" t="s">
        <v>1963</v>
      </c>
      <c r="K186" t="s">
        <v>2571</v>
      </c>
      <c r="L186" t="s">
        <v>2046</v>
      </c>
      <c r="M186" t="s">
        <v>2058</v>
      </c>
      <c r="N186" t="s">
        <v>2059</v>
      </c>
      <c r="O186" t="s">
        <v>2060</v>
      </c>
      <c r="P186" t="s">
        <v>2061</v>
      </c>
      <c r="Q186" t="s">
        <v>2062</v>
      </c>
      <c r="R186" t="s">
        <v>14</v>
      </c>
      <c r="S186" t="s">
        <v>2063</v>
      </c>
      <c r="T186" t="s">
        <v>2064</v>
      </c>
      <c r="U186" t="s">
        <v>2052</v>
      </c>
      <c r="V186" t="s">
        <v>14</v>
      </c>
      <c r="W186" t="b">
        <v>1</v>
      </c>
      <c r="X186" t="s">
        <v>2572</v>
      </c>
      <c r="Y186" t="b">
        <v>0</v>
      </c>
      <c r="Z186" t="s">
        <v>2053</v>
      </c>
    </row>
    <row r="187" spans="1:26" x14ac:dyDescent="0.35">
      <c r="A187" t="s">
        <v>1630</v>
      </c>
      <c r="B187" t="s">
        <v>2573</v>
      </c>
      <c r="C187" t="s">
        <v>2175</v>
      </c>
      <c r="D187" t="s">
        <v>1963</v>
      </c>
      <c r="E187" t="s">
        <v>2020</v>
      </c>
      <c r="F187" t="s">
        <v>2055</v>
      </c>
      <c r="G187" t="s">
        <v>2056</v>
      </c>
      <c r="H187" t="s">
        <v>2023</v>
      </c>
      <c r="I187" t="s">
        <v>1426</v>
      </c>
      <c r="J187" t="s">
        <v>1963</v>
      </c>
      <c r="K187" t="s">
        <v>2574</v>
      </c>
      <c r="L187" t="s">
        <v>2046</v>
      </c>
      <c r="M187" t="s">
        <v>2058</v>
      </c>
      <c r="N187" t="s">
        <v>2059</v>
      </c>
      <c r="O187" t="s">
        <v>2060</v>
      </c>
      <c r="P187" t="s">
        <v>2061</v>
      </c>
      <c r="Q187" t="s">
        <v>2062</v>
      </c>
      <c r="R187" t="s">
        <v>14</v>
      </c>
      <c r="S187" t="s">
        <v>2063</v>
      </c>
      <c r="T187" t="s">
        <v>2064</v>
      </c>
      <c r="U187" t="s">
        <v>2052</v>
      </c>
      <c r="V187" t="s">
        <v>14</v>
      </c>
      <c r="W187" t="b">
        <v>1</v>
      </c>
      <c r="X187" t="s">
        <v>1631</v>
      </c>
      <c r="Y187" t="b">
        <v>0</v>
      </c>
      <c r="Z187" t="s">
        <v>2053</v>
      </c>
    </row>
    <row r="188" spans="1:26" x14ac:dyDescent="0.35">
      <c r="A188" t="s">
        <v>2575</v>
      </c>
      <c r="B188" t="s">
        <v>2576</v>
      </c>
      <c r="C188" t="s">
        <v>2175</v>
      </c>
      <c r="D188" t="s">
        <v>1963</v>
      </c>
      <c r="E188" t="s">
        <v>2020</v>
      </c>
      <c r="F188" t="s">
        <v>2055</v>
      </c>
      <c r="G188" t="s">
        <v>2056</v>
      </c>
      <c r="H188" t="s">
        <v>2023</v>
      </c>
      <c r="I188" t="s">
        <v>1426</v>
      </c>
      <c r="J188" t="s">
        <v>1963</v>
      </c>
      <c r="K188" t="s">
        <v>2577</v>
      </c>
      <c r="L188" t="s">
        <v>2046</v>
      </c>
      <c r="M188" t="s">
        <v>2058</v>
      </c>
      <c r="N188" t="s">
        <v>2059</v>
      </c>
      <c r="O188" t="s">
        <v>2060</v>
      </c>
      <c r="P188" t="s">
        <v>2061</v>
      </c>
      <c r="Q188" t="s">
        <v>2062</v>
      </c>
      <c r="R188" t="s">
        <v>14</v>
      </c>
      <c r="S188" t="s">
        <v>2063</v>
      </c>
      <c r="T188" t="s">
        <v>2064</v>
      </c>
      <c r="U188" t="s">
        <v>2052</v>
      </c>
      <c r="V188" t="s">
        <v>14</v>
      </c>
      <c r="W188" t="b">
        <v>1</v>
      </c>
      <c r="X188" t="s">
        <v>2578</v>
      </c>
      <c r="Y188" t="b">
        <v>0</v>
      </c>
      <c r="Z188" t="s">
        <v>2053</v>
      </c>
    </row>
    <row r="189" spans="1:26" x14ac:dyDescent="0.35">
      <c r="A189" t="s">
        <v>2579</v>
      </c>
      <c r="B189" t="s">
        <v>2580</v>
      </c>
      <c r="C189" t="s">
        <v>2175</v>
      </c>
      <c r="D189" t="s">
        <v>1963</v>
      </c>
      <c r="E189" t="s">
        <v>2020</v>
      </c>
      <c r="F189" t="s">
        <v>2055</v>
      </c>
      <c r="G189" t="s">
        <v>2056</v>
      </c>
      <c r="H189" t="s">
        <v>2023</v>
      </c>
      <c r="I189" t="s">
        <v>1426</v>
      </c>
      <c r="J189" t="s">
        <v>1963</v>
      </c>
      <c r="K189" t="s">
        <v>2581</v>
      </c>
      <c r="L189" t="s">
        <v>2046</v>
      </c>
      <c r="M189" t="s">
        <v>2058</v>
      </c>
      <c r="N189" t="s">
        <v>2059</v>
      </c>
      <c r="O189" t="s">
        <v>2060</v>
      </c>
      <c r="P189" t="s">
        <v>2061</v>
      </c>
      <c r="Q189" t="s">
        <v>2062</v>
      </c>
      <c r="R189" t="s">
        <v>14</v>
      </c>
      <c r="S189" t="s">
        <v>2063</v>
      </c>
      <c r="T189" t="s">
        <v>2064</v>
      </c>
      <c r="U189" t="s">
        <v>2052</v>
      </c>
      <c r="V189" t="s">
        <v>14</v>
      </c>
      <c r="W189" t="b">
        <v>1</v>
      </c>
      <c r="X189" t="s">
        <v>2582</v>
      </c>
      <c r="Y189" t="b">
        <v>0</v>
      </c>
      <c r="Z189" t="s">
        <v>2053</v>
      </c>
    </row>
    <row r="190" spans="1:26" x14ac:dyDescent="0.35">
      <c r="A190" t="s">
        <v>2579</v>
      </c>
      <c r="B190" t="s">
        <v>2580</v>
      </c>
      <c r="C190" t="s">
        <v>2175</v>
      </c>
      <c r="D190" t="s">
        <v>1963</v>
      </c>
      <c r="E190" t="s">
        <v>2020</v>
      </c>
      <c r="F190" t="s">
        <v>2055</v>
      </c>
      <c r="G190" t="s">
        <v>2056</v>
      </c>
      <c r="H190" t="s">
        <v>2023</v>
      </c>
      <c r="I190" t="s">
        <v>2132</v>
      </c>
      <c r="J190" t="s">
        <v>1963</v>
      </c>
      <c r="K190" t="s">
        <v>2581</v>
      </c>
      <c r="L190" t="s">
        <v>2046</v>
      </c>
      <c r="M190" t="s">
        <v>2058</v>
      </c>
      <c r="N190" t="s">
        <v>2059</v>
      </c>
      <c r="O190" t="s">
        <v>2060</v>
      </c>
      <c r="P190" t="s">
        <v>2061</v>
      </c>
      <c r="Q190" t="s">
        <v>2062</v>
      </c>
      <c r="R190" t="s">
        <v>14</v>
      </c>
      <c r="S190" t="s">
        <v>2134</v>
      </c>
      <c r="T190" t="s">
        <v>2135</v>
      </c>
      <c r="U190" t="s">
        <v>2052</v>
      </c>
      <c r="V190" t="s">
        <v>14</v>
      </c>
      <c r="W190" t="b">
        <v>1</v>
      </c>
      <c r="X190" t="s">
        <v>2582</v>
      </c>
      <c r="Y190" t="b">
        <v>0</v>
      </c>
      <c r="Z190" t="s">
        <v>2053</v>
      </c>
    </row>
    <row r="191" spans="1:26" x14ac:dyDescent="0.35">
      <c r="A191" t="s">
        <v>2583</v>
      </c>
      <c r="B191" t="s">
        <v>2584</v>
      </c>
      <c r="C191" t="s">
        <v>2175</v>
      </c>
      <c r="D191" t="s">
        <v>1963</v>
      </c>
      <c r="E191" t="s">
        <v>2020</v>
      </c>
      <c r="F191" t="s">
        <v>2055</v>
      </c>
      <c r="G191" t="s">
        <v>2056</v>
      </c>
      <c r="H191" t="s">
        <v>2023</v>
      </c>
      <c r="I191" t="s">
        <v>1426</v>
      </c>
      <c r="J191" t="s">
        <v>1963</v>
      </c>
      <c r="K191" t="s">
        <v>2585</v>
      </c>
      <c r="L191" t="s">
        <v>2046</v>
      </c>
      <c r="M191" t="s">
        <v>2058</v>
      </c>
      <c r="N191" t="s">
        <v>2059</v>
      </c>
      <c r="O191" t="s">
        <v>2060</v>
      </c>
      <c r="P191" t="s">
        <v>2061</v>
      </c>
      <c r="Q191" t="s">
        <v>2062</v>
      </c>
      <c r="R191" t="s">
        <v>14</v>
      </c>
      <c r="S191" t="s">
        <v>2063</v>
      </c>
      <c r="T191" t="s">
        <v>2064</v>
      </c>
      <c r="U191" t="s">
        <v>2052</v>
      </c>
      <c r="V191" t="s">
        <v>14</v>
      </c>
      <c r="W191" t="b">
        <v>1</v>
      </c>
      <c r="X191" t="s">
        <v>2586</v>
      </c>
      <c r="Y191" t="b">
        <v>0</v>
      </c>
      <c r="Z191" t="s">
        <v>2053</v>
      </c>
    </row>
    <row r="192" spans="1:26" x14ac:dyDescent="0.35">
      <c r="A192" t="s">
        <v>2587</v>
      </c>
      <c r="B192" t="s">
        <v>2588</v>
      </c>
      <c r="C192" t="s">
        <v>2175</v>
      </c>
      <c r="D192" t="s">
        <v>1963</v>
      </c>
      <c r="E192" t="s">
        <v>2020</v>
      </c>
      <c r="F192" t="s">
        <v>2140</v>
      </c>
      <c r="G192" t="s">
        <v>2141</v>
      </c>
      <c r="H192" t="s">
        <v>2023</v>
      </c>
      <c r="I192" t="s">
        <v>2144</v>
      </c>
      <c r="J192" t="s">
        <v>1963</v>
      </c>
      <c r="K192" t="s">
        <v>2589</v>
      </c>
      <c r="L192" t="s">
        <v>2046</v>
      </c>
      <c r="M192" t="s">
        <v>2047</v>
      </c>
      <c r="N192" t="s">
        <v>2048</v>
      </c>
      <c r="O192" t="s">
        <v>2047</v>
      </c>
      <c r="P192" t="s">
        <v>2048</v>
      </c>
      <c r="Q192" t="s">
        <v>2145</v>
      </c>
      <c r="R192" t="s">
        <v>14</v>
      </c>
      <c r="S192" t="s">
        <v>2069</v>
      </c>
      <c r="T192" t="s">
        <v>2070</v>
      </c>
      <c r="U192" t="s">
        <v>2052</v>
      </c>
      <c r="V192" t="s">
        <v>14</v>
      </c>
      <c r="W192" t="b">
        <v>1</v>
      </c>
      <c r="X192" t="s">
        <v>2590</v>
      </c>
      <c r="Y192" t="b">
        <v>0</v>
      </c>
      <c r="Z192" t="s">
        <v>2053</v>
      </c>
    </row>
    <row r="193" spans="1:26" x14ac:dyDescent="0.35">
      <c r="A193" t="s">
        <v>2587</v>
      </c>
      <c r="B193" t="s">
        <v>2588</v>
      </c>
      <c r="C193" t="s">
        <v>2175</v>
      </c>
      <c r="D193" t="s">
        <v>1963</v>
      </c>
      <c r="E193" t="s">
        <v>2020</v>
      </c>
      <c r="F193" t="s">
        <v>2140</v>
      </c>
      <c r="G193" t="s">
        <v>2141</v>
      </c>
      <c r="H193" t="s">
        <v>2023</v>
      </c>
      <c r="I193" t="s">
        <v>1806</v>
      </c>
      <c r="J193" t="s">
        <v>1963</v>
      </c>
      <c r="K193" t="s">
        <v>2589</v>
      </c>
      <c r="L193" t="s">
        <v>2046</v>
      </c>
      <c r="M193" t="s">
        <v>2067</v>
      </c>
      <c r="N193" t="s">
        <v>2068</v>
      </c>
      <c r="O193" t="s">
        <v>2047</v>
      </c>
      <c r="P193" t="s">
        <v>2048</v>
      </c>
      <c r="Q193" t="s">
        <v>14</v>
      </c>
      <c r="R193" t="s">
        <v>14</v>
      </c>
      <c r="S193" t="s">
        <v>2069</v>
      </c>
      <c r="T193" t="s">
        <v>2070</v>
      </c>
      <c r="U193" t="s">
        <v>2052</v>
      </c>
      <c r="V193" t="s">
        <v>14</v>
      </c>
      <c r="W193" t="b">
        <v>1</v>
      </c>
      <c r="X193" t="s">
        <v>2590</v>
      </c>
      <c r="Y193" t="b">
        <v>0</v>
      </c>
      <c r="Z193" t="s">
        <v>2053</v>
      </c>
    </row>
    <row r="194" spans="1:26" x14ac:dyDescent="0.35">
      <c r="A194" t="s">
        <v>2587</v>
      </c>
      <c r="B194" t="s">
        <v>2588</v>
      </c>
      <c r="C194" t="s">
        <v>2175</v>
      </c>
      <c r="D194" t="s">
        <v>1963</v>
      </c>
      <c r="E194" t="s">
        <v>2020</v>
      </c>
      <c r="F194" t="s">
        <v>2140</v>
      </c>
      <c r="G194" t="s">
        <v>2141</v>
      </c>
      <c r="H194" t="s">
        <v>2023</v>
      </c>
      <c r="I194" t="s">
        <v>2146</v>
      </c>
      <c r="J194" t="s">
        <v>1963</v>
      </c>
      <c r="K194" t="s">
        <v>2589</v>
      </c>
      <c r="L194" t="s">
        <v>2046</v>
      </c>
      <c r="M194" t="s">
        <v>14</v>
      </c>
      <c r="N194" t="s">
        <v>14</v>
      </c>
      <c r="O194" t="s">
        <v>2147</v>
      </c>
      <c r="P194" t="s">
        <v>2148</v>
      </c>
      <c r="Q194" t="s">
        <v>14</v>
      </c>
      <c r="R194" t="s">
        <v>14</v>
      </c>
      <c r="S194" t="s">
        <v>14</v>
      </c>
      <c r="T194" t="s">
        <v>14</v>
      </c>
      <c r="U194" t="s">
        <v>2052</v>
      </c>
      <c r="V194" t="s">
        <v>14</v>
      </c>
      <c r="W194" t="b">
        <v>1</v>
      </c>
      <c r="X194" t="s">
        <v>2590</v>
      </c>
      <c r="Y194" t="b">
        <v>0</v>
      </c>
      <c r="Z194" t="s">
        <v>2053</v>
      </c>
    </row>
    <row r="195" spans="1:26" x14ac:dyDescent="0.35">
      <c r="A195" t="s">
        <v>1937</v>
      </c>
      <c r="B195" t="s">
        <v>2591</v>
      </c>
      <c r="C195" t="s">
        <v>2175</v>
      </c>
      <c r="D195" t="s">
        <v>1963</v>
      </c>
      <c r="E195" t="s">
        <v>2020</v>
      </c>
      <c r="F195" t="s">
        <v>2592</v>
      </c>
      <c r="G195" t="s">
        <v>2022</v>
      </c>
      <c r="H195" t="s">
        <v>2023</v>
      </c>
      <c r="I195" t="s">
        <v>2593</v>
      </c>
      <c r="J195" t="s">
        <v>1963</v>
      </c>
      <c r="K195" t="s">
        <v>2594</v>
      </c>
      <c r="L195" t="s">
        <v>2025</v>
      </c>
      <c r="M195" t="s">
        <v>2595</v>
      </c>
      <c r="N195" t="s">
        <v>2596</v>
      </c>
      <c r="O195" t="s">
        <v>2597</v>
      </c>
      <c r="P195" t="s">
        <v>2598</v>
      </c>
      <c r="Q195" t="s">
        <v>2049</v>
      </c>
      <c r="R195" t="s">
        <v>14</v>
      </c>
      <c r="S195" t="s">
        <v>14</v>
      </c>
      <c r="T195" t="s">
        <v>14</v>
      </c>
      <c r="U195" t="s">
        <v>2052</v>
      </c>
      <c r="V195" t="s">
        <v>14</v>
      </c>
      <c r="W195" t="b">
        <v>1</v>
      </c>
      <c r="X195" t="s">
        <v>1938</v>
      </c>
      <c r="Y195" t="b">
        <v>0</v>
      </c>
      <c r="Z195" t="s">
        <v>2053</v>
      </c>
    </row>
    <row r="196" spans="1:26" x14ac:dyDescent="0.35">
      <c r="A196" t="s">
        <v>1937</v>
      </c>
      <c r="B196" t="s">
        <v>2591</v>
      </c>
      <c r="C196" t="s">
        <v>2175</v>
      </c>
      <c r="D196" t="s">
        <v>1963</v>
      </c>
      <c r="E196" t="s">
        <v>2020</v>
      </c>
      <c r="F196" t="s">
        <v>2592</v>
      </c>
      <c r="G196" t="s">
        <v>2022</v>
      </c>
      <c r="H196" t="s">
        <v>2023</v>
      </c>
      <c r="I196" t="s">
        <v>2599</v>
      </c>
      <c r="J196" t="s">
        <v>1963</v>
      </c>
      <c r="K196" t="s">
        <v>2594</v>
      </c>
      <c r="L196" t="s">
        <v>2025</v>
      </c>
      <c r="M196" t="s">
        <v>2595</v>
      </c>
      <c r="N196" t="s">
        <v>2596</v>
      </c>
      <c r="O196" t="s">
        <v>2214</v>
      </c>
      <c r="P196" t="s">
        <v>2215</v>
      </c>
      <c r="Q196" t="s">
        <v>14</v>
      </c>
      <c r="R196" t="s">
        <v>14</v>
      </c>
      <c r="S196" t="s">
        <v>14</v>
      </c>
      <c r="T196" t="s">
        <v>14</v>
      </c>
      <c r="U196" t="s">
        <v>2052</v>
      </c>
      <c r="V196" t="s">
        <v>14</v>
      </c>
      <c r="W196" t="b">
        <v>1</v>
      </c>
      <c r="X196" t="s">
        <v>1938</v>
      </c>
      <c r="Y196" t="b">
        <v>0</v>
      </c>
      <c r="Z196" t="s">
        <v>2053</v>
      </c>
    </row>
    <row r="197" spans="1:26" x14ac:dyDescent="0.35">
      <c r="A197" t="s">
        <v>1971</v>
      </c>
      <c r="B197" t="s">
        <v>2600</v>
      </c>
      <c r="C197" t="s">
        <v>2175</v>
      </c>
      <c r="D197" t="s">
        <v>1963</v>
      </c>
      <c r="E197" t="s">
        <v>2020</v>
      </c>
      <c r="F197" t="s">
        <v>2021</v>
      </c>
      <c r="G197" t="s">
        <v>2022</v>
      </c>
      <c r="H197" t="s">
        <v>2023</v>
      </c>
      <c r="I197" t="s">
        <v>2601</v>
      </c>
      <c r="J197" t="s">
        <v>1963</v>
      </c>
      <c r="K197" t="s">
        <v>2602</v>
      </c>
      <c r="L197" t="s">
        <v>2025</v>
      </c>
      <c r="M197" t="s">
        <v>2603</v>
      </c>
      <c r="N197" t="s">
        <v>2604</v>
      </c>
      <c r="O197" t="s">
        <v>2597</v>
      </c>
      <c r="P197" t="s">
        <v>2598</v>
      </c>
      <c r="Q197" t="s">
        <v>2049</v>
      </c>
      <c r="R197" t="s">
        <v>14</v>
      </c>
      <c r="S197" t="s">
        <v>14</v>
      </c>
      <c r="T197" t="s">
        <v>14</v>
      </c>
      <c r="U197" t="s">
        <v>2052</v>
      </c>
      <c r="V197" t="s">
        <v>14</v>
      </c>
      <c r="W197" t="b">
        <v>1</v>
      </c>
      <c r="X197" t="s">
        <v>1972</v>
      </c>
      <c r="Y197" t="b">
        <v>0</v>
      </c>
      <c r="Z197" t="s">
        <v>2053</v>
      </c>
    </row>
    <row r="198" spans="1:26" x14ac:dyDescent="0.35">
      <c r="A198" t="s">
        <v>1973</v>
      </c>
      <c r="B198" t="s">
        <v>2605</v>
      </c>
      <c r="C198" t="s">
        <v>2175</v>
      </c>
      <c r="D198" t="s">
        <v>1963</v>
      </c>
      <c r="E198" t="s">
        <v>2020</v>
      </c>
      <c r="F198" t="s">
        <v>2021</v>
      </c>
      <c r="G198" t="s">
        <v>2022</v>
      </c>
      <c r="H198" t="s">
        <v>2023</v>
      </c>
      <c r="I198" t="s">
        <v>2606</v>
      </c>
      <c r="J198" t="s">
        <v>1963</v>
      </c>
      <c r="K198" t="s">
        <v>2607</v>
      </c>
      <c r="L198" t="s">
        <v>2025</v>
      </c>
      <c r="M198" t="s">
        <v>2608</v>
      </c>
      <c r="N198" t="s">
        <v>2609</v>
      </c>
      <c r="O198" t="s">
        <v>2214</v>
      </c>
      <c r="P198" t="s">
        <v>2215</v>
      </c>
      <c r="Q198" t="s">
        <v>2049</v>
      </c>
      <c r="R198" t="s">
        <v>14</v>
      </c>
      <c r="S198" t="s">
        <v>14</v>
      </c>
      <c r="T198" t="s">
        <v>14</v>
      </c>
      <c r="U198" t="s">
        <v>2052</v>
      </c>
      <c r="V198" t="s">
        <v>14</v>
      </c>
      <c r="W198" t="b">
        <v>1</v>
      </c>
      <c r="X198" t="s">
        <v>1974</v>
      </c>
      <c r="Y198" t="b">
        <v>0</v>
      </c>
      <c r="Z198" t="s">
        <v>2053</v>
      </c>
    </row>
    <row r="199" spans="1:26" x14ac:dyDescent="0.35">
      <c r="A199" t="s">
        <v>1975</v>
      </c>
      <c r="B199" t="s">
        <v>2610</v>
      </c>
      <c r="C199" t="s">
        <v>2175</v>
      </c>
      <c r="D199" t="s">
        <v>1963</v>
      </c>
      <c r="E199" t="s">
        <v>2020</v>
      </c>
      <c r="F199" t="s">
        <v>2021</v>
      </c>
      <c r="G199" t="s">
        <v>2022</v>
      </c>
      <c r="H199" t="s">
        <v>2023</v>
      </c>
      <c r="I199" t="s">
        <v>2611</v>
      </c>
      <c r="J199" t="s">
        <v>1963</v>
      </c>
      <c r="K199" t="s">
        <v>2612</v>
      </c>
      <c r="L199" t="s">
        <v>2025</v>
      </c>
      <c r="M199" t="s">
        <v>2603</v>
      </c>
      <c r="N199" t="s">
        <v>2604</v>
      </c>
      <c r="O199" t="s">
        <v>2047</v>
      </c>
      <c r="P199" t="s">
        <v>2048</v>
      </c>
      <c r="Q199" t="s">
        <v>2049</v>
      </c>
      <c r="R199" t="s">
        <v>14</v>
      </c>
      <c r="S199" t="s">
        <v>2613</v>
      </c>
      <c r="T199" t="s">
        <v>2614</v>
      </c>
      <c r="U199" t="s">
        <v>2052</v>
      </c>
      <c r="V199" t="s">
        <v>14</v>
      </c>
      <c r="W199" t="b">
        <v>1</v>
      </c>
      <c r="X199" t="s">
        <v>1976</v>
      </c>
      <c r="Y199" t="b">
        <v>0</v>
      </c>
      <c r="Z199" t="s">
        <v>2053</v>
      </c>
    </row>
    <row r="200" spans="1:26" x14ac:dyDescent="0.35">
      <c r="A200" t="s">
        <v>1939</v>
      </c>
      <c r="B200" t="s">
        <v>2615</v>
      </c>
      <c r="C200" t="s">
        <v>2175</v>
      </c>
      <c r="D200" t="s">
        <v>1963</v>
      </c>
      <c r="E200" t="s">
        <v>2020</v>
      </c>
      <c r="F200" t="s">
        <v>2021</v>
      </c>
      <c r="G200" t="s">
        <v>2022</v>
      </c>
      <c r="H200" t="s">
        <v>2023</v>
      </c>
      <c r="I200" t="s">
        <v>1426</v>
      </c>
      <c r="J200" t="s">
        <v>1963</v>
      </c>
      <c r="K200" t="s">
        <v>2616</v>
      </c>
      <c r="L200" t="s">
        <v>2025</v>
      </c>
      <c r="M200" t="s">
        <v>2058</v>
      </c>
      <c r="N200" t="s">
        <v>2059</v>
      </c>
      <c r="O200" t="s">
        <v>2060</v>
      </c>
      <c r="P200" t="s">
        <v>2061</v>
      </c>
      <c r="Q200" t="s">
        <v>2062</v>
      </c>
      <c r="R200" t="s">
        <v>14</v>
      </c>
      <c r="S200" t="s">
        <v>2063</v>
      </c>
      <c r="T200" t="s">
        <v>2064</v>
      </c>
      <c r="U200" t="s">
        <v>2052</v>
      </c>
      <c r="V200" t="s">
        <v>14</v>
      </c>
      <c r="W200" t="b">
        <v>1</v>
      </c>
      <c r="X200" t="s">
        <v>1940</v>
      </c>
      <c r="Y200" t="b">
        <v>0</v>
      </c>
      <c r="Z200" t="s">
        <v>2053</v>
      </c>
    </row>
    <row r="201" spans="1:26" x14ac:dyDescent="0.35">
      <c r="A201" t="s">
        <v>1941</v>
      </c>
      <c r="B201" t="s">
        <v>2617</v>
      </c>
      <c r="C201" t="s">
        <v>2175</v>
      </c>
      <c r="D201" t="s">
        <v>1963</v>
      </c>
      <c r="E201" t="s">
        <v>2020</v>
      </c>
      <c r="F201" t="s">
        <v>2021</v>
      </c>
      <c r="G201" t="s">
        <v>2022</v>
      </c>
      <c r="H201" t="s">
        <v>2023</v>
      </c>
      <c r="I201" t="s">
        <v>2618</v>
      </c>
      <c r="J201" t="s">
        <v>1963</v>
      </c>
      <c r="K201" t="s">
        <v>2619</v>
      </c>
      <c r="L201" t="s">
        <v>2046</v>
      </c>
      <c r="M201" t="s">
        <v>2603</v>
      </c>
      <c r="N201" t="s">
        <v>2604</v>
      </c>
      <c r="O201" t="s">
        <v>2047</v>
      </c>
      <c r="P201" t="s">
        <v>2048</v>
      </c>
      <c r="Q201" t="s">
        <v>2049</v>
      </c>
      <c r="R201" t="s">
        <v>14</v>
      </c>
      <c r="S201" t="s">
        <v>14</v>
      </c>
      <c r="T201" t="s">
        <v>14</v>
      </c>
      <c r="U201" t="s">
        <v>2052</v>
      </c>
      <c r="V201" t="s">
        <v>14</v>
      </c>
      <c r="W201" t="b">
        <v>1</v>
      </c>
      <c r="X201" t="s">
        <v>1942</v>
      </c>
      <c r="Y201" t="b">
        <v>0</v>
      </c>
      <c r="Z201" t="s">
        <v>2053</v>
      </c>
    </row>
    <row r="202" spans="1:26" x14ac:dyDescent="0.35">
      <c r="A202" t="s">
        <v>1943</v>
      </c>
      <c r="B202" t="s">
        <v>2620</v>
      </c>
      <c r="C202" t="s">
        <v>2175</v>
      </c>
      <c r="D202" t="s">
        <v>1963</v>
      </c>
      <c r="E202" t="s">
        <v>2020</v>
      </c>
      <c r="F202" t="s">
        <v>2161</v>
      </c>
      <c r="G202" t="s">
        <v>2162</v>
      </c>
      <c r="H202" t="s">
        <v>2023</v>
      </c>
      <c r="I202" t="s">
        <v>2621</v>
      </c>
      <c r="J202" t="s">
        <v>1963</v>
      </c>
      <c r="K202" t="s">
        <v>2622</v>
      </c>
      <c r="L202" t="s">
        <v>2025</v>
      </c>
      <c r="M202" t="s">
        <v>2623</v>
      </c>
      <c r="N202" t="s">
        <v>2624</v>
      </c>
      <c r="O202" t="s">
        <v>2060</v>
      </c>
      <c r="P202" t="s">
        <v>2061</v>
      </c>
      <c r="Q202" t="s">
        <v>2049</v>
      </c>
      <c r="R202" t="s">
        <v>14</v>
      </c>
      <c r="S202" t="s">
        <v>2613</v>
      </c>
      <c r="T202" t="s">
        <v>2614</v>
      </c>
      <c r="U202" t="s">
        <v>2052</v>
      </c>
      <c r="V202" t="s">
        <v>14</v>
      </c>
      <c r="W202" t="b">
        <v>1</v>
      </c>
      <c r="X202" t="s">
        <v>1944</v>
      </c>
      <c r="Y202" t="b">
        <v>0</v>
      </c>
      <c r="Z202" t="s">
        <v>2053</v>
      </c>
    </row>
    <row r="203" spans="1:26" x14ac:dyDescent="0.35">
      <c r="A203" t="s">
        <v>1846</v>
      </c>
      <c r="B203" t="s">
        <v>2625</v>
      </c>
      <c r="C203" t="s">
        <v>2175</v>
      </c>
      <c r="D203" t="s">
        <v>1963</v>
      </c>
      <c r="E203" t="s">
        <v>2020</v>
      </c>
      <c r="F203" t="s">
        <v>2161</v>
      </c>
      <c r="G203" t="s">
        <v>2162</v>
      </c>
      <c r="H203" t="s">
        <v>2023</v>
      </c>
      <c r="I203" t="s">
        <v>1426</v>
      </c>
      <c r="J203" t="s">
        <v>1963</v>
      </c>
      <c r="K203" t="s">
        <v>2626</v>
      </c>
      <c r="L203" t="s">
        <v>2540</v>
      </c>
      <c r="M203" t="s">
        <v>2058</v>
      </c>
      <c r="N203" t="s">
        <v>2059</v>
      </c>
      <c r="O203" t="s">
        <v>2060</v>
      </c>
      <c r="P203" t="s">
        <v>2061</v>
      </c>
      <c r="Q203" t="s">
        <v>2062</v>
      </c>
      <c r="R203" t="s">
        <v>14</v>
      </c>
      <c r="S203" t="s">
        <v>2063</v>
      </c>
      <c r="T203" t="s">
        <v>2064</v>
      </c>
      <c r="U203" t="s">
        <v>2052</v>
      </c>
      <c r="V203" t="s">
        <v>14</v>
      </c>
      <c r="W203" t="b">
        <v>1</v>
      </c>
      <c r="X203" t="s">
        <v>1847</v>
      </c>
      <c r="Y203" t="b">
        <v>0</v>
      </c>
      <c r="Z203" t="s">
        <v>2053</v>
      </c>
    </row>
    <row r="204" spans="1:26" x14ac:dyDescent="0.35">
      <c r="A204" t="s">
        <v>1864</v>
      </c>
      <c r="B204" t="s">
        <v>14</v>
      </c>
      <c r="C204" t="s">
        <v>14</v>
      </c>
      <c r="D204" t="s">
        <v>1963</v>
      </c>
      <c r="E204" t="s">
        <v>2627</v>
      </c>
      <c r="F204" t="s">
        <v>2628</v>
      </c>
      <c r="G204" t="s">
        <v>2629</v>
      </c>
      <c r="H204" t="s">
        <v>2023</v>
      </c>
      <c r="I204" t="s">
        <v>2630</v>
      </c>
      <c r="J204" t="s">
        <v>1963</v>
      </c>
      <c r="K204" t="s">
        <v>2631</v>
      </c>
      <c r="L204" t="s">
        <v>2632</v>
      </c>
      <c r="M204" t="s">
        <v>2633</v>
      </c>
      <c r="N204" t="s">
        <v>2634</v>
      </c>
      <c r="O204" t="s">
        <v>2635</v>
      </c>
      <c r="P204" t="s">
        <v>2636</v>
      </c>
      <c r="Q204" t="s">
        <v>2637</v>
      </c>
      <c r="R204" t="s">
        <v>14</v>
      </c>
      <c r="S204" t="s">
        <v>2638</v>
      </c>
      <c r="T204" t="s">
        <v>2639</v>
      </c>
      <c r="U204" t="s">
        <v>2171</v>
      </c>
      <c r="V204" t="s">
        <v>14</v>
      </c>
      <c r="W204" t="b">
        <v>0</v>
      </c>
      <c r="X204" t="s">
        <v>14</v>
      </c>
      <c r="Y204" t="b">
        <v>1</v>
      </c>
      <c r="Z204" t="s">
        <v>2032</v>
      </c>
    </row>
    <row r="205" spans="1:26" x14ac:dyDescent="0.35">
      <c r="A205" t="s">
        <v>2640</v>
      </c>
      <c r="B205" t="s">
        <v>2641</v>
      </c>
      <c r="C205" t="s">
        <v>2642</v>
      </c>
      <c r="D205" t="s">
        <v>1963</v>
      </c>
      <c r="E205" t="s">
        <v>2020</v>
      </c>
      <c r="F205" t="s">
        <v>2161</v>
      </c>
      <c r="G205" t="s">
        <v>2162</v>
      </c>
      <c r="H205" t="s">
        <v>2023</v>
      </c>
      <c r="I205" t="s">
        <v>1426</v>
      </c>
      <c r="J205" t="s">
        <v>1963</v>
      </c>
      <c r="K205" t="s">
        <v>2643</v>
      </c>
      <c r="L205" t="s">
        <v>2025</v>
      </c>
      <c r="M205" t="s">
        <v>2058</v>
      </c>
      <c r="N205" t="s">
        <v>2059</v>
      </c>
      <c r="O205" t="s">
        <v>2060</v>
      </c>
      <c r="P205" t="s">
        <v>2061</v>
      </c>
      <c r="Q205" t="s">
        <v>2062</v>
      </c>
      <c r="R205" t="s">
        <v>14</v>
      </c>
      <c r="S205" t="s">
        <v>2063</v>
      </c>
      <c r="T205" t="s">
        <v>2064</v>
      </c>
      <c r="U205" t="s">
        <v>2052</v>
      </c>
      <c r="V205" t="s">
        <v>14</v>
      </c>
      <c r="W205" t="b">
        <v>1</v>
      </c>
      <c r="X205" t="s">
        <v>2644</v>
      </c>
      <c r="Y205" t="b">
        <v>0</v>
      </c>
      <c r="Z205" t="s">
        <v>2053</v>
      </c>
    </row>
    <row r="206" spans="1:26" x14ac:dyDescent="0.35">
      <c r="A206" t="s">
        <v>1945</v>
      </c>
      <c r="B206" t="s">
        <v>2645</v>
      </c>
      <c r="C206" t="s">
        <v>2642</v>
      </c>
      <c r="D206" t="s">
        <v>1963</v>
      </c>
      <c r="E206" t="s">
        <v>2020</v>
      </c>
      <c r="F206" t="s">
        <v>2021</v>
      </c>
      <c r="G206" t="s">
        <v>2022</v>
      </c>
      <c r="H206" t="s">
        <v>2023</v>
      </c>
      <c r="I206" t="s">
        <v>2618</v>
      </c>
      <c r="J206" t="s">
        <v>1963</v>
      </c>
      <c r="K206" t="s">
        <v>2646</v>
      </c>
      <c r="L206" t="s">
        <v>2025</v>
      </c>
      <c r="M206" t="s">
        <v>2603</v>
      </c>
      <c r="N206" t="s">
        <v>2604</v>
      </c>
      <c r="O206" t="s">
        <v>2047</v>
      </c>
      <c r="P206" t="s">
        <v>2048</v>
      </c>
      <c r="Q206" t="s">
        <v>2049</v>
      </c>
      <c r="R206" t="s">
        <v>14</v>
      </c>
      <c r="S206" t="s">
        <v>14</v>
      </c>
      <c r="T206" t="s">
        <v>14</v>
      </c>
      <c r="U206" t="s">
        <v>2052</v>
      </c>
      <c r="V206" t="s">
        <v>14</v>
      </c>
      <c r="W206" t="b">
        <v>1</v>
      </c>
      <c r="X206" t="s">
        <v>1946</v>
      </c>
      <c r="Y206" t="b">
        <v>0</v>
      </c>
      <c r="Z206" t="s">
        <v>2053</v>
      </c>
    </row>
    <row r="207" spans="1:26" x14ac:dyDescent="0.35">
      <c r="A207" t="s">
        <v>1848</v>
      </c>
      <c r="B207" t="s">
        <v>2647</v>
      </c>
      <c r="C207" t="s">
        <v>2648</v>
      </c>
      <c r="D207" t="s">
        <v>1963</v>
      </c>
      <c r="E207" t="s">
        <v>2020</v>
      </c>
      <c r="F207" t="s">
        <v>2021</v>
      </c>
      <c r="G207" t="s">
        <v>2022</v>
      </c>
      <c r="H207" t="s">
        <v>2023</v>
      </c>
      <c r="I207" t="s">
        <v>1431</v>
      </c>
      <c r="J207" t="s">
        <v>1963</v>
      </c>
      <c r="K207" t="s">
        <v>2649</v>
      </c>
      <c r="L207" t="s">
        <v>2046</v>
      </c>
      <c r="M207" t="s">
        <v>2026</v>
      </c>
      <c r="N207" t="s">
        <v>2027</v>
      </c>
      <c r="O207" t="s">
        <v>2650</v>
      </c>
      <c r="P207" t="s">
        <v>2651</v>
      </c>
      <c r="Q207" t="s">
        <v>14</v>
      </c>
      <c r="R207" t="s">
        <v>14</v>
      </c>
      <c r="S207" t="s">
        <v>14</v>
      </c>
      <c r="T207" t="s">
        <v>14</v>
      </c>
      <c r="U207" t="s">
        <v>2030</v>
      </c>
      <c r="V207" t="s">
        <v>14</v>
      </c>
      <c r="W207" t="b">
        <v>1</v>
      </c>
      <c r="X207" t="s">
        <v>2652</v>
      </c>
      <c r="Y207" t="b">
        <v>0</v>
      </c>
      <c r="Z207" t="s">
        <v>2053</v>
      </c>
    </row>
    <row r="208" spans="1:26" x14ac:dyDescent="0.35">
      <c r="A208" t="s">
        <v>1849</v>
      </c>
      <c r="B208" t="s">
        <v>2653</v>
      </c>
      <c r="C208" t="s">
        <v>2648</v>
      </c>
      <c r="D208" t="s">
        <v>1963</v>
      </c>
      <c r="E208" t="s">
        <v>2020</v>
      </c>
      <c r="F208" t="s">
        <v>2021</v>
      </c>
      <c r="G208" t="s">
        <v>2022</v>
      </c>
      <c r="H208" t="s">
        <v>2023</v>
      </c>
      <c r="I208" t="s">
        <v>1431</v>
      </c>
      <c r="J208" t="s">
        <v>1963</v>
      </c>
      <c r="K208" t="s">
        <v>2654</v>
      </c>
      <c r="L208" t="s">
        <v>2046</v>
      </c>
      <c r="M208" t="s">
        <v>2026</v>
      </c>
      <c r="N208" t="s">
        <v>2027</v>
      </c>
      <c r="O208" t="s">
        <v>2650</v>
      </c>
      <c r="P208" t="s">
        <v>2651</v>
      </c>
      <c r="Q208" t="s">
        <v>14</v>
      </c>
      <c r="R208" t="s">
        <v>14</v>
      </c>
      <c r="S208" t="s">
        <v>14</v>
      </c>
      <c r="T208" t="s">
        <v>14</v>
      </c>
      <c r="U208" t="s">
        <v>2030</v>
      </c>
      <c r="V208" t="s">
        <v>14</v>
      </c>
      <c r="W208" t="b">
        <v>1</v>
      </c>
      <c r="X208" t="s">
        <v>2655</v>
      </c>
      <c r="Y208" t="b">
        <v>0</v>
      </c>
      <c r="Z208" t="s">
        <v>2053</v>
      </c>
    </row>
    <row r="209" spans="1:26" x14ac:dyDescent="0.35">
      <c r="A209" t="s">
        <v>1632</v>
      </c>
      <c r="B209" t="s">
        <v>2656</v>
      </c>
      <c r="C209" t="s">
        <v>2648</v>
      </c>
      <c r="D209" t="s">
        <v>1963</v>
      </c>
      <c r="E209" t="s">
        <v>2020</v>
      </c>
      <c r="F209" t="s">
        <v>2021</v>
      </c>
      <c r="G209" t="s">
        <v>2022</v>
      </c>
      <c r="H209" t="s">
        <v>2023</v>
      </c>
      <c r="I209" t="s">
        <v>2225</v>
      </c>
      <c r="J209" t="s">
        <v>1963</v>
      </c>
      <c r="K209" t="s">
        <v>2657</v>
      </c>
      <c r="L209" t="s">
        <v>2046</v>
      </c>
      <c r="M209" t="s">
        <v>2226</v>
      </c>
      <c r="N209" t="s">
        <v>2227</v>
      </c>
      <c r="O209" t="s">
        <v>2205</v>
      </c>
      <c r="P209" t="s">
        <v>2206</v>
      </c>
      <c r="Q209" t="s">
        <v>14</v>
      </c>
      <c r="R209" t="s">
        <v>14</v>
      </c>
      <c r="S209" t="s">
        <v>14</v>
      </c>
      <c r="T209" t="s">
        <v>14</v>
      </c>
      <c r="U209" t="s">
        <v>2052</v>
      </c>
      <c r="V209" t="s">
        <v>14</v>
      </c>
      <c r="W209" t="b">
        <v>1</v>
      </c>
      <c r="X209" t="s">
        <v>1633</v>
      </c>
      <c r="Y209" t="b">
        <v>0</v>
      </c>
      <c r="Z209" t="s">
        <v>2053</v>
      </c>
    </row>
    <row r="210" spans="1:26" x14ac:dyDescent="0.35">
      <c r="A210" t="s">
        <v>1632</v>
      </c>
      <c r="B210" t="s">
        <v>2656</v>
      </c>
      <c r="C210" t="s">
        <v>2648</v>
      </c>
      <c r="D210" t="s">
        <v>1963</v>
      </c>
      <c r="E210" t="s">
        <v>2020</v>
      </c>
      <c r="F210" t="s">
        <v>2021</v>
      </c>
      <c r="G210" t="s">
        <v>2022</v>
      </c>
      <c r="H210" t="s">
        <v>2023</v>
      </c>
      <c r="I210" t="s">
        <v>2658</v>
      </c>
      <c r="J210" t="s">
        <v>1963</v>
      </c>
      <c r="K210" t="s">
        <v>2657</v>
      </c>
      <c r="L210" t="s">
        <v>2046</v>
      </c>
      <c r="M210" t="s">
        <v>2222</v>
      </c>
      <c r="N210" t="s">
        <v>2223</v>
      </c>
      <c r="O210" t="s">
        <v>2222</v>
      </c>
      <c r="P210" t="s">
        <v>2223</v>
      </c>
      <c r="Q210" t="s">
        <v>2659</v>
      </c>
      <c r="R210" t="s">
        <v>14</v>
      </c>
      <c r="S210" t="s">
        <v>2660</v>
      </c>
      <c r="T210" t="s">
        <v>2661</v>
      </c>
      <c r="U210" t="s">
        <v>2052</v>
      </c>
      <c r="V210" t="s">
        <v>14</v>
      </c>
      <c r="W210" t="b">
        <v>1</v>
      </c>
      <c r="X210" t="s">
        <v>1633</v>
      </c>
      <c r="Y210" t="b">
        <v>0</v>
      </c>
      <c r="Z210" t="s">
        <v>2053</v>
      </c>
    </row>
    <row r="211" spans="1:26" x14ac:dyDescent="0.35">
      <c r="A211" t="s">
        <v>1632</v>
      </c>
      <c r="B211" t="s">
        <v>2656</v>
      </c>
      <c r="C211" t="s">
        <v>2648</v>
      </c>
      <c r="D211" t="s">
        <v>1963</v>
      </c>
      <c r="E211" t="s">
        <v>2020</v>
      </c>
      <c r="F211" t="s">
        <v>2021</v>
      </c>
      <c r="G211" t="s">
        <v>2022</v>
      </c>
      <c r="H211" t="s">
        <v>2023</v>
      </c>
      <c r="I211" t="s">
        <v>2302</v>
      </c>
      <c r="J211" t="s">
        <v>1963</v>
      </c>
      <c r="K211" t="s">
        <v>2657</v>
      </c>
      <c r="L211" t="s">
        <v>2046</v>
      </c>
      <c r="M211" t="s">
        <v>2214</v>
      </c>
      <c r="N211" t="s">
        <v>2215</v>
      </c>
      <c r="O211" t="s">
        <v>2214</v>
      </c>
      <c r="P211" t="s">
        <v>2215</v>
      </c>
      <c r="Q211" t="s">
        <v>14</v>
      </c>
      <c r="R211" t="s">
        <v>14</v>
      </c>
      <c r="S211" t="s">
        <v>14</v>
      </c>
      <c r="T211" t="s">
        <v>14</v>
      </c>
      <c r="U211" t="s">
        <v>2052</v>
      </c>
      <c r="V211" t="s">
        <v>14</v>
      </c>
      <c r="W211" t="b">
        <v>1</v>
      </c>
      <c r="X211" t="s">
        <v>1633</v>
      </c>
      <c r="Y211" t="b">
        <v>0</v>
      </c>
      <c r="Z211" t="s">
        <v>2053</v>
      </c>
    </row>
    <row r="212" spans="1:26" x14ac:dyDescent="0.35">
      <c r="A212" t="s">
        <v>1632</v>
      </c>
      <c r="B212" t="s">
        <v>2656</v>
      </c>
      <c r="C212" t="s">
        <v>2648</v>
      </c>
      <c r="D212" t="s">
        <v>1963</v>
      </c>
      <c r="E212" t="s">
        <v>2020</v>
      </c>
      <c r="F212" t="s">
        <v>2021</v>
      </c>
      <c r="G212" t="s">
        <v>2022</v>
      </c>
      <c r="H212" t="s">
        <v>2023</v>
      </c>
      <c r="I212" t="s">
        <v>2662</v>
      </c>
      <c r="J212" t="s">
        <v>1963</v>
      </c>
      <c r="K212" t="s">
        <v>2657</v>
      </c>
      <c r="L212" t="s">
        <v>2046</v>
      </c>
      <c r="M212" t="s">
        <v>2222</v>
      </c>
      <c r="N212" t="s">
        <v>2223</v>
      </c>
      <c r="O212" t="s">
        <v>2222</v>
      </c>
      <c r="P212" t="s">
        <v>2223</v>
      </c>
      <c r="Q212" t="s">
        <v>14</v>
      </c>
      <c r="R212" t="s">
        <v>14</v>
      </c>
      <c r="S212" t="s">
        <v>14</v>
      </c>
      <c r="T212" t="s">
        <v>14</v>
      </c>
      <c r="U212" t="s">
        <v>2052</v>
      </c>
      <c r="V212" t="s">
        <v>14</v>
      </c>
      <c r="W212" t="b">
        <v>1</v>
      </c>
      <c r="X212" t="s">
        <v>1633</v>
      </c>
      <c r="Y212" t="b">
        <v>0</v>
      </c>
      <c r="Z212" t="s">
        <v>2053</v>
      </c>
    </row>
    <row r="213" spans="1:26" x14ac:dyDescent="0.35">
      <c r="A213" t="s">
        <v>1632</v>
      </c>
      <c r="B213" t="s">
        <v>2656</v>
      </c>
      <c r="C213" t="s">
        <v>2648</v>
      </c>
      <c r="D213" t="s">
        <v>1963</v>
      </c>
      <c r="E213" t="s">
        <v>2020</v>
      </c>
      <c r="F213" t="s">
        <v>2021</v>
      </c>
      <c r="G213" t="s">
        <v>2022</v>
      </c>
      <c r="H213" t="s">
        <v>2023</v>
      </c>
      <c r="I213" t="s">
        <v>2663</v>
      </c>
      <c r="J213" t="s">
        <v>1963</v>
      </c>
      <c r="K213" t="s">
        <v>2657</v>
      </c>
      <c r="L213" t="s">
        <v>2046</v>
      </c>
      <c r="M213" t="s">
        <v>2047</v>
      </c>
      <c r="N213" t="s">
        <v>2048</v>
      </c>
      <c r="O213" t="s">
        <v>2047</v>
      </c>
      <c r="P213" t="s">
        <v>2048</v>
      </c>
      <c r="Q213" t="s">
        <v>14</v>
      </c>
      <c r="R213" t="s">
        <v>14</v>
      </c>
      <c r="S213" t="s">
        <v>14</v>
      </c>
      <c r="T213" t="s">
        <v>14</v>
      </c>
      <c r="U213" t="s">
        <v>2052</v>
      </c>
      <c r="V213" t="s">
        <v>14</v>
      </c>
      <c r="W213" t="b">
        <v>1</v>
      </c>
      <c r="X213" t="s">
        <v>1633</v>
      </c>
      <c r="Y213" t="b">
        <v>0</v>
      </c>
      <c r="Z213" t="s">
        <v>2053</v>
      </c>
    </row>
    <row r="214" spans="1:26" x14ac:dyDescent="0.35">
      <c r="A214" t="s">
        <v>1632</v>
      </c>
      <c r="B214" t="s">
        <v>2656</v>
      </c>
      <c r="C214" t="s">
        <v>2648</v>
      </c>
      <c r="D214" t="s">
        <v>1963</v>
      </c>
      <c r="E214" t="s">
        <v>2020</v>
      </c>
      <c r="F214" t="s">
        <v>2021</v>
      </c>
      <c r="G214" t="s">
        <v>2022</v>
      </c>
      <c r="H214" t="s">
        <v>2023</v>
      </c>
      <c r="I214" t="s">
        <v>2664</v>
      </c>
      <c r="J214" t="s">
        <v>1963</v>
      </c>
      <c r="K214" t="s">
        <v>2657</v>
      </c>
      <c r="L214" t="s">
        <v>2046</v>
      </c>
      <c r="M214" t="s">
        <v>2222</v>
      </c>
      <c r="N214" t="s">
        <v>2223</v>
      </c>
      <c r="O214" t="s">
        <v>2222</v>
      </c>
      <c r="P214" t="s">
        <v>2223</v>
      </c>
      <c r="Q214" t="s">
        <v>14</v>
      </c>
      <c r="R214" t="s">
        <v>14</v>
      </c>
      <c r="S214" t="s">
        <v>14</v>
      </c>
      <c r="T214" t="s">
        <v>14</v>
      </c>
      <c r="U214" t="s">
        <v>2052</v>
      </c>
      <c r="V214" t="s">
        <v>14</v>
      </c>
      <c r="W214" t="b">
        <v>1</v>
      </c>
      <c r="X214" t="s">
        <v>1633</v>
      </c>
      <c r="Y214" t="b">
        <v>0</v>
      </c>
      <c r="Z214" t="s">
        <v>2053</v>
      </c>
    </row>
    <row r="215" spans="1:26" x14ac:dyDescent="0.35">
      <c r="A215" t="s">
        <v>1632</v>
      </c>
      <c r="B215" t="s">
        <v>2656</v>
      </c>
      <c r="C215" t="s">
        <v>2648</v>
      </c>
      <c r="D215" t="s">
        <v>1963</v>
      </c>
      <c r="E215" t="s">
        <v>2020</v>
      </c>
      <c r="F215" t="s">
        <v>2021</v>
      </c>
      <c r="G215" t="s">
        <v>2022</v>
      </c>
      <c r="H215" t="s">
        <v>2023</v>
      </c>
      <c r="I215" t="s">
        <v>2238</v>
      </c>
      <c r="J215" t="s">
        <v>1963</v>
      </c>
      <c r="K215" t="s">
        <v>2657</v>
      </c>
      <c r="L215" t="s">
        <v>2046</v>
      </c>
      <c r="M215" t="s">
        <v>2205</v>
      </c>
      <c r="N215" t="s">
        <v>2206</v>
      </c>
      <c r="O215" t="s">
        <v>2205</v>
      </c>
      <c r="P215" t="s">
        <v>2206</v>
      </c>
      <c r="Q215" t="s">
        <v>14</v>
      </c>
      <c r="R215" t="s">
        <v>14</v>
      </c>
      <c r="S215" t="s">
        <v>14</v>
      </c>
      <c r="T215" t="s">
        <v>14</v>
      </c>
      <c r="U215" t="s">
        <v>2052</v>
      </c>
      <c r="V215" t="s">
        <v>14</v>
      </c>
      <c r="W215" t="b">
        <v>1</v>
      </c>
      <c r="X215" t="s">
        <v>1633</v>
      </c>
      <c r="Y215" t="b">
        <v>0</v>
      </c>
      <c r="Z215" t="s">
        <v>2053</v>
      </c>
    </row>
    <row r="216" spans="1:26" x14ac:dyDescent="0.35">
      <c r="A216" t="s">
        <v>1632</v>
      </c>
      <c r="B216" t="s">
        <v>2656</v>
      </c>
      <c r="C216" t="s">
        <v>2648</v>
      </c>
      <c r="D216" t="s">
        <v>1963</v>
      </c>
      <c r="E216" t="s">
        <v>2020</v>
      </c>
      <c r="F216" t="s">
        <v>2021</v>
      </c>
      <c r="G216" t="s">
        <v>2022</v>
      </c>
      <c r="H216" t="s">
        <v>2023</v>
      </c>
      <c r="I216" t="s">
        <v>2665</v>
      </c>
      <c r="J216" t="s">
        <v>1963</v>
      </c>
      <c r="K216" t="s">
        <v>2657</v>
      </c>
      <c r="L216" t="s">
        <v>2046</v>
      </c>
      <c r="M216" t="s">
        <v>2222</v>
      </c>
      <c r="N216" t="s">
        <v>2223</v>
      </c>
      <c r="O216" t="s">
        <v>2222</v>
      </c>
      <c r="P216" t="s">
        <v>2223</v>
      </c>
      <c r="Q216" t="s">
        <v>14</v>
      </c>
      <c r="R216" t="s">
        <v>14</v>
      </c>
      <c r="S216" t="s">
        <v>14</v>
      </c>
      <c r="T216" t="s">
        <v>14</v>
      </c>
      <c r="U216" t="s">
        <v>2052</v>
      </c>
      <c r="V216" t="s">
        <v>14</v>
      </c>
      <c r="W216" t="b">
        <v>1</v>
      </c>
      <c r="X216" t="s">
        <v>1633</v>
      </c>
      <c r="Y216" t="b">
        <v>0</v>
      </c>
      <c r="Z216" t="s">
        <v>2053</v>
      </c>
    </row>
    <row r="217" spans="1:26" x14ac:dyDescent="0.35">
      <c r="A217" t="s">
        <v>1632</v>
      </c>
      <c r="B217" t="s">
        <v>2656</v>
      </c>
      <c r="C217" t="s">
        <v>2648</v>
      </c>
      <c r="D217" t="s">
        <v>1963</v>
      </c>
      <c r="E217" t="s">
        <v>2020</v>
      </c>
      <c r="F217" t="s">
        <v>2021</v>
      </c>
      <c r="G217" t="s">
        <v>2022</v>
      </c>
      <c r="H217" t="s">
        <v>2023</v>
      </c>
      <c r="I217" t="s">
        <v>2207</v>
      </c>
      <c r="J217" t="s">
        <v>1963</v>
      </c>
      <c r="K217" t="s">
        <v>2657</v>
      </c>
      <c r="L217" t="s">
        <v>2046</v>
      </c>
      <c r="M217" t="s">
        <v>2205</v>
      </c>
      <c r="N217" t="s">
        <v>2206</v>
      </c>
      <c r="O217" t="s">
        <v>2205</v>
      </c>
      <c r="P217" t="s">
        <v>2206</v>
      </c>
      <c r="Q217" t="s">
        <v>14</v>
      </c>
      <c r="R217" t="s">
        <v>14</v>
      </c>
      <c r="S217" t="s">
        <v>14</v>
      </c>
      <c r="T217" t="s">
        <v>14</v>
      </c>
      <c r="U217" t="s">
        <v>2052</v>
      </c>
      <c r="V217" t="s">
        <v>14</v>
      </c>
      <c r="W217" t="b">
        <v>1</v>
      </c>
      <c r="X217" t="s">
        <v>1633</v>
      </c>
      <c r="Y217" t="b">
        <v>0</v>
      </c>
      <c r="Z217" t="s">
        <v>2053</v>
      </c>
    </row>
    <row r="218" spans="1:26" x14ac:dyDescent="0.35">
      <c r="A218" t="s">
        <v>1632</v>
      </c>
      <c r="B218" t="s">
        <v>2656</v>
      </c>
      <c r="C218" t="s">
        <v>2648</v>
      </c>
      <c r="D218" t="s">
        <v>1963</v>
      </c>
      <c r="E218" t="s">
        <v>2020</v>
      </c>
      <c r="F218" t="s">
        <v>2021</v>
      </c>
      <c r="G218" t="s">
        <v>2022</v>
      </c>
      <c r="H218" t="s">
        <v>2023</v>
      </c>
      <c r="I218" t="s">
        <v>2220</v>
      </c>
      <c r="J218" t="s">
        <v>1963</v>
      </c>
      <c r="K218" t="s">
        <v>2657</v>
      </c>
      <c r="L218" t="s">
        <v>2046</v>
      </c>
      <c r="M218" t="s">
        <v>2222</v>
      </c>
      <c r="N218" t="s">
        <v>2223</v>
      </c>
      <c r="O218" t="s">
        <v>2222</v>
      </c>
      <c r="P218" t="s">
        <v>2223</v>
      </c>
      <c r="Q218" t="s">
        <v>14</v>
      </c>
      <c r="R218" t="s">
        <v>14</v>
      </c>
      <c r="S218" t="s">
        <v>14</v>
      </c>
      <c r="T218" t="s">
        <v>14</v>
      </c>
      <c r="U218" t="s">
        <v>2052</v>
      </c>
      <c r="V218" t="s">
        <v>14</v>
      </c>
      <c r="W218" t="b">
        <v>1</v>
      </c>
      <c r="X218" t="s">
        <v>1633</v>
      </c>
      <c r="Y218" t="b">
        <v>0</v>
      </c>
      <c r="Z218" t="s">
        <v>2053</v>
      </c>
    </row>
    <row r="219" spans="1:26" x14ac:dyDescent="0.35">
      <c r="A219" t="s">
        <v>1634</v>
      </c>
      <c r="B219" t="s">
        <v>2666</v>
      </c>
      <c r="C219" t="s">
        <v>2648</v>
      </c>
      <c r="D219" t="s">
        <v>1963</v>
      </c>
      <c r="E219" t="s">
        <v>2020</v>
      </c>
      <c r="F219" t="s">
        <v>2021</v>
      </c>
      <c r="G219" t="s">
        <v>2022</v>
      </c>
      <c r="H219" t="s">
        <v>2023</v>
      </c>
      <c r="I219" t="s">
        <v>1756</v>
      </c>
      <c r="J219" t="s">
        <v>1963</v>
      </c>
      <c r="K219" t="s">
        <v>2667</v>
      </c>
      <c r="L219" t="s">
        <v>2046</v>
      </c>
      <c r="M219" t="s">
        <v>2250</v>
      </c>
      <c r="N219" t="s">
        <v>2251</v>
      </c>
      <c r="O219" t="s">
        <v>2047</v>
      </c>
      <c r="P219" t="s">
        <v>2048</v>
      </c>
      <c r="Q219" t="s">
        <v>2252</v>
      </c>
      <c r="R219" t="s">
        <v>14</v>
      </c>
      <c r="S219" t="s">
        <v>2253</v>
      </c>
      <c r="T219" t="s">
        <v>2254</v>
      </c>
      <c r="U219" t="s">
        <v>2052</v>
      </c>
      <c r="V219" t="s">
        <v>14</v>
      </c>
      <c r="W219" t="b">
        <v>1</v>
      </c>
      <c r="X219" t="s">
        <v>1635</v>
      </c>
      <c r="Y219" t="b">
        <v>0</v>
      </c>
      <c r="Z219" t="s">
        <v>2081</v>
      </c>
    </row>
    <row r="220" spans="1:26" x14ac:dyDescent="0.35">
      <c r="A220" t="s">
        <v>1636</v>
      </c>
      <c r="B220" t="s">
        <v>2668</v>
      </c>
      <c r="C220" t="s">
        <v>2648</v>
      </c>
      <c r="D220" t="s">
        <v>1963</v>
      </c>
      <c r="E220" t="s">
        <v>2020</v>
      </c>
      <c r="F220" t="s">
        <v>2021</v>
      </c>
      <c r="G220" t="s">
        <v>2022</v>
      </c>
      <c r="H220" t="s">
        <v>2023</v>
      </c>
      <c r="I220" t="s">
        <v>1756</v>
      </c>
      <c r="J220" t="s">
        <v>1963</v>
      </c>
      <c r="K220" t="s">
        <v>2669</v>
      </c>
      <c r="L220" t="s">
        <v>2046</v>
      </c>
      <c r="M220" t="s">
        <v>2250</v>
      </c>
      <c r="N220" t="s">
        <v>2251</v>
      </c>
      <c r="O220" t="s">
        <v>2047</v>
      </c>
      <c r="P220" t="s">
        <v>2048</v>
      </c>
      <c r="Q220" t="s">
        <v>2252</v>
      </c>
      <c r="R220" t="s">
        <v>14</v>
      </c>
      <c r="S220" t="s">
        <v>2253</v>
      </c>
      <c r="T220" t="s">
        <v>2254</v>
      </c>
      <c r="U220" t="s">
        <v>2052</v>
      </c>
      <c r="V220" t="s">
        <v>14</v>
      </c>
      <c r="W220" t="b">
        <v>1</v>
      </c>
      <c r="X220" t="s">
        <v>1637</v>
      </c>
      <c r="Y220" t="b">
        <v>0</v>
      </c>
      <c r="Z220" t="s">
        <v>2081</v>
      </c>
    </row>
    <row r="221" spans="1:26" x14ac:dyDescent="0.35">
      <c r="A221" t="s">
        <v>1638</v>
      </c>
      <c r="B221" t="s">
        <v>2670</v>
      </c>
      <c r="C221" t="s">
        <v>2648</v>
      </c>
      <c r="D221" t="s">
        <v>1963</v>
      </c>
      <c r="E221" t="s">
        <v>2020</v>
      </c>
      <c r="F221" t="s">
        <v>2021</v>
      </c>
      <c r="G221" t="s">
        <v>2022</v>
      </c>
      <c r="H221" t="s">
        <v>2023</v>
      </c>
      <c r="I221" t="s">
        <v>1756</v>
      </c>
      <c r="J221" t="s">
        <v>1963</v>
      </c>
      <c r="K221" t="s">
        <v>2671</v>
      </c>
      <c r="L221" t="s">
        <v>2046</v>
      </c>
      <c r="M221" t="s">
        <v>2250</v>
      </c>
      <c r="N221" t="s">
        <v>2251</v>
      </c>
      <c r="O221" t="s">
        <v>2047</v>
      </c>
      <c r="P221" t="s">
        <v>2048</v>
      </c>
      <c r="Q221" t="s">
        <v>2252</v>
      </c>
      <c r="R221" t="s">
        <v>14</v>
      </c>
      <c r="S221" t="s">
        <v>2253</v>
      </c>
      <c r="T221" t="s">
        <v>2254</v>
      </c>
      <c r="U221" t="s">
        <v>2052</v>
      </c>
      <c r="V221" t="s">
        <v>14</v>
      </c>
      <c r="W221" t="b">
        <v>1</v>
      </c>
      <c r="X221" t="s">
        <v>1639</v>
      </c>
      <c r="Y221" t="b">
        <v>0</v>
      </c>
      <c r="Z221" t="s">
        <v>2081</v>
      </c>
    </row>
    <row r="222" spans="1:26" x14ac:dyDescent="0.35">
      <c r="A222" t="s">
        <v>1640</v>
      </c>
      <c r="B222" t="s">
        <v>2672</v>
      </c>
      <c r="C222" t="s">
        <v>2648</v>
      </c>
      <c r="D222" t="s">
        <v>1963</v>
      </c>
      <c r="E222" t="s">
        <v>2020</v>
      </c>
      <c r="F222" t="s">
        <v>2021</v>
      </c>
      <c r="G222" t="s">
        <v>2022</v>
      </c>
      <c r="H222" t="s">
        <v>2023</v>
      </c>
      <c r="I222" t="s">
        <v>2673</v>
      </c>
      <c r="J222" t="s">
        <v>1963</v>
      </c>
      <c r="K222" t="s">
        <v>2674</v>
      </c>
      <c r="L222" t="s">
        <v>2046</v>
      </c>
      <c r="M222" t="s">
        <v>2205</v>
      </c>
      <c r="N222" t="s">
        <v>2206</v>
      </c>
      <c r="O222" t="s">
        <v>2205</v>
      </c>
      <c r="P222" t="s">
        <v>2206</v>
      </c>
      <c r="Q222" t="s">
        <v>14</v>
      </c>
      <c r="R222" t="s">
        <v>14</v>
      </c>
      <c r="S222" t="s">
        <v>14</v>
      </c>
      <c r="T222" t="s">
        <v>14</v>
      </c>
      <c r="U222" t="s">
        <v>2052</v>
      </c>
      <c r="V222" t="s">
        <v>14</v>
      </c>
      <c r="W222" t="b">
        <v>1</v>
      </c>
      <c r="X222" t="s">
        <v>1641</v>
      </c>
      <c r="Y222" t="b">
        <v>0</v>
      </c>
      <c r="Z222" t="s">
        <v>2053</v>
      </c>
    </row>
    <row r="223" spans="1:26" x14ac:dyDescent="0.35">
      <c r="A223" t="s">
        <v>1642</v>
      </c>
      <c r="B223" t="s">
        <v>2675</v>
      </c>
      <c r="C223" t="s">
        <v>2648</v>
      </c>
      <c r="D223" t="s">
        <v>1963</v>
      </c>
      <c r="E223" t="s">
        <v>2020</v>
      </c>
      <c r="F223" t="s">
        <v>2021</v>
      </c>
      <c r="G223" t="s">
        <v>2022</v>
      </c>
      <c r="H223" t="s">
        <v>2023</v>
      </c>
      <c r="I223" t="s">
        <v>2676</v>
      </c>
      <c r="J223" t="s">
        <v>1963</v>
      </c>
      <c r="K223" t="s">
        <v>2677</v>
      </c>
      <c r="L223" t="s">
        <v>2046</v>
      </c>
      <c r="M223" t="s">
        <v>2109</v>
      </c>
      <c r="N223" t="s">
        <v>2110</v>
      </c>
      <c r="O223" t="s">
        <v>2111</v>
      </c>
      <c r="P223" t="s">
        <v>2112</v>
      </c>
      <c r="Q223" t="s">
        <v>14</v>
      </c>
      <c r="R223" t="s">
        <v>14</v>
      </c>
      <c r="S223" t="s">
        <v>14</v>
      </c>
      <c r="T223" t="s">
        <v>14</v>
      </c>
      <c r="U223" t="s">
        <v>2052</v>
      </c>
      <c r="V223" t="s">
        <v>14</v>
      </c>
      <c r="W223" t="b">
        <v>1</v>
      </c>
      <c r="X223" t="s">
        <v>1643</v>
      </c>
      <c r="Y223" t="b">
        <v>0</v>
      </c>
      <c r="Z223" t="s">
        <v>2053</v>
      </c>
    </row>
    <row r="224" spans="1:26" x14ac:dyDescent="0.35">
      <c r="A224" t="s">
        <v>2678</v>
      </c>
      <c r="B224" t="s">
        <v>2679</v>
      </c>
      <c r="C224" t="s">
        <v>2648</v>
      </c>
      <c r="D224" t="s">
        <v>1963</v>
      </c>
      <c r="E224" t="s">
        <v>2020</v>
      </c>
      <c r="F224" t="s">
        <v>2021</v>
      </c>
      <c r="G224" t="s">
        <v>2022</v>
      </c>
      <c r="H224" t="s">
        <v>2023</v>
      </c>
      <c r="I224" t="s">
        <v>1426</v>
      </c>
      <c r="J224" t="s">
        <v>1963</v>
      </c>
      <c r="K224" t="s">
        <v>2680</v>
      </c>
      <c r="L224" t="s">
        <v>2046</v>
      </c>
      <c r="M224" t="s">
        <v>2058</v>
      </c>
      <c r="N224" t="s">
        <v>2059</v>
      </c>
      <c r="O224" t="s">
        <v>2060</v>
      </c>
      <c r="P224" t="s">
        <v>2061</v>
      </c>
      <c r="Q224" t="s">
        <v>2062</v>
      </c>
      <c r="R224" t="s">
        <v>14</v>
      </c>
      <c r="S224" t="s">
        <v>2063</v>
      </c>
      <c r="T224" t="s">
        <v>2064</v>
      </c>
      <c r="U224" t="s">
        <v>2052</v>
      </c>
      <c r="V224" t="s">
        <v>14</v>
      </c>
      <c r="W224" t="b">
        <v>1</v>
      </c>
      <c r="X224" t="s">
        <v>2681</v>
      </c>
      <c r="Y224" t="b">
        <v>0</v>
      </c>
      <c r="Z224" t="s">
        <v>2053</v>
      </c>
    </row>
    <row r="225" spans="1:26" x14ac:dyDescent="0.35">
      <c r="A225" t="s">
        <v>2682</v>
      </c>
      <c r="B225" t="s">
        <v>2683</v>
      </c>
      <c r="C225" t="s">
        <v>2648</v>
      </c>
      <c r="D225" t="s">
        <v>1963</v>
      </c>
      <c r="E225" t="s">
        <v>2020</v>
      </c>
      <c r="F225" t="s">
        <v>2021</v>
      </c>
      <c r="G225" t="s">
        <v>2022</v>
      </c>
      <c r="H225" t="s">
        <v>2023</v>
      </c>
      <c r="I225" t="s">
        <v>1426</v>
      </c>
      <c r="J225" t="s">
        <v>1963</v>
      </c>
      <c r="K225" t="s">
        <v>2684</v>
      </c>
      <c r="L225" t="s">
        <v>2046</v>
      </c>
      <c r="M225" t="s">
        <v>2058</v>
      </c>
      <c r="N225" t="s">
        <v>2059</v>
      </c>
      <c r="O225" t="s">
        <v>2060</v>
      </c>
      <c r="P225" t="s">
        <v>2061</v>
      </c>
      <c r="Q225" t="s">
        <v>2062</v>
      </c>
      <c r="R225" t="s">
        <v>14</v>
      </c>
      <c r="S225" t="s">
        <v>2063</v>
      </c>
      <c r="T225" t="s">
        <v>2064</v>
      </c>
      <c r="U225" t="s">
        <v>2052</v>
      </c>
      <c r="V225" t="s">
        <v>14</v>
      </c>
      <c r="W225" t="b">
        <v>1</v>
      </c>
      <c r="X225" t="s">
        <v>2685</v>
      </c>
      <c r="Y225" t="b">
        <v>0</v>
      </c>
      <c r="Z225" t="s">
        <v>2053</v>
      </c>
    </row>
    <row r="226" spans="1:26" x14ac:dyDescent="0.35">
      <c r="A226" t="s">
        <v>2686</v>
      </c>
      <c r="B226" t="s">
        <v>2687</v>
      </c>
      <c r="C226" t="s">
        <v>2648</v>
      </c>
      <c r="D226" t="s">
        <v>1963</v>
      </c>
      <c r="E226" t="s">
        <v>2020</v>
      </c>
      <c r="F226" t="s">
        <v>2021</v>
      </c>
      <c r="G226" t="s">
        <v>2022</v>
      </c>
      <c r="H226" t="s">
        <v>2023</v>
      </c>
      <c r="I226" t="s">
        <v>1426</v>
      </c>
      <c r="J226" t="s">
        <v>1963</v>
      </c>
      <c r="K226" t="s">
        <v>2688</v>
      </c>
      <c r="L226" t="s">
        <v>2046</v>
      </c>
      <c r="M226" t="s">
        <v>2058</v>
      </c>
      <c r="N226" t="s">
        <v>2059</v>
      </c>
      <c r="O226" t="s">
        <v>2060</v>
      </c>
      <c r="P226" t="s">
        <v>2061</v>
      </c>
      <c r="Q226" t="s">
        <v>2062</v>
      </c>
      <c r="R226" t="s">
        <v>14</v>
      </c>
      <c r="S226" t="s">
        <v>2063</v>
      </c>
      <c r="T226" t="s">
        <v>2064</v>
      </c>
      <c r="U226" t="s">
        <v>2052</v>
      </c>
      <c r="V226" t="s">
        <v>14</v>
      </c>
      <c r="W226" t="b">
        <v>1</v>
      </c>
      <c r="X226" t="s">
        <v>2689</v>
      </c>
      <c r="Y226" t="b">
        <v>0</v>
      </c>
      <c r="Z226" t="s">
        <v>2053</v>
      </c>
    </row>
    <row r="227" spans="1:26" x14ac:dyDescent="0.35">
      <c r="A227" t="s">
        <v>2690</v>
      </c>
      <c r="B227" t="s">
        <v>2691</v>
      </c>
      <c r="C227" t="s">
        <v>2648</v>
      </c>
      <c r="D227" t="s">
        <v>1963</v>
      </c>
      <c r="E227" t="s">
        <v>2020</v>
      </c>
      <c r="F227" t="s">
        <v>2055</v>
      </c>
      <c r="G227" t="s">
        <v>2056</v>
      </c>
      <c r="H227" t="s">
        <v>2023</v>
      </c>
      <c r="I227" t="s">
        <v>1426</v>
      </c>
      <c r="J227" t="s">
        <v>1963</v>
      </c>
      <c r="K227" t="s">
        <v>2692</v>
      </c>
      <c r="L227" t="s">
        <v>2046</v>
      </c>
      <c r="M227" t="s">
        <v>2058</v>
      </c>
      <c r="N227" t="s">
        <v>2059</v>
      </c>
      <c r="O227" t="s">
        <v>2060</v>
      </c>
      <c r="P227" t="s">
        <v>2061</v>
      </c>
      <c r="Q227" t="s">
        <v>2062</v>
      </c>
      <c r="R227" t="s">
        <v>14</v>
      </c>
      <c r="S227" t="s">
        <v>2063</v>
      </c>
      <c r="T227" t="s">
        <v>2064</v>
      </c>
      <c r="U227" t="s">
        <v>2052</v>
      </c>
      <c r="V227" t="s">
        <v>14</v>
      </c>
      <c r="W227" t="b">
        <v>1</v>
      </c>
      <c r="X227" t="s">
        <v>2693</v>
      </c>
      <c r="Y227" t="b">
        <v>0</v>
      </c>
      <c r="Z227" t="s">
        <v>2053</v>
      </c>
    </row>
    <row r="228" spans="1:26" x14ac:dyDescent="0.35">
      <c r="A228" t="s">
        <v>2690</v>
      </c>
      <c r="B228" t="s">
        <v>2691</v>
      </c>
      <c r="C228" t="s">
        <v>2648</v>
      </c>
      <c r="D228" t="s">
        <v>1963</v>
      </c>
      <c r="E228" t="s">
        <v>2020</v>
      </c>
      <c r="F228" t="s">
        <v>2055</v>
      </c>
      <c r="G228" t="s">
        <v>2056</v>
      </c>
      <c r="H228" t="s">
        <v>2023</v>
      </c>
      <c r="I228" t="s">
        <v>2132</v>
      </c>
      <c r="J228" t="s">
        <v>1963</v>
      </c>
      <c r="K228" t="s">
        <v>2692</v>
      </c>
      <c r="L228" t="s">
        <v>2046</v>
      </c>
      <c r="M228" t="s">
        <v>2058</v>
      </c>
      <c r="N228" t="s">
        <v>2059</v>
      </c>
      <c r="O228" t="s">
        <v>2060</v>
      </c>
      <c r="P228" t="s">
        <v>2061</v>
      </c>
      <c r="Q228" t="s">
        <v>2062</v>
      </c>
      <c r="R228" t="s">
        <v>14</v>
      </c>
      <c r="S228" t="s">
        <v>2134</v>
      </c>
      <c r="T228" t="s">
        <v>2135</v>
      </c>
      <c r="U228" t="s">
        <v>2052</v>
      </c>
      <c r="V228" t="s">
        <v>14</v>
      </c>
      <c r="W228" t="b">
        <v>1</v>
      </c>
      <c r="X228" t="s">
        <v>2693</v>
      </c>
      <c r="Y228" t="b">
        <v>0</v>
      </c>
      <c r="Z228" t="s">
        <v>2053</v>
      </c>
    </row>
    <row r="229" spans="1:26" x14ac:dyDescent="0.35">
      <c r="A229" t="s">
        <v>2694</v>
      </c>
      <c r="B229" t="s">
        <v>2695</v>
      </c>
      <c r="C229" t="s">
        <v>2648</v>
      </c>
      <c r="D229" t="s">
        <v>1963</v>
      </c>
      <c r="E229" t="s">
        <v>2020</v>
      </c>
      <c r="F229" t="s">
        <v>2055</v>
      </c>
      <c r="G229" t="s">
        <v>2056</v>
      </c>
      <c r="H229" t="s">
        <v>2023</v>
      </c>
      <c r="I229" t="s">
        <v>1426</v>
      </c>
      <c r="J229" t="s">
        <v>1963</v>
      </c>
      <c r="K229" t="s">
        <v>2696</v>
      </c>
      <c r="L229" t="s">
        <v>2046</v>
      </c>
      <c r="M229" t="s">
        <v>2058</v>
      </c>
      <c r="N229" t="s">
        <v>2059</v>
      </c>
      <c r="O229" t="s">
        <v>2060</v>
      </c>
      <c r="P229" t="s">
        <v>2061</v>
      </c>
      <c r="Q229" t="s">
        <v>2062</v>
      </c>
      <c r="R229" t="s">
        <v>14</v>
      </c>
      <c r="S229" t="s">
        <v>2063</v>
      </c>
      <c r="T229" t="s">
        <v>2064</v>
      </c>
      <c r="U229" t="s">
        <v>2052</v>
      </c>
      <c r="V229" t="s">
        <v>14</v>
      </c>
      <c r="W229" t="b">
        <v>1</v>
      </c>
      <c r="X229" t="s">
        <v>2697</v>
      </c>
      <c r="Y229" t="b">
        <v>0</v>
      </c>
      <c r="Z229" t="s">
        <v>2053</v>
      </c>
    </row>
    <row r="230" spans="1:26" x14ac:dyDescent="0.35">
      <c r="A230" t="s">
        <v>1644</v>
      </c>
      <c r="B230" t="s">
        <v>2698</v>
      </c>
      <c r="C230" t="s">
        <v>2648</v>
      </c>
      <c r="D230" t="s">
        <v>1963</v>
      </c>
      <c r="E230" t="s">
        <v>2020</v>
      </c>
      <c r="F230" t="s">
        <v>2021</v>
      </c>
      <c r="G230" t="s">
        <v>2022</v>
      </c>
      <c r="H230" t="s">
        <v>2023</v>
      </c>
      <c r="I230" t="s">
        <v>2699</v>
      </c>
      <c r="J230" t="s">
        <v>1963</v>
      </c>
      <c r="K230" t="s">
        <v>2700</v>
      </c>
      <c r="L230" t="s">
        <v>2046</v>
      </c>
      <c r="M230" t="s">
        <v>2222</v>
      </c>
      <c r="N230" t="s">
        <v>2223</v>
      </c>
      <c r="O230" t="s">
        <v>2222</v>
      </c>
      <c r="P230" t="s">
        <v>2223</v>
      </c>
      <c r="Q230" t="s">
        <v>14</v>
      </c>
      <c r="R230" t="s">
        <v>14</v>
      </c>
      <c r="S230" t="s">
        <v>14</v>
      </c>
      <c r="T230" t="s">
        <v>14</v>
      </c>
      <c r="U230" t="s">
        <v>2052</v>
      </c>
      <c r="V230" t="s">
        <v>14</v>
      </c>
      <c r="W230" t="b">
        <v>1</v>
      </c>
      <c r="X230" t="s">
        <v>1645</v>
      </c>
      <c r="Y230" t="b">
        <v>0</v>
      </c>
      <c r="Z230" t="s">
        <v>2053</v>
      </c>
    </row>
    <row r="231" spans="1:26" x14ac:dyDescent="0.35">
      <c r="A231" t="s">
        <v>1644</v>
      </c>
      <c r="B231" t="s">
        <v>2698</v>
      </c>
      <c r="C231" t="s">
        <v>2648</v>
      </c>
      <c r="D231" t="s">
        <v>1963</v>
      </c>
      <c r="E231" t="s">
        <v>2020</v>
      </c>
      <c r="F231" t="s">
        <v>2021</v>
      </c>
      <c r="G231" t="s">
        <v>2022</v>
      </c>
      <c r="H231" t="s">
        <v>2023</v>
      </c>
      <c r="I231" t="s">
        <v>1829</v>
      </c>
      <c r="J231" t="s">
        <v>1963</v>
      </c>
      <c r="K231" t="s">
        <v>2700</v>
      </c>
      <c r="L231" t="s">
        <v>2046</v>
      </c>
      <c r="M231" t="s">
        <v>14</v>
      </c>
      <c r="N231" t="s">
        <v>14</v>
      </c>
      <c r="O231" t="s">
        <v>2111</v>
      </c>
      <c r="P231" t="s">
        <v>2112</v>
      </c>
      <c r="Q231" t="s">
        <v>14</v>
      </c>
      <c r="R231" t="s">
        <v>14</v>
      </c>
      <c r="S231" t="s">
        <v>14</v>
      </c>
      <c r="T231" t="s">
        <v>14</v>
      </c>
      <c r="U231" t="s">
        <v>2052</v>
      </c>
      <c r="V231" t="s">
        <v>14</v>
      </c>
      <c r="W231" t="b">
        <v>1</v>
      </c>
      <c r="X231" t="s">
        <v>1645</v>
      </c>
      <c r="Y231" t="b">
        <v>0</v>
      </c>
      <c r="Z231" t="s">
        <v>2053</v>
      </c>
    </row>
    <row r="232" spans="1:26" x14ac:dyDescent="0.35">
      <c r="A232" t="s">
        <v>1644</v>
      </c>
      <c r="B232" t="s">
        <v>2698</v>
      </c>
      <c r="C232" t="s">
        <v>2648</v>
      </c>
      <c r="D232" t="s">
        <v>1963</v>
      </c>
      <c r="E232" t="s">
        <v>2020</v>
      </c>
      <c r="F232" t="s">
        <v>2021</v>
      </c>
      <c r="G232" t="s">
        <v>2022</v>
      </c>
      <c r="H232" t="s">
        <v>2023</v>
      </c>
      <c r="I232" t="s">
        <v>1829</v>
      </c>
      <c r="J232" t="s">
        <v>1963</v>
      </c>
      <c r="K232" t="s">
        <v>2700</v>
      </c>
      <c r="L232" t="s">
        <v>2046</v>
      </c>
      <c r="M232" t="s">
        <v>14</v>
      </c>
      <c r="N232" t="s">
        <v>14</v>
      </c>
      <c r="O232" t="s">
        <v>2111</v>
      </c>
      <c r="P232" t="s">
        <v>2112</v>
      </c>
      <c r="Q232" t="s">
        <v>14</v>
      </c>
      <c r="R232" t="s">
        <v>14</v>
      </c>
      <c r="S232" t="s">
        <v>14</v>
      </c>
      <c r="T232" t="s">
        <v>14</v>
      </c>
      <c r="U232" t="s">
        <v>2052</v>
      </c>
      <c r="V232" t="s">
        <v>14</v>
      </c>
      <c r="W232" t="b">
        <v>1</v>
      </c>
      <c r="X232" t="s">
        <v>1645</v>
      </c>
      <c r="Y232" t="b">
        <v>0</v>
      </c>
      <c r="Z232" t="s">
        <v>2053</v>
      </c>
    </row>
    <row r="233" spans="1:26" x14ac:dyDescent="0.35">
      <c r="A233" t="s">
        <v>1646</v>
      </c>
      <c r="B233" t="s">
        <v>2701</v>
      </c>
      <c r="C233" t="s">
        <v>2648</v>
      </c>
      <c r="D233" t="s">
        <v>1963</v>
      </c>
      <c r="E233" t="s">
        <v>2020</v>
      </c>
      <c r="F233" t="s">
        <v>2021</v>
      </c>
      <c r="G233" t="s">
        <v>2022</v>
      </c>
      <c r="H233" t="s">
        <v>2023</v>
      </c>
      <c r="I233" t="s">
        <v>816</v>
      </c>
      <c r="J233" t="s">
        <v>1963</v>
      </c>
      <c r="K233" t="s">
        <v>2702</v>
      </c>
      <c r="L233" t="s">
        <v>2046</v>
      </c>
      <c r="M233" t="s">
        <v>2243</v>
      </c>
      <c r="N233" t="s">
        <v>2244</v>
      </c>
      <c r="O233" t="s">
        <v>2205</v>
      </c>
      <c r="P233" t="s">
        <v>2206</v>
      </c>
      <c r="Q233" t="s">
        <v>14</v>
      </c>
      <c r="R233" t="s">
        <v>14</v>
      </c>
      <c r="S233" t="s">
        <v>14</v>
      </c>
      <c r="T233" t="s">
        <v>14</v>
      </c>
      <c r="U233" t="s">
        <v>2052</v>
      </c>
      <c r="V233" t="s">
        <v>14</v>
      </c>
      <c r="W233" t="b">
        <v>1</v>
      </c>
      <c r="X233" t="s">
        <v>1647</v>
      </c>
      <c r="Y233" t="b">
        <v>0</v>
      </c>
      <c r="Z233" t="s">
        <v>2053</v>
      </c>
    </row>
    <row r="234" spans="1:26" x14ac:dyDescent="0.35">
      <c r="A234" t="s">
        <v>1648</v>
      </c>
      <c r="B234" t="s">
        <v>2703</v>
      </c>
      <c r="C234" t="s">
        <v>2648</v>
      </c>
      <c r="D234" t="s">
        <v>1963</v>
      </c>
      <c r="E234" t="s">
        <v>2020</v>
      </c>
      <c r="F234" t="s">
        <v>2021</v>
      </c>
      <c r="G234" t="s">
        <v>2022</v>
      </c>
      <c r="H234" t="s">
        <v>2023</v>
      </c>
      <c r="I234" t="s">
        <v>1806</v>
      </c>
      <c r="J234" t="s">
        <v>1963</v>
      </c>
      <c r="K234" t="s">
        <v>2704</v>
      </c>
      <c r="L234" t="s">
        <v>2046</v>
      </c>
      <c r="M234" t="s">
        <v>2067</v>
      </c>
      <c r="N234" t="s">
        <v>2068</v>
      </c>
      <c r="O234" t="s">
        <v>2047</v>
      </c>
      <c r="P234" t="s">
        <v>2048</v>
      </c>
      <c r="Q234" t="s">
        <v>14</v>
      </c>
      <c r="R234" t="s">
        <v>14</v>
      </c>
      <c r="S234" t="s">
        <v>2069</v>
      </c>
      <c r="T234" t="s">
        <v>2070</v>
      </c>
      <c r="U234" t="s">
        <v>2052</v>
      </c>
      <c r="V234" t="s">
        <v>14</v>
      </c>
      <c r="W234" t="b">
        <v>0</v>
      </c>
      <c r="X234" t="s">
        <v>1649</v>
      </c>
      <c r="Y234" t="b">
        <v>0</v>
      </c>
      <c r="Z234" t="s">
        <v>2053</v>
      </c>
    </row>
    <row r="235" spans="1:26" x14ac:dyDescent="0.35">
      <c r="A235" t="s">
        <v>2705</v>
      </c>
      <c r="B235" t="s">
        <v>2706</v>
      </c>
      <c r="C235" t="s">
        <v>2648</v>
      </c>
      <c r="D235" t="s">
        <v>1963</v>
      </c>
      <c r="E235" t="s">
        <v>2020</v>
      </c>
      <c r="F235" t="s">
        <v>2140</v>
      </c>
      <c r="G235" t="s">
        <v>2141</v>
      </c>
      <c r="H235" t="s">
        <v>2023</v>
      </c>
      <c r="I235" t="s">
        <v>1806</v>
      </c>
      <c r="J235" t="s">
        <v>1963</v>
      </c>
      <c r="K235" t="s">
        <v>2707</v>
      </c>
      <c r="L235" t="s">
        <v>2046</v>
      </c>
      <c r="M235" t="s">
        <v>2067</v>
      </c>
      <c r="N235" t="s">
        <v>2068</v>
      </c>
      <c r="O235" t="s">
        <v>2047</v>
      </c>
      <c r="P235" t="s">
        <v>2048</v>
      </c>
      <c r="Q235" t="s">
        <v>14</v>
      </c>
      <c r="R235" t="s">
        <v>14</v>
      </c>
      <c r="S235" t="s">
        <v>2069</v>
      </c>
      <c r="T235" t="s">
        <v>2070</v>
      </c>
      <c r="U235" t="s">
        <v>2052</v>
      </c>
      <c r="V235" t="s">
        <v>14</v>
      </c>
      <c r="W235" t="b">
        <v>1</v>
      </c>
      <c r="X235" t="s">
        <v>2708</v>
      </c>
      <c r="Y235" t="b">
        <v>0</v>
      </c>
      <c r="Z235" t="s">
        <v>2053</v>
      </c>
    </row>
    <row r="236" spans="1:26" x14ac:dyDescent="0.35">
      <c r="A236" t="s">
        <v>2705</v>
      </c>
      <c r="B236" t="s">
        <v>2706</v>
      </c>
      <c r="C236" t="s">
        <v>2648</v>
      </c>
      <c r="D236" t="s">
        <v>1963</v>
      </c>
      <c r="E236" t="s">
        <v>2020</v>
      </c>
      <c r="F236" t="s">
        <v>2140</v>
      </c>
      <c r="G236" t="s">
        <v>2141</v>
      </c>
      <c r="H236" t="s">
        <v>2023</v>
      </c>
      <c r="I236" t="s">
        <v>2144</v>
      </c>
      <c r="J236" t="s">
        <v>1963</v>
      </c>
      <c r="K236" t="s">
        <v>2707</v>
      </c>
      <c r="L236" t="s">
        <v>2046</v>
      </c>
      <c r="M236" t="s">
        <v>2047</v>
      </c>
      <c r="N236" t="s">
        <v>2048</v>
      </c>
      <c r="O236" t="s">
        <v>2047</v>
      </c>
      <c r="P236" t="s">
        <v>2048</v>
      </c>
      <c r="Q236" t="s">
        <v>2145</v>
      </c>
      <c r="R236" t="s">
        <v>14</v>
      </c>
      <c r="S236" t="s">
        <v>2069</v>
      </c>
      <c r="T236" t="s">
        <v>2070</v>
      </c>
      <c r="U236" t="s">
        <v>2052</v>
      </c>
      <c r="V236" t="s">
        <v>14</v>
      </c>
      <c r="W236" t="b">
        <v>1</v>
      </c>
      <c r="X236" t="s">
        <v>2708</v>
      </c>
      <c r="Y236" t="b">
        <v>0</v>
      </c>
      <c r="Z236" t="s">
        <v>2053</v>
      </c>
    </row>
    <row r="237" spans="1:26" x14ac:dyDescent="0.35">
      <c r="A237" t="s">
        <v>2705</v>
      </c>
      <c r="B237" t="s">
        <v>2706</v>
      </c>
      <c r="C237" t="s">
        <v>2648</v>
      </c>
      <c r="D237" t="s">
        <v>1963</v>
      </c>
      <c r="E237" t="s">
        <v>2020</v>
      </c>
      <c r="F237" t="s">
        <v>2140</v>
      </c>
      <c r="G237" t="s">
        <v>2141</v>
      </c>
      <c r="H237" t="s">
        <v>2023</v>
      </c>
      <c r="I237" t="s">
        <v>2146</v>
      </c>
      <c r="J237" t="s">
        <v>1963</v>
      </c>
      <c r="K237" t="s">
        <v>2707</v>
      </c>
      <c r="L237" t="s">
        <v>2046</v>
      </c>
      <c r="M237" t="s">
        <v>14</v>
      </c>
      <c r="N237" t="s">
        <v>14</v>
      </c>
      <c r="O237" t="s">
        <v>2147</v>
      </c>
      <c r="P237" t="s">
        <v>2148</v>
      </c>
      <c r="Q237" t="s">
        <v>14</v>
      </c>
      <c r="R237" t="s">
        <v>14</v>
      </c>
      <c r="S237" t="s">
        <v>14</v>
      </c>
      <c r="T237" t="s">
        <v>14</v>
      </c>
      <c r="U237" t="s">
        <v>2052</v>
      </c>
      <c r="V237" t="s">
        <v>14</v>
      </c>
      <c r="W237" t="b">
        <v>1</v>
      </c>
      <c r="X237" t="s">
        <v>2708</v>
      </c>
      <c r="Y237" t="b">
        <v>0</v>
      </c>
      <c r="Z237" t="s">
        <v>2053</v>
      </c>
    </row>
    <row r="238" spans="1:26" x14ac:dyDescent="0.35">
      <c r="A238" t="s">
        <v>1650</v>
      </c>
      <c r="B238" t="s">
        <v>2709</v>
      </c>
      <c r="C238" t="s">
        <v>2648</v>
      </c>
      <c r="D238" t="s">
        <v>1963</v>
      </c>
      <c r="E238" t="s">
        <v>2020</v>
      </c>
      <c r="F238" t="s">
        <v>2021</v>
      </c>
      <c r="G238" t="s">
        <v>2022</v>
      </c>
      <c r="H238" t="s">
        <v>2023</v>
      </c>
      <c r="I238" t="s">
        <v>1892</v>
      </c>
      <c r="J238" t="s">
        <v>1963</v>
      </c>
      <c r="K238" t="s">
        <v>2710</v>
      </c>
      <c r="L238" t="s">
        <v>2046</v>
      </c>
      <c r="M238" t="s">
        <v>2711</v>
      </c>
      <c r="N238" t="s">
        <v>2712</v>
      </c>
      <c r="O238" t="s">
        <v>2101</v>
      </c>
      <c r="P238" t="s">
        <v>2102</v>
      </c>
      <c r="Q238" t="s">
        <v>14</v>
      </c>
      <c r="R238" t="s">
        <v>14</v>
      </c>
      <c r="S238" t="s">
        <v>14</v>
      </c>
      <c r="T238" t="s">
        <v>14</v>
      </c>
      <c r="U238" t="s">
        <v>2052</v>
      </c>
      <c r="V238" t="s">
        <v>14</v>
      </c>
      <c r="W238" t="b">
        <v>1</v>
      </c>
      <c r="X238" t="s">
        <v>1651</v>
      </c>
      <c r="Y238" t="b">
        <v>0</v>
      </c>
      <c r="Z238" t="s">
        <v>2053</v>
      </c>
    </row>
    <row r="239" spans="1:26" x14ac:dyDescent="0.35">
      <c r="A239" t="s">
        <v>1850</v>
      </c>
      <c r="B239" t="s">
        <v>2713</v>
      </c>
      <c r="C239" t="s">
        <v>2648</v>
      </c>
      <c r="D239" t="s">
        <v>1963</v>
      </c>
      <c r="E239" t="s">
        <v>2020</v>
      </c>
      <c r="F239" t="s">
        <v>2021</v>
      </c>
      <c r="G239" t="s">
        <v>2022</v>
      </c>
      <c r="H239" t="s">
        <v>2023</v>
      </c>
      <c r="I239" t="s">
        <v>1431</v>
      </c>
      <c r="J239" t="s">
        <v>1963</v>
      </c>
      <c r="K239" t="s">
        <v>2714</v>
      </c>
      <c r="L239" t="s">
        <v>2046</v>
      </c>
      <c r="M239" t="s">
        <v>2026</v>
      </c>
      <c r="N239" t="s">
        <v>2027</v>
      </c>
      <c r="O239" t="s">
        <v>2650</v>
      </c>
      <c r="P239" t="s">
        <v>2651</v>
      </c>
      <c r="Q239" t="s">
        <v>14</v>
      </c>
      <c r="R239" t="s">
        <v>14</v>
      </c>
      <c r="S239" t="s">
        <v>14</v>
      </c>
      <c r="T239" t="s">
        <v>14</v>
      </c>
      <c r="U239" t="s">
        <v>2030</v>
      </c>
      <c r="V239" t="s">
        <v>14</v>
      </c>
      <c r="W239" t="b">
        <v>1</v>
      </c>
      <c r="X239" t="s">
        <v>2715</v>
      </c>
      <c r="Y239" t="b">
        <v>0</v>
      </c>
      <c r="Z239" t="s">
        <v>2053</v>
      </c>
    </row>
    <row r="240" spans="1:26" x14ac:dyDescent="0.35">
      <c r="A240" t="s">
        <v>1851</v>
      </c>
      <c r="B240" t="s">
        <v>2716</v>
      </c>
      <c r="C240" t="s">
        <v>2648</v>
      </c>
      <c r="D240" t="s">
        <v>1963</v>
      </c>
      <c r="E240" t="s">
        <v>2020</v>
      </c>
      <c r="F240" t="s">
        <v>2021</v>
      </c>
      <c r="G240" t="s">
        <v>2022</v>
      </c>
      <c r="H240" t="s">
        <v>2023</v>
      </c>
      <c r="I240" t="s">
        <v>1431</v>
      </c>
      <c r="J240" t="s">
        <v>1963</v>
      </c>
      <c r="K240" t="s">
        <v>2717</v>
      </c>
      <c r="L240" t="s">
        <v>2046</v>
      </c>
      <c r="M240" t="s">
        <v>2026</v>
      </c>
      <c r="N240" t="s">
        <v>2027</v>
      </c>
      <c r="O240" t="s">
        <v>2650</v>
      </c>
      <c r="P240" t="s">
        <v>2651</v>
      </c>
      <c r="Q240" t="s">
        <v>14</v>
      </c>
      <c r="R240" t="s">
        <v>14</v>
      </c>
      <c r="S240" t="s">
        <v>14</v>
      </c>
      <c r="T240" t="s">
        <v>14</v>
      </c>
      <c r="U240" t="s">
        <v>2030</v>
      </c>
      <c r="V240" t="s">
        <v>14</v>
      </c>
      <c r="W240" t="b">
        <v>1</v>
      </c>
      <c r="X240" t="s">
        <v>2718</v>
      </c>
      <c r="Y240" t="b">
        <v>0</v>
      </c>
      <c r="Z240" t="s">
        <v>2053</v>
      </c>
    </row>
    <row r="241" spans="1:26" x14ac:dyDescent="0.35">
      <c r="A241" t="s">
        <v>2719</v>
      </c>
      <c r="B241" t="s">
        <v>2720</v>
      </c>
      <c r="C241" t="s">
        <v>2642</v>
      </c>
      <c r="D241" t="s">
        <v>1963</v>
      </c>
      <c r="E241" t="s">
        <v>2020</v>
      </c>
      <c r="F241" t="s">
        <v>2055</v>
      </c>
      <c r="G241" t="s">
        <v>2056</v>
      </c>
      <c r="H241" t="s">
        <v>2023</v>
      </c>
      <c r="I241" t="s">
        <v>1426</v>
      </c>
      <c r="J241" t="s">
        <v>1963</v>
      </c>
      <c r="K241" t="s">
        <v>2643</v>
      </c>
      <c r="L241" t="s">
        <v>2540</v>
      </c>
      <c r="M241" t="s">
        <v>2058</v>
      </c>
      <c r="N241" t="s">
        <v>2059</v>
      </c>
      <c r="O241" t="s">
        <v>2060</v>
      </c>
      <c r="P241" t="s">
        <v>2061</v>
      </c>
      <c r="Q241" t="s">
        <v>2062</v>
      </c>
      <c r="R241" t="s">
        <v>14</v>
      </c>
      <c r="S241" t="s">
        <v>2063</v>
      </c>
      <c r="T241" t="s">
        <v>2064</v>
      </c>
      <c r="U241" t="s">
        <v>2052</v>
      </c>
      <c r="V241" t="s">
        <v>14</v>
      </c>
      <c r="W241" t="b">
        <v>1</v>
      </c>
      <c r="X241" t="s">
        <v>2721</v>
      </c>
      <c r="Y241" t="b">
        <v>0</v>
      </c>
      <c r="Z241" t="s">
        <v>2053</v>
      </c>
    </row>
    <row r="242" spans="1:26" x14ac:dyDescent="0.35">
      <c r="A242" t="s">
        <v>2722</v>
      </c>
      <c r="B242" t="s">
        <v>2723</v>
      </c>
      <c r="C242" t="s">
        <v>2642</v>
      </c>
      <c r="D242" t="s">
        <v>1963</v>
      </c>
      <c r="E242" t="s">
        <v>2020</v>
      </c>
      <c r="F242" t="s">
        <v>2055</v>
      </c>
      <c r="G242" t="s">
        <v>2056</v>
      </c>
      <c r="H242" t="s">
        <v>2023</v>
      </c>
      <c r="I242" t="s">
        <v>1426</v>
      </c>
      <c r="J242" t="s">
        <v>1963</v>
      </c>
      <c r="K242" t="s">
        <v>2724</v>
      </c>
      <c r="L242" t="s">
        <v>2025</v>
      </c>
      <c r="M242" t="s">
        <v>2058</v>
      </c>
      <c r="N242" t="s">
        <v>2059</v>
      </c>
      <c r="O242" t="s">
        <v>2060</v>
      </c>
      <c r="P242" t="s">
        <v>2061</v>
      </c>
      <c r="Q242" t="s">
        <v>2062</v>
      </c>
      <c r="R242" t="s">
        <v>14</v>
      </c>
      <c r="S242" t="s">
        <v>2063</v>
      </c>
      <c r="T242" t="s">
        <v>2064</v>
      </c>
      <c r="U242" t="s">
        <v>2052</v>
      </c>
      <c r="V242" t="s">
        <v>14</v>
      </c>
      <c r="W242" t="b">
        <v>1</v>
      </c>
      <c r="X242" t="s">
        <v>2725</v>
      </c>
      <c r="Y242" t="b">
        <v>0</v>
      </c>
      <c r="Z242" t="s">
        <v>2053</v>
      </c>
    </row>
    <row r="243" spans="1:26" x14ac:dyDescent="0.35">
      <c r="A243" t="s">
        <v>2726</v>
      </c>
      <c r="B243" t="s">
        <v>2727</v>
      </c>
      <c r="C243" t="s">
        <v>2642</v>
      </c>
      <c r="D243" t="s">
        <v>1963</v>
      </c>
      <c r="E243" t="s">
        <v>2020</v>
      </c>
      <c r="F243" t="s">
        <v>2055</v>
      </c>
      <c r="G243" t="s">
        <v>2056</v>
      </c>
      <c r="H243" t="s">
        <v>2023</v>
      </c>
      <c r="I243" t="s">
        <v>1426</v>
      </c>
      <c r="J243" t="s">
        <v>1963</v>
      </c>
      <c r="K243" t="s">
        <v>2728</v>
      </c>
      <c r="L243" t="s">
        <v>2025</v>
      </c>
      <c r="M243" t="s">
        <v>2058</v>
      </c>
      <c r="N243" t="s">
        <v>2059</v>
      </c>
      <c r="O243" t="s">
        <v>2060</v>
      </c>
      <c r="P243" t="s">
        <v>2061</v>
      </c>
      <c r="Q243" t="s">
        <v>2062</v>
      </c>
      <c r="R243" t="s">
        <v>14</v>
      </c>
      <c r="S243" t="s">
        <v>2063</v>
      </c>
      <c r="T243" t="s">
        <v>2064</v>
      </c>
      <c r="U243" t="s">
        <v>2052</v>
      </c>
      <c r="V243" t="s">
        <v>14</v>
      </c>
      <c r="W243" t="b">
        <v>1</v>
      </c>
      <c r="X243" t="s">
        <v>2729</v>
      </c>
      <c r="Y243" t="b">
        <v>0</v>
      </c>
      <c r="Z243" t="s">
        <v>2053</v>
      </c>
    </row>
    <row r="244" spans="1:26" x14ac:dyDescent="0.35">
      <c r="A244" t="s">
        <v>2730</v>
      </c>
      <c r="B244" t="s">
        <v>2731</v>
      </c>
      <c r="C244" t="s">
        <v>2642</v>
      </c>
      <c r="D244" t="s">
        <v>1963</v>
      </c>
      <c r="E244" t="s">
        <v>2020</v>
      </c>
      <c r="F244" t="s">
        <v>2021</v>
      </c>
      <c r="G244" t="s">
        <v>2022</v>
      </c>
      <c r="H244" t="s">
        <v>2023</v>
      </c>
      <c r="I244" t="s">
        <v>1426</v>
      </c>
      <c r="J244" t="s">
        <v>1963</v>
      </c>
      <c r="K244" t="s">
        <v>2732</v>
      </c>
      <c r="L244" t="s">
        <v>2025</v>
      </c>
      <c r="M244" t="s">
        <v>2058</v>
      </c>
      <c r="N244" t="s">
        <v>2059</v>
      </c>
      <c r="O244" t="s">
        <v>2060</v>
      </c>
      <c r="P244" t="s">
        <v>2061</v>
      </c>
      <c r="Q244" t="s">
        <v>2062</v>
      </c>
      <c r="R244" t="s">
        <v>14</v>
      </c>
      <c r="S244" t="s">
        <v>2063</v>
      </c>
      <c r="T244" t="s">
        <v>2064</v>
      </c>
      <c r="U244" t="s">
        <v>2052</v>
      </c>
      <c r="V244" t="s">
        <v>14</v>
      </c>
      <c r="W244" t="b">
        <v>1</v>
      </c>
      <c r="X244" t="s">
        <v>2733</v>
      </c>
      <c r="Y244" t="b">
        <v>0</v>
      </c>
      <c r="Z244" t="s">
        <v>2053</v>
      </c>
    </row>
    <row r="245" spans="1:26" x14ac:dyDescent="0.35">
      <c r="A245" t="s">
        <v>1652</v>
      </c>
      <c r="B245" t="s">
        <v>2734</v>
      </c>
      <c r="C245" t="s">
        <v>2735</v>
      </c>
      <c r="D245" t="s">
        <v>1963</v>
      </c>
      <c r="E245" t="s">
        <v>2020</v>
      </c>
      <c r="F245" t="s">
        <v>2021</v>
      </c>
      <c r="G245" t="s">
        <v>2022</v>
      </c>
      <c r="H245" t="s">
        <v>2023</v>
      </c>
      <c r="I245" t="s">
        <v>2197</v>
      </c>
      <c r="J245" t="s">
        <v>1963</v>
      </c>
      <c r="K245" t="s">
        <v>2736</v>
      </c>
      <c r="L245" t="s">
        <v>2046</v>
      </c>
      <c r="M245" t="s">
        <v>2120</v>
      </c>
      <c r="N245" t="s">
        <v>2121</v>
      </c>
      <c r="O245" t="s">
        <v>2060</v>
      </c>
      <c r="P245" t="s">
        <v>2061</v>
      </c>
      <c r="Q245" t="s">
        <v>2122</v>
      </c>
      <c r="R245" t="s">
        <v>14</v>
      </c>
      <c r="S245" t="s">
        <v>2123</v>
      </c>
      <c r="T245" t="s">
        <v>2124</v>
      </c>
      <c r="U245" t="s">
        <v>2052</v>
      </c>
      <c r="V245" t="s">
        <v>14</v>
      </c>
      <c r="W245" t="b">
        <v>1</v>
      </c>
      <c r="X245" t="s">
        <v>1653</v>
      </c>
      <c r="Y245" t="b">
        <v>0</v>
      </c>
      <c r="Z245" t="s">
        <v>2032</v>
      </c>
    </row>
    <row r="246" spans="1:26" x14ac:dyDescent="0.35">
      <c r="A246" t="s">
        <v>1652</v>
      </c>
      <c r="B246" t="s">
        <v>2734</v>
      </c>
      <c r="C246" t="s">
        <v>2735</v>
      </c>
      <c r="D246" t="s">
        <v>1963</v>
      </c>
      <c r="E246" t="s">
        <v>2020</v>
      </c>
      <c r="F246" t="s">
        <v>2021</v>
      </c>
      <c r="G246" t="s">
        <v>2022</v>
      </c>
      <c r="H246" t="s">
        <v>2023</v>
      </c>
      <c r="I246" t="s">
        <v>2199</v>
      </c>
      <c r="J246" t="s">
        <v>1963</v>
      </c>
      <c r="K246" t="s">
        <v>2736</v>
      </c>
      <c r="L246" t="s">
        <v>2046</v>
      </c>
      <c r="M246" t="s">
        <v>2120</v>
      </c>
      <c r="N246" t="s">
        <v>2121</v>
      </c>
      <c r="O246" t="s">
        <v>2060</v>
      </c>
      <c r="P246" t="s">
        <v>2061</v>
      </c>
      <c r="Q246" t="s">
        <v>2122</v>
      </c>
      <c r="R246" t="s">
        <v>14</v>
      </c>
      <c r="S246" t="s">
        <v>2200</v>
      </c>
      <c r="T246" t="s">
        <v>2201</v>
      </c>
      <c r="U246" t="s">
        <v>2052</v>
      </c>
      <c r="V246" t="s">
        <v>14</v>
      </c>
      <c r="W246" t="b">
        <v>1</v>
      </c>
      <c r="X246" t="s">
        <v>1653</v>
      </c>
      <c r="Y246" t="b">
        <v>0</v>
      </c>
      <c r="Z246" t="s">
        <v>2053</v>
      </c>
    </row>
    <row r="247" spans="1:26" x14ac:dyDescent="0.35">
      <c r="A247" t="s">
        <v>1654</v>
      </c>
      <c r="B247" t="s">
        <v>2737</v>
      </c>
      <c r="C247" t="s">
        <v>2735</v>
      </c>
      <c r="D247" t="s">
        <v>1963</v>
      </c>
      <c r="E247" t="s">
        <v>2020</v>
      </c>
      <c r="F247" t="s">
        <v>2021</v>
      </c>
      <c r="G247" t="s">
        <v>2022</v>
      </c>
      <c r="H247" t="s">
        <v>2023</v>
      </c>
      <c r="I247" t="s">
        <v>2738</v>
      </c>
      <c r="J247" t="s">
        <v>1963</v>
      </c>
      <c r="K247" t="s">
        <v>2739</v>
      </c>
      <c r="L247" t="s">
        <v>2046</v>
      </c>
      <c r="M247" t="s">
        <v>14</v>
      </c>
      <c r="N247" t="s">
        <v>14</v>
      </c>
      <c r="O247" t="s">
        <v>2740</v>
      </c>
      <c r="P247" t="s">
        <v>2741</v>
      </c>
      <c r="Q247" t="s">
        <v>14</v>
      </c>
      <c r="R247" t="s">
        <v>14</v>
      </c>
      <c r="S247" t="s">
        <v>14</v>
      </c>
      <c r="T247" t="s">
        <v>14</v>
      </c>
      <c r="U247" t="s">
        <v>2052</v>
      </c>
      <c r="V247" t="s">
        <v>14</v>
      </c>
      <c r="W247" t="b">
        <v>1</v>
      </c>
      <c r="X247" t="s">
        <v>1655</v>
      </c>
      <c r="Y247" t="b">
        <v>0</v>
      </c>
      <c r="Z247" t="s">
        <v>2053</v>
      </c>
    </row>
    <row r="248" spans="1:26" x14ac:dyDescent="0.35">
      <c r="A248" t="s">
        <v>1654</v>
      </c>
      <c r="B248" t="s">
        <v>2737</v>
      </c>
      <c r="C248" t="s">
        <v>2735</v>
      </c>
      <c r="D248" t="s">
        <v>1963</v>
      </c>
      <c r="E248" t="s">
        <v>2020</v>
      </c>
      <c r="F248" t="s">
        <v>2021</v>
      </c>
      <c r="G248" t="s">
        <v>2022</v>
      </c>
      <c r="H248" t="s">
        <v>2023</v>
      </c>
      <c r="I248" t="s">
        <v>2742</v>
      </c>
      <c r="J248" t="s">
        <v>1963</v>
      </c>
      <c r="K248" t="s">
        <v>2739</v>
      </c>
      <c r="L248" t="s">
        <v>2046</v>
      </c>
      <c r="M248" t="s">
        <v>14</v>
      </c>
      <c r="N248" t="s">
        <v>14</v>
      </c>
      <c r="O248" t="s">
        <v>2743</v>
      </c>
      <c r="P248" t="s">
        <v>2744</v>
      </c>
      <c r="Q248" t="s">
        <v>14</v>
      </c>
      <c r="R248" t="s">
        <v>14</v>
      </c>
      <c r="S248" t="s">
        <v>14</v>
      </c>
      <c r="T248" t="s">
        <v>14</v>
      </c>
      <c r="U248" t="s">
        <v>2052</v>
      </c>
      <c r="V248" t="s">
        <v>14</v>
      </c>
      <c r="W248" t="b">
        <v>1</v>
      </c>
      <c r="X248" t="s">
        <v>1655</v>
      </c>
      <c r="Y248" t="b">
        <v>0</v>
      </c>
      <c r="Z248" t="s">
        <v>2053</v>
      </c>
    </row>
    <row r="249" spans="1:26" x14ac:dyDescent="0.35">
      <c r="A249" t="s">
        <v>1654</v>
      </c>
      <c r="B249" t="s">
        <v>2737</v>
      </c>
      <c r="C249" t="s">
        <v>2735</v>
      </c>
      <c r="D249" t="s">
        <v>1963</v>
      </c>
      <c r="E249" t="s">
        <v>2020</v>
      </c>
      <c r="F249" t="s">
        <v>2021</v>
      </c>
      <c r="G249" t="s">
        <v>2022</v>
      </c>
      <c r="H249" t="s">
        <v>2023</v>
      </c>
      <c r="I249" t="s">
        <v>2662</v>
      </c>
      <c r="J249" t="s">
        <v>1963</v>
      </c>
      <c r="K249" t="s">
        <v>2739</v>
      </c>
      <c r="L249" t="s">
        <v>2046</v>
      </c>
      <c r="M249" t="s">
        <v>2222</v>
      </c>
      <c r="N249" t="s">
        <v>2223</v>
      </c>
      <c r="O249" t="s">
        <v>2222</v>
      </c>
      <c r="P249" t="s">
        <v>2223</v>
      </c>
      <c r="Q249" t="s">
        <v>14</v>
      </c>
      <c r="R249" t="s">
        <v>14</v>
      </c>
      <c r="S249" t="s">
        <v>14</v>
      </c>
      <c r="T249" t="s">
        <v>14</v>
      </c>
      <c r="U249" t="s">
        <v>2052</v>
      </c>
      <c r="V249" t="s">
        <v>14</v>
      </c>
      <c r="W249" t="b">
        <v>1</v>
      </c>
      <c r="X249" t="s">
        <v>1655</v>
      </c>
      <c r="Y249" t="b">
        <v>0</v>
      </c>
      <c r="Z249" t="s">
        <v>2053</v>
      </c>
    </row>
    <row r="250" spans="1:26" x14ac:dyDescent="0.35">
      <c r="A250" t="s">
        <v>1654</v>
      </c>
      <c r="B250" t="s">
        <v>2737</v>
      </c>
      <c r="C250" t="s">
        <v>2735</v>
      </c>
      <c r="D250" t="s">
        <v>1963</v>
      </c>
      <c r="E250" t="s">
        <v>2020</v>
      </c>
      <c r="F250" t="s">
        <v>2021</v>
      </c>
      <c r="G250" t="s">
        <v>2022</v>
      </c>
      <c r="H250" t="s">
        <v>2023</v>
      </c>
      <c r="I250" t="s">
        <v>2664</v>
      </c>
      <c r="J250" t="s">
        <v>1963</v>
      </c>
      <c r="K250" t="s">
        <v>2739</v>
      </c>
      <c r="L250" t="s">
        <v>2046</v>
      </c>
      <c r="M250" t="s">
        <v>2222</v>
      </c>
      <c r="N250" t="s">
        <v>2223</v>
      </c>
      <c r="O250" t="s">
        <v>2222</v>
      </c>
      <c r="P250" t="s">
        <v>2223</v>
      </c>
      <c r="Q250" t="s">
        <v>14</v>
      </c>
      <c r="R250" t="s">
        <v>14</v>
      </c>
      <c r="S250" t="s">
        <v>14</v>
      </c>
      <c r="T250" t="s">
        <v>14</v>
      </c>
      <c r="U250" t="s">
        <v>2052</v>
      </c>
      <c r="V250" t="s">
        <v>14</v>
      </c>
      <c r="W250" t="b">
        <v>1</v>
      </c>
      <c r="X250" t="s">
        <v>1655</v>
      </c>
      <c r="Y250" t="b">
        <v>0</v>
      </c>
      <c r="Z250" t="s">
        <v>2053</v>
      </c>
    </row>
    <row r="251" spans="1:26" x14ac:dyDescent="0.35">
      <c r="A251" t="s">
        <v>1654</v>
      </c>
      <c r="B251" t="s">
        <v>2737</v>
      </c>
      <c r="C251" t="s">
        <v>2735</v>
      </c>
      <c r="D251" t="s">
        <v>1963</v>
      </c>
      <c r="E251" t="s">
        <v>2020</v>
      </c>
      <c r="F251" t="s">
        <v>2021</v>
      </c>
      <c r="G251" t="s">
        <v>2022</v>
      </c>
      <c r="H251" t="s">
        <v>2023</v>
      </c>
      <c r="I251" t="s">
        <v>2225</v>
      </c>
      <c r="J251" t="s">
        <v>1963</v>
      </c>
      <c r="K251" t="s">
        <v>2739</v>
      </c>
      <c r="L251" t="s">
        <v>2046</v>
      </c>
      <c r="M251" t="s">
        <v>2226</v>
      </c>
      <c r="N251" t="s">
        <v>2227</v>
      </c>
      <c r="O251" t="s">
        <v>2205</v>
      </c>
      <c r="P251" t="s">
        <v>2206</v>
      </c>
      <c r="Q251" t="s">
        <v>14</v>
      </c>
      <c r="R251" t="s">
        <v>14</v>
      </c>
      <c r="S251" t="s">
        <v>14</v>
      </c>
      <c r="T251" t="s">
        <v>14</v>
      </c>
      <c r="U251" t="s">
        <v>2052</v>
      </c>
      <c r="V251" t="s">
        <v>14</v>
      </c>
      <c r="W251" t="b">
        <v>1</v>
      </c>
      <c r="X251" t="s">
        <v>1655</v>
      </c>
      <c r="Y251" t="b">
        <v>0</v>
      </c>
      <c r="Z251" t="s">
        <v>2053</v>
      </c>
    </row>
    <row r="252" spans="1:26" x14ac:dyDescent="0.35">
      <c r="A252" t="s">
        <v>1654</v>
      </c>
      <c r="B252" t="s">
        <v>2737</v>
      </c>
      <c r="C252" t="s">
        <v>2735</v>
      </c>
      <c r="D252" t="s">
        <v>1963</v>
      </c>
      <c r="E252" t="s">
        <v>2020</v>
      </c>
      <c r="F252" t="s">
        <v>2021</v>
      </c>
      <c r="G252" t="s">
        <v>2022</v>
      </c>
      <c r="H252" t="s">
        <v>2023</v>
      </c>
      <c r="I252" t="s">
        <v>2745</v>
      </c>
      <c r="J252" t="s">
        <v>1963</v>
      </c>
      <c r="K252" t="s">
        <v>2739</v>
      </c>
      <c r="L252" t="s">
        <v>2046</v>
      </c>
      <c r="M252" t="s">
        <v>2743</v>
      </c>
      <c r="N252" t="s">
        <v>2744</v>
      </c>
      <c r="O252" t="s">
        <v>2743</v>
      </c>
      <c r="P252" t="s">
        <v>2744</v>
      </c>
      <c r="Q252" t="s">
        <v>14</v>
      </c>
      <c r="R252" t="s">
        <v>14</v>
      </c>
      <c r="S252" t="s">
        <v>14</v>
      </c>
      <c r="T252" t="s">
        <v>14</v>
      </c>
      <c r="U252" t="s">
        <v>2052</v>
      </c>
      <c r="V252" t="s">
        <v>14</v>
      </c>
      <c r="W252" t="b">
        <v>1</v>
      </c>
      <c r="X252" t="s">
        <v>1655</v>
      </c>
      <c r="Y252" t="b">
        <v>0</v>
      </c>
      <c r="Z252" t="s">
        <v>2053</v>
      </c>
    </row>
    <row r="253" spans="1:26" x14ac:dyDescent="0.35">
      <c r="A253" t="s">
        <v>1654</v>
      </c>
      <c r="B253" t="s">
        <v>2737</v>
      </c>
      <c r="C253" t="s">
        <v>2735</v>
      </c>
      <c r="D253" t="s">
        <v>1963</v>
      </c>
      <c r="E253" t="s">
        <v>2020</v>
      </c>
      <c r="F253" t="s">
        <v>2021</v>
      </c>
      <c r="G253" t="s">
        <v>2022</v>
      </c>
      <c r="H253" t="s">
        <v>2023</v>
      </c>
      <c r="I253" t="s">
        <v>2746</v>
      </c>
      <c r="J253" t="s">
        <v>1963</v>
      </c>
      <c r="K253" t="s">
        <v>2739</v>
      </c>
      <c r="L253" t="s">
        <v>2046</v>
      </c>
      <c r="M253" t="s">
        <v>14</v>
      </c>
      <c r="N253" t="s">
        <v>14</v>
      </c>
      <c r="O253" t="s">
        <v>2743</v>
      </c>
      <c r="P253" t="s">
        <v>2744</v>
      </c>
      <c r="Q253" t="s">
        <v>14</v>
      </c>
      <c r="R253" t="s">
        <v>14</v>
      </c>
      <c r="S253" t="s">
        <v>14</v>
      </c>
      <c r="T253" t="s">
        <v>14</v>
      </c>
      <c r="U253" t="s">
        <v>2052</v>
      </c>
      <c r="V253" t="s">
        <v>14</v>
      </c>
      <c r="W253" t="b">
        <v>1</v>
      </c>
      <c r="X253" t="s">
        <v>1655</v>
      </c>
      <c r="Y253" t="b">
        <v>0</v>
      </c>
      <c r="Z253" t="s">
        <v>2053</v>
      </c>
    </row>
    <row r="254" spans="1:26" x14ac:dyDescent="0.35">
      <c r="A254" t="s">
        <v>1654</v>
      </c>
      <c r="B254" t="s">
        <v>2737</v>
      </c>
      <c r="C254" t="s">
        <v>2735</v>
      </c>
      <c r="D254" t="s">
        <v>1963</v>
      </c>
      <c r="E254" t="s">
        <v>2020</v>
      </c>
      <c r="F254" t="s">
        <v>2021</v>
      </c>
      <c r="G254" t="s">
        <v>2022</v>
      </c>
      <c r="H254" t="s">
        <v>2023</v>
      </c>
      <c r="I254" t="s">
        <v>2213</v>
      </c>
      <c r="J254" t="s">
        <v>1963</v>
      </c>
      <c r="K254" t="s">
        <v>2739</v>
      </c>
      <c r="L254" t="s">
        <v>2046</v>
      </c>
      <c r="M254" t="s">
        <v>2214</v>
      </c>
      <c r="N254" t="s">
        <v>2215</v>
      </c>
      <c r="O254" t="s">
        <v>2214</v>
      </c>
      <c r="P254" t="s">
        <v>2215</v>
      </c>
      <c r="Q254" t="s">
        <v>14</v>
      </c>
      <c r="R254" t="s">
        <v>14</v>
      </c>
      <c r="S254" t="s">
        <v>14</v>
      </c>
      <c r="T254" t="s">
        <v>14</v>
      </c>
      <c r="U254" t="s">
        <v>2052</v>
      </c>
      <c r="V254" t="s">
        <v>14</v>
      </c>
      <c r="W254" t="b">
        <v>1</v>
      </c>
      <c r="X254" t="s">
        <v>1655</v>
      </c>
      <c r="Y254" t="b">
        <v>0</v>
      </c>
      <c r="Z254" t="s">
        <v>2053</v>
      </c>
    </row>
    <row r="255" spans="1:26" x14ac:dyDescent="0.35">
      <c r="A255" t="s">
        <v>1654</v>
      </c>
      <c r="B255" t="s">
        <v>2737</v>
      </c>
      <c r="C255" t="s">
        <v>2735</v>
      </c>
      <c r="D255" t="s">
        <v>1963</v>
      </c>
      <c r="E255" t="s">
        <v>2020</v>
      </c>
      <c r="F255" t="s">
        <v>2021</v>
      </c>
      <c r="G255" t="s">
        <v>2022</v>
      </c>
      <c r="H255" t="s">
        <v>2023</v>
      </c>
      <c r="I255" t="s">
        <v>2747</v>
      </c>
      <c r="J255" t="s">
        <v>1963</v>
      </c>
      <c r="K255" t="s">
        <v>2739</v>
      </c>
      <c r="L255" t="s">
        <v>2046</v>
      </c>
      <c r="M255" t="s">
        <v>14</v>
      </c>
      <c r="N255" t="s">
        <v>14</v>
      </c>
      <c r="O255" t="s">
        <v>2743</v>
      </c>
      <c r="P255" t="s">
        <v>2744</v>
      </c>
      <c r="Q255" t="s">
        <v>14</v>
      </c>
      <c r="R255" t="s">
        <v>14</v>
      </c>
      <c r="S255" t="s">
        <v>14</v>
      </c>
      <c r="T255" t="s">
        <v>14</v>
      </c>
      <c r="U255" t="s">
        <v>2052</v>
      </c>
      <c r="V255" t="s">
        <v>14</v>
      </c>
      <c r="W255" t="b">
        <v>1</v>
      </c>
      <c r="X255" t="s">
        <v>1655</v>
      </c>
      <c r="Y255" t="b">
        <v>0</v>
      </c>
      <c r="Z255" t="s">
        <v>2053</v>
      </c>
    </row>
    <row r="256" spans="1:26" x14ac:dyDescent="0.35">
      <c r="A256" t="s">
        <v>1654</v>
      </c>
      <c r="B256" t="s">
        <v>2737</v>
      </c>
      <c r="C256" t="s">
        <v>2735</v>
      </c>
      <c r="D256" t="s">
        <v>1963</v>
      </c>
      <c r="E256" t="s">
        <v>2020</v>
      </c>
      <c r="F256" t="s">
        <v>2021</v>
      </c>
      <c r="G256" t="s">
        <v>2022</v>
      </c>
      <c r="H256" t="s">
        <v>2023</v>
      </c>
      <c r="I256" t="s">
        <v>2748</v>
      </c>
      <c r="J256" t="s">
        <v>1963</v>
      </c>
      <c r="K256" t="s">
        <v>2739</v>
      </c>
      <c r="L256" t="s">
        <v>2046</v>
      </c>
      <c r="M256" t="s">
        <v>14</v>
      </c>
      <c r="N256" t="s">
        <v>14</v>
      </c>
      <c r="O256" t="s">
        <v>2743</v>
      </c>
      <c r="P256" t="s">
        <v>2744</v>
      </c>
      <c r="Q256" t="s">
        <v>14</v>
      </c>
      <c r="R256" t="s">
        <v>14</v>
      </c>
      <c r="S256" t="s">
        <v>14</v>
      </c>
      <c r="T256" t="s">
        <v>14</v>
      </c>
      <c r="U256" t="s">
        <v>2052</v>
      </c>
      <c r="V256" t="s">
        <v>14</v>
      </c>
      <c r="W256" t="b">
        <v>1</v>
      </c>
      <c r="X256" t="s">
        <v>1655</v>
      </c>
      <c r="Y256" t="b">
        <v>0</v>
      </c>
      <c r="Z256" t="s">
        <v>2053</v>
      </c>
    </row>
    <row r="257" spans="1:26" x14ac:dyDescent="0.35">
      <c r="A257" t="s">
        <v>1654</v>
      </c>
      <c r="B257" t="s">
        <v>2737</v>
      </c>
      <c r="C257" t="s">
        <v>2735</v>
      </c>
      <c r="D257" t="s">
        <v>1963</v>
      </c>
      <c r="E257" t="s">
        <v>2020</v>
      </c>
      <c r="F257" t="s">
        <v>2021</v>
      </c>
      <c r="G257" t="s">
        <v>2022</v>
      </c>
      <c r="H257" t="s">
        <v>2023</v>
      </c>
      <c r="I257" t="s">
        <v>2749</v>
      </c>
      <c r="J257" t="s">
        <v>1963</v>
      </c>
      <c r="K257" t="s">
        <v>2739</v>
      </c>
      <c r="L257" t="s">
        <v>2046</v>
      </c>
      <c r="M257" t="s">
        <v>14</v>
      </c>
      <c r="N257" t="s">
        <v>14</v>
      </c>
      <c r="O257" t="s">
        <v>2743</v>
      </c>
      <c r="P257" t="s">
        <v>2744</v>
      </c>
      <c r="Q257" t="s">
        <v>14</v>
      </c>
      <c r="R257" t="s">
        <v>14</v>
      </c>
      <c r="S257" t="s">
        <v>14</v>
      </c>
      <c r="T257" t="s">
        <v>14</v>
      </c>
      <c r="U257" t="s">
        <v>2052</v>
      </c>
      <c r="V257" t="s">
        <v>14</v>
      </c>
      <c r="W257" t="b">
        <v>1</v>
      </c>
      <c r="X257" t="s">
        <v>1655</v>
      </c>
      <c r="Y257" t="b">
        <v>0</v>
      </c>
      <c r="Z257" t="s">
        <v>2053</v>
      </c>
    </row>
    <row r="258" spans="1:26" x14ac:dyDescent="0.35">
      <c r="A258" t="s">
        <v>1654</v>
      </c>
      <c r="B258" t="s">
        <v>2737</v>
      </c>
      <c r="C258" t="s">
        <v>2735</v>
      </c>
      <c r="D258" t="s">
        <v>1963</v>
      </c>
      <c r="E258" t="s">
        <v>2020</v>
      </c>
      <c r="F258" t="s">
        <v>2021</v>
      </c>
      <c r="G258" t="s">
        <v>2022</v>
      </c>
      <c r="H258" t="s">
        <v>2023</v>
      </c>
      <c r="I258" t="s">
        <v>2750</v>
      </c>
      <c r="J258" t="s">
        <v>1963</v>
      </c>
      <c r="K258" t="s">
        <v>2739</v>
      </c>
      <c r="L258" t="s">
        <v>2046</v>
      </c>
      <c r="M258" t="s">
        <v>2751</v>
      </c>
      <c r="N258" t="s">
        <v>2752</v>
      </c>
      <c r="O258" t="s">
        <v>2743</v>
      </c>
      <c r="P258" t="s">
        <v>2744</v>
      </c>
      <c r="Q258" t="s">
        <v>14</v>
      </c>
      <c r="R258" t="s">
        <v>14</v>
      </c>
      <c r="S258" t="s">
        <v>14</v>
      </c>
      <c r="T258" t="s">
        <v>14</v>
      </c>
      <c r="U258" t="s">
        <v>2052</v>
      </c>
      <c r="V258" t="s">
        <v>14</v>
      </c>
      <c r="W258" t="b">
        <v>1</v>
      </c>
      <c r="X258" t="s">
        <v>1655</v>
      </c>
      <c r="Y258" t="b">
        <v>0</v>
      </c>
      <c r="Z258" t="s">
        <v>2053</v>
      </c>
    </row>
    <row r="259" spans="1:26" x14ac:dyDescent="0.35">
      <c r="A259" t="s">
        <v>1654</v>
      </c>
      <c r="B259" t="s">
        <v>2737</v>
      </c>
      <c r="C259" t="s">
        <v>2735</v>
      </c>
      <c r="D259" t="s">
        <v>1963</v>
      </c>
      <c r="E259" t="s">
        <v>2020</v>
      </c>
      <c r="F259" t="s">
        <v>2021</v>
      </c>
      <c r="G259" t="s">
        <v>2022</v>
      </c>
      <c r="H259" t="s">
        <v>2023</v>
      </c>
      <c r="I259" t="s">
        <v>2753</v>
      </c>
      <c r="J259" t="s">
        <v>1963</v>
      </c>
      <c r="K259" t="s">
        <v>2739</v>
      </c>
      <c r="L259" t="s">
        <v>2046</v>
      </c>
      <c r="M259" t="s">
        <v>14</v>
      </c>
      <c r="N259" t="s">
        <v>14</v>
      </c>
      <c r="O259" t="s">
        <v>2743</v>
      </c>
      <c r="P259" t="s">
        <v>2744</v>
      </c>
      <c r="Q259" t="s">
        <v>14</v>
      </c>
      <c r="R259" t="s">
        <v>14</v>
      </c>
      <c r="S259" t="s">
        <v>14</v>
      </c>
      <c r="T259" t="s">
        <v>14</v>
      </c>
      <c r="U259" t="s">
        <v>2052</v>
      </c>
      <c r="V259" t="s">
        <v>14</v>
      </c>
      <c r="W259" t="b">
        <v>1</v>
      </c>
      <c r="X259" t="s">
        <v>1655</v>
      </c>
      <c r="Y259" t="b">
        <v>0</v>
      </c>
      <c r="Z259" t="s">
        <v>2053</v>
      </c>
    </row>
    <row r="260" spans="1:26" x14ac:dyDescent="0.35">
      <c r="A260" t="s">
        <v>1654</v>
      </c>
      <c r="B260" t="s">
        <v>2737</v>
      </c>
      <c r="C260" t="s">
        <v>2735</v>
      </c>
      <c r="D260" t="s">
        <v>1963</v>
      </c>
      <c r="E260" t="s">
        <v>2020</v>
      </c>
      <c r="F260" t="s">
        <v>2021</v>
      </c>
      <c r="G260" t="s">
        <v>2022</v>
      </c>
      <c r="H260" t="s">
        <v>2023</v>
      </c>
      <c r="I260" t="s">
        <v>2754</v>
      </c>
      <c r="J260" t="s">
        <v>1963</v>
      </c>
      <c r="K260" t="s">
        <v>2739</v>
      </c>
      <c r="L260" t="s">
        <v>2046</v>
      </c>
      <c r="M260" t="s">
        <v>2743</v>
      </c>
      <c r="N260" t="s">
        <v>2744</v>
      </c>
      <c r="O260" t="s">
        <v>2743</v>
      </c>
      <c r="P260" t="s">
        <v>2744</v>
      </c>
      <c r="Q260" t="s">
        <v>14</v>
      </c>
      <c r="R260" t="s">
        <v>14</v>
      </c>
      <c r="S260" t="s">
        <v>14</v>
      </c>
      <c r="T260" t="s">
        <v>14</v>
      </c>
      <c r="U260" t="s">
        <v>2052</v>
      </c>
      <c r="V260" t="s">
        <v>14</v>
      </c>
      <c r="W260" t="b">
        <v>1</v>
      </c>
      <c r="X260" t="s">
        <v>1655</v>
      </c>
      <c r="Y260" t="b">
        <v>0</v>
      </c>
      <c r="Z260" t="s">
        <v>2053</v>
      </c>
    </row>
    <row r="261" spans="1:26" x14ac:dyDescent="0.35">
      <c r="A261" t="s">
        <v>1654</v>
      </c>
      <c r="B261" t="s">
        <v>2737</v>
      </c>
      <c r="C261" t="s">
        <v>2735</v>
      </c>
      <c r="D261" t="s">
        <v>1963</v>
      </c>
      <c r="E261" t="s">
        <v>2020</v>
      </c>
      <c r="F261" t="s">
        <v>2021</v>
      </c>
      <c r="G261" t="s">
        <v>2022</v>
      </c>
      <c r="H261" t="s">
        <v>2023</v>
      </c>
      <c r="I261" t="s">
        <v>2238</v>
      </c>
      <c r="J261" t="s">
        <v>1963</v>
      </c>
      <c r="K261" t="s">
        <v>2739</v>
      </c>
      <c r="L261" t="s">
        <v>2046</v>
      </c>
      <c r="M261" t="s">
        <v>2205</v>
      </c>
      <c r="N261" t="s">
        <v>2206</v>
      </c>
      <c r="O261" t="s">
        <v>2205</v>
      </c>
      <c r="P261" t="s">
        <v>2206</v>
      </c>
      <c r="Q261" t="s">
        <v>14</v>
      </c>
      <c r="R261" t="s">
        <v>14</v>
      </c>
      <c r="S261" t="s">
        <v>14</v>
      </c>
      <c r="T261" t="s">
        <v>14</v>
      </c>
      <c r="U261" t="s">
        <v>2052</v>
      </c>
      <c r="V261" t="s">
        <v>14</v>
      </c>
      <c r="W261" t="b">
        <v>1</v>
      </c>
      <c r="X261" t="s">
        <v>1655</v>
      </c>
      <c r="Y261" t="b">
        <v>0</v>
      </c>
      <c r="Z261" t="s">
        <v>2053</v>
      </c>
    </row>
    <row r="262" spans="1:26" x14ac:dyDescent="0.35">
      <c r="A262" t="s">
        <v>1654</v>
      </c>
      <c r="B262" t="s">
        <v>2737</v>
      </c>
      <c r="C262" t="s">
        <v>2735</v>
      </c>
      <c r="D262" t="s">
        <v>1963</v>
      </c>
      <c r="E262" t="s">
        <v>2020</v>
      </c>
      <c r="F262" t="s">
        <v>2021</v>
      </c>
      <c r="G262" t="s">
        <v>2022</v>
      </c>
      <c r="H262" t="s">
        <v>2023</v>
      </c>
      <c r="I262" t="s">
        <v>2755</v>
      </c>
      <c r="J262" t="s">
        <v>1963</v>
      </c>
      <c r="K262" t="s">
        <v>2739</v>
      </c>
      <c r="L262" t="s">
        <v>2046</v>
      </c>
      <c r="M262" t="s">
        <v>14</v>
      </c>
      <c r="N262" t="s">
        <v>14</v>
      </c>
      <c r="O262" t="s">
        <v>2743</v>
      </c>
      <c r="P262" t="s">
        <v>2744</v>
      </c>
      <c r="Q262" t="s">
        <v>14</v>
      </c>
      <c r="R262" t="s">
        <v>14</v>
      </c>
      <c r="S262" t="s">
        <v>14</v>
      </c>
      <c r="T262" t="s">
        <v>14</v>
      </c>
      <c r="U262" t="s">
        <v>2052</v>
      </c>
      <c r="V262" t="s">
        <v>14</v>
      </c>
      <c r="W262" t="b">
        <v>1</v>
      </c>
      <c r="X262" t="s">
        <v>1655</v>
      </c>
      <c r="Y262" t="b">
        <v>0</v>
      </c>
      <c r="Z262" t="s">
        <v>2053</v>
      </c>
    </row>
    <row r="263" spans="1:26" x14ac:dyDescent="0.35">
      <c r="A263" t="s">
        <v>1654</v>
      </c>
      <c r="B263" t="s">
        <v>2737</v>
      </c>
      <c r="C263" t="s">
        <v>2735</v>
      </c>
      <c r="D263" t="s">
        <v>1963</v>
      </c>
      <c r="E263" t="s">
        <v>2020</v>
      </c>
      <c r="F263" t="s">
        <v>2021</v>
      </c>
      <c r="G263" t="s">
        <v>2022</v>
      </c>
      <c r="H263" t="s">
        <v>2023</v>
      </c>
      <c r="I263" t="s">
        <v>2756</v>
      </c>
      <c r="J263" t="s">
        <v>1963</v>
      </c>
      <c r="K263" t="s">
        <v>2739</v>
      </c>
      <c r="L263" t="s">
        <v>2046</v>
      </c>
      <c r="M263" t="s">
        <v>14</v>
      </c>
      <c r="N263" t="s">
        <v>14</v>
      </c>
      <c r="O263" t="s">
        <v>2743</v>
      </c>
      <c r="P263" t="s">
        <v>2744</v>
      </c>
      <c r="Q263" t="s">
        <v>14</v>
      </c>
      <c r="R263" t="s">
        <v>14</v>
      </c>
      <c r="S263" t="s">
        <v>14</v>
      </c>
      <c r="T263" t="s">
        <v>14</v>
      </c>
      <c r="U263" t="s">
        <v>2052</v>
      </c>
      <c r="V263" t="s">
        <v>14</v>
      </c>
      <c r="W263" t="b">
        <v>1</v>
      </c>
      <c r="X263" t="s">
        <v>1655</v>
      </c>
      <c r="Y263" t="b">
        <v>0</v>
      </c>
      <c r="Z263" t="s">
        <v>2053</v>
      </c>
    </row>
    <row r="264" spans="1:26" x14ac:dyDescent="0.35">
      <c r="A264" t="s">
        <v>1654</v>
      </c>
      <c r="B264" t="s">
        <v>2737</v>
      </c>
      <c r="C264" t="s">
        <v>2735</v>
      </c>
      <c r="D264" t="s">
        <v>1963</v>
      </c>
      <c r="E264" t="s">
        <v>2020</v>
      </c>
      <c r="F264" t="s">
        <v>2021</v>
      </c>
      <c r="G264" t="s">
        <v>2022</v>
      </c>
      <c r="H264" t="s">
        <v>2023</v>
      </c>
      <c r="I264" t="s">
        <v>2757</v>
      </c>
      <c r="J264" t="s">
        <v>1963</v>
      </c>
      <c r="K264" t="s">
        <v>2739</v>
      </c>
      <c r="L264" t="s">
        <v>2046</v>
      </c>
      <c r="M264" t="s">
        <v>2377</v>
      </c>
      <c r="N264" t="s">
        <v>2378</v>
      </c>
      <c r="O264" t="s">
        <v>2743</v>
      </c>
      <c r="P264" t="s">
        <v>2744</v>
      </c>
      <c r="Q264" t="s">
        <v>14</v>
      </c>
      <c r="R264" t="s">
        <v>14</v>
      </c>
      <c r="S264" t="s">
        <v>14</v>
      </c>
      <c r="T264" t="s">
        <v>14</v>
      </c>
      <c r="U264" t="s">
        <v>2052</v>
      </c>
      <c r="V264" t="s">
        <v>14</v>
      </c>
      <c r="W264" t="b">
        <v>1</v>
      </c>
      <c r="X264" t="s">
        <v>1655</v>
      </c>
      <c r="Y264" t="b">
        <v>0</v>
      </c>
      <c r="Z264" t="s">
        <v>2053</v>
      </c>
    </row>
    <row r="265" spans="1:26" x14ac:dyDescent="0.35">
      <c r="A265" t="s">
        <v>1654</v>
      </c>
      <c r="B265" t="s">
        <v>2737</v>
      </c>
      <c r="C265" t="s">
        <v>2735</v>
      </c>
      <c r="D265" t="s">
        <v>1963</v>
      </c>
      <c r="E265" t="s">
        <v>2020</v>
      </c>
      <c r="F265" t="s">
        <v>2021</v>
      </c>
      <c r="G265" t="s">
        <v>2022</v>
      </c>
      <c r="H265" t="s">
        <v>2023</v>
      </c>
      <c r="I265" t="s">
        <v>2758</v>
      </c>
      <c r="J265" t="s">
        <v>1963</v>
      </c>
      <c r="K265" t="s">
        <v>2739</v>
      </c>
      <c r="L265" t="s">
        <v>2046</v>
      </c>
      <c r="M265" t="s">
        <v>14</v>
      </c>
      <c r="N265" t="s">
        <v>14</v>
      </c>
      <c r="O265" t="s">
        <v>2743</v>
      </c>
      <c r="P265" t="s">
        <v>2744</v>
      </c>
      <c r="Q265" t="s">
        <v>14</v>
      </c>
      <c r="R265" t="s">
        <v>14</v>
      </c>
      <c r="S265" t="s">
        <v>14</v>
      </c>
      <c r="T265" t="s">
        <v>14</v>
      </c>
      <c r="U265" t="s">
        <v>2052</v>
      </c>
      <c r="V265" t="s">
        <v>14</v>
      </c>
      <c r="W265" t="b">
        <v>1</v>
      </c>
      <c r="X265" t="s">
        <v>1655</v>
      </c>
      <c r="Y265" t="b">
        <v>0</v>
      </c>
      <c r="Z265" t="s">
        <v>2053</v>
      </c>
    </row>
    <row r="266" spans="1:26" x14ac:dyDescent="0.35">
      <c r="A266" t="s">
        <v>1654</v>
      </c>
      <c r="B266" t="s">
        <v>2737</v>
      </c>
      <c r="C266" t="s">
        <v>2735</v>
      </c>
      <c r="D266" t="s">
        <v>1963</v>
      </c>
      <c r="E266" t="s">
        <v>2020</v>
      </c>
      <c r="F266" t="s">
        <v>2021</v>
      </c>
      <c r="G266" t="s">
        <v>2022</v>
      </c>
      <c r="H266" t="s">
        <v>2023</v>
      </c>
      <c r="I266" t="s">
        <v>2759</v>
      </c>
      <c r="J266" t="s">
        <v>1963</v>
      </c>
      <c r="K266" t="s">
        <v>2739</v>
      </c>
      <c r="L266" t="s">
        <v>2046</v>
      </c>
      <c r="M266" t="s">
        <v>14</v>
      </c>
      <c r="N266" t="s">
        <v>14</v>
      </c>
      <c r="O266" t="s">
        <v>2743</v>
      </c>
      <c r="P266" t="s">
        <v>2744</v>
      </c>
      <c r="Q266" t="s">
        <v>14</v>
      </c>
      <c r="R266" t="s">
        <v>14</v>
      </c>
      <c r="S266" t="s">
        <v>14</v>
      </c>
      <c r="T266" t="s">
        <v>14</v>
      </c>
      <c r="U266" t="s">
        <v>2052</v>
      </c>
      <c r="V266" t="s">
        <v>14</v>
      </c>
      <c r="W266" t="b">
        <v>1</v>
      </c>
      <c r="X266" t="s">
        <v>1655</v>
      </c>
      <c r="Y266" t="b">
        <v>0</v>
      </c>
      <c r="Z266" t="s">
        <v>2053</v>
      </c>
    </row>
    <row r="267" spans="1:26" x14ac:dyDescent="0.35">
      <c r="A267" t="s">
        <v>1656</v>
      </c>
      <c r="B267" t="s">
        <v>2760</v>
      </c>
      <c r="C267" t="s">
        <v>2735</v>
      </c>
      <c r="D267" t="s">
        <v>1963</v>
      </c>
      <c r="E267" t="s">
        <v>2020</v>
      </c>
      <c r="F267" t="s">
        <v>2021</v>
      </c>
      <c r="G267" t="s">
        <v>2022</v>
      </c>
      <c r="H267" t="s">
        <v>2023</v>
      </c>
      <c r="I267" t="s">
        <v>2241</v>
      </c>
      <c r="J267" t="s">
        <v>1963</v>
      </c>
      <c r="K267" t="s">
        <v>2761</v>
      </c>
      <c r="L267" t="s">
        <v>2046</v>
      </c>
      <c r="M267" t="s">
        <v>2243</v>
      </c>
      <c r="N267" t="s">
        <v>2244</v>
      </c>
      <c r="O267" t="s">
        <v>2214</v>
      </c>
      <c r="P267" t="s">
        <v>2215</v>
      </c>
      <c r="Q267" t="s">
        <v>2245</v>
      </c>
      <c r="R267" t="s">
        <v>14</v>
      </c>
      <c r="S267" t="s">
        <v>2205</v>
      </c>
      <c r="T267" t="s">
        <v>2206</v>
      </c>
      <c r="U267" t="s">
        <v>2052</v>
      </c>
      <c r="V267" t="s">
        <v>14</v>
      </c>
      <c r="W267" t="b">
        <v>1</v>
      </c>
      <c r="X267" t="s">
        <v>1657</v>
      </c>
      <c r="Y267" t="b">
        <v>0</v>
      </c>
      <c r="Z267" t="s">
        <v>2053</v>
      </c>
    </row>
    <row r="268" spans="1:26" x14ac:dyDescent="0.35">
      <c r="A268" t="s">
        <v>1658</v>
      </c>
      <c r="B268" t="s">
        <v>2762</v>
      </c>
      <c r="C268" t="s">
        <v>2735</v>
      </c>
      <c r="D268" t="s">
        <v>1963</v>
      </c>
      <c r="E268" t="s">
        <v>2020</v>
      </c>
      <c r="F268" t="s">
        <v>2021</v>
      </c>
      <c r="G268" t="s">
        <v>2022</v>
      </c>
      <c r="H268" t="s">
        <v>2023</v>
      </c>
      <c r="I268" t="s">
        <v>1756</v>
      </c>
      <c r="J268" t="s">
        <v>1963</v>
      </c>
      <c r="K268" t="s">
        <v>2763</v>
      </c>
      <c r="L268" t="s">
        <v>2046</v>
      </c>
      <c r="M268" t="s">
        <v>2250</v>
      </c>
      <c r="N268" t="s">
        <v>2251</v>
      </c>
      <c r="O268" t="s">
        <v>2047</v>
      </c>
      <c r="P268" t="s">
        <v>2048</v>
      </c>
      <c r="Q268" t="s">
        <v>2252</v>
      </c>
      <c r="R268" t="s">
        <v>14</v>
      </c>
      <c r="S268" t="s">
        <v>2253</v>
      </c>
      <c r="T268" t="s">
        <v>2254</v>
      </c>
      <c r="U268" t="s">
        <v>2052</v>
      </c>
      <c r="V268" t="s">
        <v>14</v>
      </c>
      <c r="W268" t="b">
        <v>1</v>
      </c>
      <c r="X268" t="s">
        <v>1659</v>
      </c>
      <c r="Y268" t="b">
        <v>0</v>
      </c>
      <c r="Z268" t="s">
        <v>2081</v>
      </c>
    </row>
    <row r="269" spans="1:26" x14ac:dyDescent="0.35">
      <c r="A269" t="s">
        <v>1660</v>
      </c>
      <c r="B269" t="s">
        <v>2764</v>
      </c>
      <c r="C269" t="s">
        <v>2735</v>
      </c>
      <c r="D269" t="s">
        <v>1963</v>
      </c>
      <c r="E269" t="s">
        <v>2020</v>
      </c>
      <c r="F269" t="s">
        <v>2021</v>
      </c>
      <c r="G269" t="s">
        <v>2022</v>
      </c>
      <c r="H269" t="s">
        <v>2023</v>
      </c>
      <c r="I269" t="s">
        <v>1756</v>
      </c>
      <c r="J269" t="s">
        <v>1963</v>
      </c>
      <c r="K269" t="s">
        <v>2765</v>
      </c>
      <c r="L269" t="s">
        <v>2046</v>
      </c>
      <c r="M269" t="s">
        <v>2250</v>
      </c>
      <c r="N269" t="s">
        <v>2251</v>
      </c>
      <c r="O269" t="s">
        <v>2047</v>
      </c>
      <c r="P269" t="s">
        <v>2048</v>
      </c>
      <c r="Q269" t="s">
        <v>2252</v>
      </c>
      <c r="R269" t="s">
        <v>14</v>
      </c>
      <c r="S269" t="s">
        <v>2253</v>
      </c>
      <c r="T269" t="s">
        <v>2254</v>
      </c>
      <c r="U269" t="s">
        <v>2052</v>
      </c>
      <c r="V269" t="s">
        <v>14</v>
      </c>
      <c r="W269" t="b">
        <v>1</v>
      </c>
      <c r="X269" t="s">
        <v>1661</v>
      </c>
      <c r="Y269" t="b">
        <v>0</v>
      </c>
      <c r="Z269" t="s">
        <v>2081</v>
      </c>
    </row>
    <row r="270" spans="1:26" x14ac:dyDescent="0.35">
      <c r="A270" t="s">
        <v>1662</v>
      </c>
      <c r="B270" t="s">
        <v>2766</v>
      </c>
      <c r="C270" t="s">
        <v>2735</v>
      </c>
      <c r="D270" t="s">
        <v>1963</v>
      </c>
      <c r="E270" t="s">
        <v>2020</v>
      </c>
      <c r="F270" t="s">
        <v>2055</v>
      </c>
      <c r="G270" t="s">
        <v>2056</v>
      </c>
      <c r="H270" t="s">
        <v>2023</v>
      </c>
      <c r="I270" t="s">
        <v>1426</v>
      </c>
      <c r="J270" t="s">
        <v>1963</v>
      </c>
      <c r="K270" t="s">
        <v>2767</v>
      </c>
      <c r="L270" t="s">
        <v>2046</v>
      </c>
      <c r="M270" t="s">
        <v>2058</v>
      </c>
      <c r="N270" t="s">
        <v>2059</v>
      </c>
      <c r="O270" t="s">
        <v>2060</v>
      </c>
      <c r="P270" t="s">
        <v>2061</v>
      </c>
      <c r="Q270" t="s">
        <v>2062</v>
      </c>
      <c r="R270" t="s">
        <v>14</v>
      </c>
      <c r="S270" t="s">
        <v>2063</v>
      </c>
      <c r="T270" t="s">
        <v>2064</v>
      </c>
      <c r="U270" t="s">
        <v>2052</v>
      </c>
      <c r="V270" t="s">
        <v>14</v>
      </c>
      <c r="W270" t="b">
        <v>1</v>
      </c>
      <c r="X270" t="s">
        <v>1663</v>
      </c>
      <c r="Y270" t="b">
        <v>0</v>
      </c>
      <c r="Z270" t="s">
        <v>2053</v>
      </c>
    </row>
    <row r="271" spans="1:26" x14ac:dyDescent="0.35">
      <c r="A271" t="s">
        <v>1662</v>
      </c>
      <c r="B271" t="s">
        <v>2766</v>
      </c>
      <c r="C271" t="s">
        <v>2735</v>
      </c>
      <c r="D271" t="s">
        <v>1963</v>
      </c>
      <c r="E271" t="s">
        <v>2020</v>
      </c>
      <c r="F271" t="s">
        <v>2055</v>
      </c>
      <c r="G271" t="s">
        <v>2056</v>
      </c>
      <c r="H271" t="s">
        <v>2023</v>
      </c>
      <c r="I271" t="s">
        <v>2768</v>
      </c>
      <c r="J271" t="s">
        <v>1963</v>
      </c>
      <c r="K271" t="s">
        <v>2767</v>
      </c>
      <c r="L271" t="s">
        <v>2046</v>
      </c>
      <c r="M271" t="s">
        <v>2047</v>
      </c>
      <c r="N271" t="s">
        <v>2048</v>
      </c>
      <c r="O271" t="s">
        <v>2047</v>
      </c>
      <c r="P271" t="s">
        <v>2048</v>
      </c>
      <c r="Q271" t="s">
        <v>14</v>
      </c>
      <c r="R271" t="s">
        <v>14</v>
      </c>
      <c r="S271" t="s">
        <v>14</v>
      </c>
      <c r="T271" t="s">
        <v>14</v>
      </c>
      <c r="U271" t="s">
        <v>2052</v>
      </c>
      <c r="V271" t="s">
        <v>14</v>
      </c>
      <c r="W271" t="b">
        <v>1</v>
      </c>
      <c r="X271" t="s">
        <v>1663</v>
      </c>
      <c r="Y271" t="b">
        <v>0</v>
      </c>
      <c r="Z271" t="s">
        <v>2053</v>
      </c>
    </row>
    <row r="272" spans="1:26" x14ac:dyDescent="0.35">
      <c r="A272" t="s">
        <v>1664</v>
      </c>
      <c r="B272" t="s">
        <v>2769</v>
      </c>
      <c r="C272" t="s">
        <v>2735</v>
      </c>
      <c r="D272" t="s">
        <v>1963</v>
      </c>
      <c r="E272" t="s">
        <v>2020</v>
      </c>
      <c r="F272" t="s">
        <v>2021</v>
      </c>
      <c r="G272" t="s">
        <v>2022</v>
      </c>
      <c r="H272" t="s">
        <v>2023</v>
      </c>
      <c r="I272" t="s">
        <v>1426</v>
      </c>
      <c r="J272" t="s">
        <v>1963</v>
      </c>
      <c r="K272" t="s">
        <v>2770</v>
      </c>
      <c r="L272" t="s">
        <v>2046</v>
      </c>
      <c r="M272" t="s">
        <v>2058</v>
      </c>
      <c r="N272" t="s">
        <v>2059</v>
      </c>
      <c r="O272" t="s">
        <v>2060</v>
      </c>
      <c r="P272" t="s">
        <v>2061</v>
      </c>
      <c r="Q272" t="s">
        <v>2062</v>
      </c>
      <c r="R272" t="s">
        <v>14</v>
      </c>
      <c r="S272" t="s">
        <v>2063</v>
      </c>
      <c r="T272" t="s">
        <v>2064</v>
      </c>
      <c r="U272" t="s">
        <v>2052</v>
      </c>
      <c r="V272" t="s">
        <v>14</v>
      </c>
      <c r="W272" t="b">
        <v>1</v>
      </c>
      <c r="X272" t="s">
        <v>1665</v>
      </c>
      <c r="Y272" t="b">
        <v>0</v>
      </c>
      <c r="Z272" t="s">
        <v>2053</v>
      </c>
    </row>
    <row r="273" spans="1:26" x14ac:dyDescent="0.35">
      <c r="A273" t="s">
        <v>1666</v>
      </c>
      <c r="B273" t="s">
        <v>2771</v>
      </c>
      <c r="C273" t="s">
        <v>2735</v>
      </c>
      <c r="D273" t="s">
        <v>1963</v>
      </c>
      <c r="E273" t="s">
        <v>2020</v>
      </c>
      <c r="F273" t="s">
        <v>2021</v>
      </c>
      <c r="G273" t="s">
        <v>2022</v>
      </c>
      <c r="H273" t="s">
        <v>2023</v>
      </c>
      <c r="I273" t="s">
        <v>1426</v>
      </c>
      <c r="J273" t="s">
        <v>1963</v>
      </c>
      <c r="K273" t="s">
        <v>2772</v>
      </c>
      <c r="L273" t="s">
        <v>2046</v>
      </c>
      <c r="M273" t="s">
        <v>2058</v>
      </c>
      <c r="N273" t="s">
        <v>2059</v>
      </c>
      <c r="O273" t="s">
        <v>2060</v>
      </c>
      <c r="P273" t="s">
        <v>2061</v>
      </c>
      <c r="Q273" t="s">
        <v>2062</v>
      </c>
      <c r="R273" t="s">
        <v>14</v>
      </c>
      <c r="S273" t="s">
        <v>2063</v>
      </c>
      <c r="T273" t="s">
        <v>2064</v>
      </c>
      <c r="U273" t="s">
        <v>2052</v>
      </c>
      <c r="V273" t="s">
        <v>14</v>
      </c>
      <c r="W273" t="b">
        <v>1</v>
      </c>
      <c r="X273" t="s">
        <v>1667</v>
      </c>
      <c r="Y273" t="b">
        <v>0</v>
      </c>
      <c r="Z273" t="s">
        <v>2053</v>
      </c>
    </row>
    <row r="274" spans="1:26" x14ac:dyDescent="0.35">
      <c r="A274" t="s">
        <v>1668</v>
      </c>
      <c r="B274" t="s">
        <v>2773</v>
      </c>
      <c r="C274" t="s">
        <v>2735</v>
      </c>
      <c r="D274" t="s">
        <v>1963</v>
      </c>
      <c r="E274" t="s">
        <v>2020</v>
      </c>
      <c r="F274" t="s">
        <v>2021</v>
      </c>
      <c r="G274" t="s">
        <v>2022</v>
      </c>
      <c r="H274" t="s">
        <v>2023</v>
      </c>
      <c r="I274" t="s">
        <v>1426</v>
      </c>
      <c r="J274" t="s">
        <v>1963</v>
      </c>
      <c r="K274" t="s">
        <v>2774</v>
      </c>
      <c r="L274" t="s">
        <v>2046</v>
      </c>
      <c r="M274" t="s">
        <v>2058</v>
      </c>
      <c r="N274" t="s">
        <v>2059</v>
      </c>
      <c r="O274" t="s">
        <v>2060</v>
      </c>
      <c r="P274" t="s">
        <v>2061</v>
      </c>
      <c r="Q274" t="s">
        <v>2062</v>
      </c>
      <c r="R274" t="s">
        <v>14</v>
      </c>
      <c r="S274" t="s">
        <v>2063</v>
      </c>
      <c r="T274" t="s">
        <v>2064</v>
      </c>
      <c r="U274" t="s">
        <v>2052</v>
      </c>
      <c r="V274" t="s">
        <v>14</v>
      </c>
      <c r="W274" t="b">
        <v>1</v>
      </c>
      <c r="X274" t="s">
        <v>1669</v>
      </c>
      <c r="Y274" t="b">
        <v>0</v>
      </c>
      <c r="Z274" t="s">
        <v>2053</v>
      </c>
    </row>
    <row r="275" spans="1:26" x14ac:dyDescent="0.35">
      <c r="A275" t="s">
        <v>1670</v>
      </c>
      <c r="B275" t="s">
        <v>2775</v>
      </c>
      <c r="C275" t="s">
        <v>2735</v>
      </c>
      <c r="D275" t="s">
        <v>1963</v>
      </c>
      <c r="E275" t="s">
        <v>2020</v>
      </c>
      <c r="F275" t="s">
        <v>2055</v>
      </c>
      <c r="G275" t="s">
        <v>2056</v>
      </c>
      <c r="H275" t="s">
        <v>2023</v>
      </c>
      <c r="I275" t="s">
        <v>2132</v>
      </c>
      <c r="J275" t="s">
        <v>1963</v>
      </c>
      <c r="K275" t="s">
        <v>2776</v>
      </c>
      <c r="L275" t="s">
        <v>2046</v>
      </c>
      <c r="M275" t="s">
        <v>2058</v>
      </c>
      <c r="N275" t="s">
        <v>2059</v>
      </c>
      <c r="O275" t="s">
        <v>2060</v>
      </c>
      <c r="P275" t="s">
        <v>2061</v>
      </c>
      <c r="Q275" t="s">
        <v>2062</v>
      </c>
      <c r="R275" t="s">
        <v>14</v>
      </c>
      <c r="S275" t="s">
        <v>2134</v>
      </c>
      <c r="T275" t="s">
        <v>2135</v>
      </c>
      <c r="U275" t="s">
        <v>2052</v>
      </c>
      <c r="V275" t="s">
        <v>14</v>
      </c>
      <c r="W275" t="b">
        <v>1</v>
      </c>
      <c r="X275" t="s">
        <v>1671</v>
      </c>
      <c r="Y275" t="b">
        <v>0</v>
      </c>
      <c r="Z275" t="s">
        <v>2053</v>
      </c>
    </row>
    <row r="276" spans="1:26" x14ac:dyDescent="0.35">
      <c r="A276" t="s">
        <v>1670</v>
      </c>
      <c r="B276" t="s">
        <v>2775</v>
      </c>
      <c r="C276" t="s">
        <v>2735</v>
      </c>
      <c r="D276" t="s">
        <v>1963</v>
      </c>
      <c r="E276" t="s">
        <v>2020</v>
      </c>
      <c r="F276" t="s">
        <v>2055</v>
      </c>
      <c r="G276" t="s">
        <v>2056</v>
      </c>
      <c r="H276" t="s">
        <v>2023</v>
      </c>
      <c r="I276" t="s">
        <v>1426</v>
      </c>
      <c r="J276" t="s">
        <v>1963</v>
      </c>
      <c r="K276" t="s">
        <v>2776</v>
      </c>
      <c r="L276" t="s">
        <v>2046</v>
      </c>
      <c r="M276" t="s">
        <v>2058</v>
      </c>
      <c r="N276" t="s">
        <v>2059</v>
      </c>
      <c r="O276" t="s">
        <v>2060</v>
      </c>
      <c r="P276" t="s">
        <v>2061</v>
      </c>
      <c r="Q276" t="s">
        <v>2062</v>
      </c>
      <c r="R276" t="s">
        <v>14</v>
      </c>
      <c r="S276" t="s">
        <v>2063</v>
      </c>
      <c r="T276" t="s">
        <v>2064</v>
      </c>
      <c r="U276" t="s">
        <v>2052</v>
      </c>
      <c r="V276" t="s">
        <v>14</v>
      </c>
      <c r="W276" t="b">
        <v>1</v>
      </c>
      <c r="X276" t="s">
        <v>1671</v>
      </c>
      <c r="Y276" t="b">
        <v>0</v>
      </c>
      <c r="Z276" t="s">
        <v>2053</v>
      </c>
    </row>
    <row r="277" spans="1:26" x14ac:dyDescent="0.35">
      <c r="A277" t="s">
        <v>1672</v>
      </c>
      <c r="B277" t="s">
        <v>2777</v>
      </c>
      <c r="C277" t="s">
        <v>2735</v>
      </c>
      <c r="D277" t="s">
        <v>1963</v>
      </c>
      <c r="E277" t="s">
        <v>2020</v>
      </c>
      <c r="F277" t="s">
        <v>2055</v>
      </c>
      <c r="G277" t="s">
        <v>2056</v>
      </c>
      <c r="H277" t="s">
        <v>2023</v>
      </c>
      <c r="I277" t="s">
        <v>1426</v>
      </c>
      <c r="J277" t="s">
        <v>1963</v>
      </c>
      <c r="K277" t="s">
        <v>2778</v>
      </c>
      <c r="L277" t="s">
        <v>2046</v>
      </c>
      <c r="M277" t="s">
        <v>2058</v>
      </c>
      <c r="N277" t="s">
        <v>2059</v>
      </c>
      <c r="O277" t="s">
        <v>2060</v>
      </c>
      <c r="P277" t="s">
        <v>2061</v>
      </c>
      <c r="Q277" t="s">
        <v>2062</v>
      </c>
      <c r="R277" t="s">
        <v>14</v>
      </c>
      <c r="S277" t="s">
        <v>2063</v>
      </c>
      <c r="T277" t="s">
        <v>2064</v>
      </c>
      <c r="U277" t="s">
        <v>2052</v>
      </c>
      <c r="V277" t="s">
        <v>14</v>
      </c>
      <c r="W277" t="b">
        <v>1</v>
      </c>
      <c r="X277" t="s">
        <v>1673</v>
      </c>
      <c r="Y277" t="b">
        <v>0</v>
      </c>
      <c r="Z277" t="s">
        <v>2053</v>
      </c>
    </row>
    <row r="278" spans="1:26" x14ac:dyDescent="0.35">
      <c r="A278" t="s">
        <v>1674</v>
      </c>
      <c r="B278" t="s">
        <v>2779</v>
      </c>
      <c r="C278" t="s">
        <v>2735</v>
      </c>
      <c r="D278" t="s">
        <v>1963</v>
      </c>
      <c r="E278" t="s">
        <v>2020</v>
      </c>
      <c r="F278" t="s">
        <v>2021</v>
      </c>
      <c r="G278" t="s">
        <v>2022</v>
      </c>
      <c r="H278" t="s">
        <v>2023</v>
      </c>
      <c r="I278" t="s">
        <v>2780</v>
      </c>
      <c r="J278" t="s">
        <v>1963</v>
      </c>
      <c r="K278" t="s">
        <v>2781</v>
      </c>
      <c r="L278" t="s">
        <v>2046</v>
      </c>
      <c r="M278" t="s">
        <v>2782</v>
      </c>
      <c r="N278" t="s">
        <v>2783</v>
      </c>
      <c r="O278" t="s">
        <v>2101</v>
      </c>
      <c r="P278" t="s">
        <v>2102</v>
      </c>
      <c r="Q278" t="s">
        <v>2103</v>
      </c>
      <c r="R278" t="s">
        <v>14</v>
      </c>
      <c r="S278" t="s">
        <v>2101</v>
      </c>
      <c r="T278" t="s">
        <v>2102</v>
      </c>
      <c r="U278" t="s">
        <v>2052</v>
      </c>
      <c r="V278" t="s">
        <v>14</v>
      </c>
      <c r="W278" t="b">
        <v>1</v>
      </c>
      <c r="X278" t="s">
        <v>1675</v>
      </c>
      <c r="Y278" t="b">
        <v>0</v>
      </c>
      <c r="Z278" t="s">
        <v>2053</v>
      </c>
    </row>
    <row r="279" spans="1:26" x14ac:dyDescent="0.35">
      <c r="A279" t="s">
        <v>1674</v>
      </c>
      <c r="B279" t="s">
        <v>2779</v>
      </c>
      <c r="C279" t="s">
        <v>2735</v>
      </c>
      <c r="D279" t="s">
        <v>1963</v>
      </c>
      <c r="E279" t="s">
        <v>2020</v>
      </c>
      <c r="F279" t="s">
        <v>2021</v>
      </c>
      <c r="G279" t="s">
        <v>2022</v>
      </c>
      <c r="H279" t="s">
        <v>2023</v>
      </c>
      <c r="I279" t="s">
        <v>2784</v>
      </c>
      <c r="J279" t="s">
        <v>1963</v>
      </c>
      <c r="K279" t="s">
        <v>2781</v>
      </c>
      <c r="L279" t="s">
        <v>2046</v>
      </c>
      <c r="M279" t="s">
        <v>2782</v>
      </c>
      <c r="N279" t="s">
        <v>2783</v>
      </c>
      <c r="O279" t="s">
        <v>2101</v>
      </c>
      <c r="P279" t="s">
        <v>2102</v>
      </c>
      <c r="Q279" t="s">
        <v>2103</v>
      </c>
      <c r="R279" t="s">
        <v>14</v>
      </c>
      <c r="S279" t="s">
        <v>2101</v>
      </c>
      <c r="T279" t="s">
        <v>2102</v>
      </c>
      <c r="U279" t="s">
        <v>2052</v>
      </c>
      <c r="V279" t="s">
        <v>14</v>
      </c>
      <c r="W279" t="b">
        <v>1</v>
      </c>
      <c r="X279" t="s">
        <v>1675</v>
      </c>
      <c r="Y279" t="b">
        <v>0</v>
      </c>
      <c r="Z279" t="s">
        <v>2053</v>
      </c>
    </row>
    <row r="280" spans="1:26" x14ac:dyDescent="0.35">
      <c r="A280" t="s">
        <v>1676</v>
      </c>
      <c r="B280" t="s">
        <v>2785</v>
      </c>
      <c r="C280" t="s">
        <v>2735</v>
      </c>
      <c r="D280" t="s">
        <v>1963</v>
      </c>
      <c r="E280" t="s">
        <v>2020</v>
      </c>
      <c r="F280" t="s">
        <v>2021</v>
      </c>
      <c r="G280" t="s">
        <v>2022</v>
      </c>
      <c r="H280" t="s">
        <v>2023</v>
      </c>
      <c r="I280" t="s">
        <v>1829</v>
      </c>
      <c r="J280" t="s">
        <v>1963</v>
      </c>
      <c r="K280" t="s">
        <v>2786</v>
      </c>
      <c r="L280" t="s">
        <v>2046</v>
      </c>
      <c r="M280" t="s">
        <v>14</v>
      </c>
      <c r="N280" t="s">
        <v>14</v>
      </c>
      <c r="O280" t="s">
        <v>2111</v>
      </c>
      <c r="P280" t="s">
        <v>2112</v>
      </c>
      <c r="Q280" t="s">
        <v>14</v>
      </c>
      <c r="R280" t="s">
        <v>14</v>
      </c>
      <c r="S280" t="s">
        <v>14</v>
      </c>
      <c r="T280" t="s">
        <v>14</v>
      </c>
      <c r="U280" t="s">
        <v>2052</v>
      </c>
      <c r="V280" t="s">
        <v>14</v>
      </c>
      <c r="W280" t="b">
        <v>1</v>
      </c>
      <c r="X280" t="s">
        <v>1677</v>
      </c>
      <c r="Y280" t="b">
        <v>0</v>
      </c>
      <c r="Z280" t="s">
        <v>2053</v>
      </c>
    </row>
    <row r="281" spans="1:26" x14ac:dyDescent="0.35">
      <c r="A281" t="s">
        <v>1678</v>
      </c>
      <c r="B281" t="s">
        <v>2787</v>
      </c>
      <c r="C281" t="s">
        <v>2019</v>
      </c>
      <c r="D281" t="s">
        <v>1963</v>
      </c>
      <c r="E281" t="s">
        <v>2020</v>
      </c>
      <c r="F281" t="s">
        <v>2055</v>
      </c>
      <c r="G281" t="s">
        <v>2056</v>
      </c>
      <c r="H281" t="s">
        <v>2023</v>
      </c>
      <c r="I281" t="s">
        <v>2788</v>
      </c>
      <c r="J281" t="s">
        <v>1963</v>
      </c>
      <c r="K281" t="s">
        <v>2789</v>
      </c>
      <c r="L281" t="s">
        <v>2046</v>
      </c>
      <c r="M281" t="s">
        <v>2790</v>
      </c>
      <c r="N281" t="s">
        <v>2791</v>
      </c>
      <c r="O281" t="s">
        <v>2792</v>
      </c>
      <c r="P281" t="s">
        <v>2793</v>
      </c>
      <c r="Q281" t="s">
        <v>2049</v>
      </c>
      <c r="R281" t="s">
        <v>14</v>
      </c>
      <c r="S281" t="s">
        <v>2794</v>
      </c>
      <c r="T281" t="s">
        <v>2795</v>
      </c>
      <c r="U281" t="s">
        <v>2052</v>
      </c>
      <c r="V281" t="s">
        <v>14</v>
      </c>
      <c r="W281" t="b">
        <v>1</v>
      </c>
      <c r="X281" t="s">
        <v>1679</v>
      </c>
      <c r="Y281" t="b">
        <v>0</v>
      </c>
      <c r="Z281" t="s">
        <v>2053</v>
      </c>
    </row>
    <row r="282" spans="1:26" x14ac:dyDescent="0.35">
      <c r="A282" t="s">
        <v>1680</v>
      </c>
      <c r="B282" t="s">
        <v>2796</v>
      </c>
      <c r="C282" t="s">
        <v>2019</v>
      </c>
      <c r="D282" t="s">
        <v>1963</v>
      </c>
      <c r="E282" t="s">
        <v>2020</v>
      </c>
      <c r="F282" t="s">
        <v>2055</v>
      </c>
      <c r="G282" t="s">
        <v>2056</v>
      </c>
      <c r="H282" t="s">
        <v>2023</v>
      </c>
      <c r="I282" t="s">
        <v>1426</v>
      </c>
      <c r="J282" t="s">
        <v>1963</v>
      </c>
      <c r="K282" t="s">
        <v>2797</v>
      </c>
      <c r="L282" t="s">
        <v>2046</v>
      </c>
      <c r="M282" t="s">
        <v>2058</v>
      </c>
      <c r="N282" t="s">
        <v>2059</v>
      </c>
      <c r="O282" t="s">
        <v>2060</v>
      </c>
      <c r="P282" t="s">
        <v>2061</v>
      </c>
      <c r="Q282" t="s">
        <v>2062</v>
      </c>
      <c r="R282" t="s">
        <v>14</v>
      </c>
      <c r="S282" t="s">
        <v>2063</v>
      </c>
      <c r="T282" t="s">
        <v>2064</v>
      </c>
      <c r="U282" t="s">
        <v>2052</v>
      </c>
      <c r="V282" t="s">
        <v>14</v>
      </c>
      <c r="W282" t="b">
        <v>1</v>
      </c>
      <c r="X282" t="s">
        <v>1681</v>
      </c>
      <c r="Y282" t="b">
        <v>0</v>
      </c>
      <c r="Z282" t="s">
        <v>2053</v>
      </c>
    </row>
    <row r="283" spans="1:26" x14ac:dyDescent="0.35">
      <c r="A283" t="s">
        <v>1682</v>
      </c>
      <c r="B283" t="s">
        <v>2798</v>
      </c>
      <c r="C283" t="s">
        <v>2019</v>
      </c>
      <c r="D283" t="s">
        <v>1963</v>
      </c>
      <c r="E283" t="s">
        <v>2020</v>
      </c>
      <c r="F283" t="s">
        <v>2055</v>
      </c>
      <c r="G283" t="s">
        <v>2056</v>
      </c>
      <c r="H283" t="s">
        <v>2023</v>
      </c>
      <c r="I283" t="s">
        <v>1426</v>
      </c>
      <c r="J283" t="s">
        <v>1963</v>
      </c>
      <c r="K283" t="s">
        <v>2799</v>
      </c>
      <c r="L283" t="s">
        <v>2046</v>
      </c>
      <c r="M283" t="s">
        <v>2058</v>
      </c>
      <c r="N283" t="s">
        <v>2059</v>
      </c>
      <c r="O283" t="s">
        <v>2060</v>
      </c>
      <c r="P283" t="s">
        <v>2061</v>
      </c>
      <c r="Q283" t="s">
        <v>2062</v>
      </c>
      <c r="R283" t="s">
        <v>14</v>
      </c>
      <c r="S283" t="s">
        <v>2063</v>
      </c>
      <c r="T283" t="s">
        <v>2064</v>
      </c>
      <c r="U283" t="s">
        <v>2052</v>
      </c>
      <c r="V283" t="s">
        <v>14</v>
      </c>
      <c r="W283" t="b">
        <v>1</v>
      </c>
      <c r="X283" t="s">
        <v>1683</v>
      </c>
      <c r="Y283" t="b">
        <v>0</v>
      </c>
      <c r="Z283" t="s">
        <v>2053</v>
      </c>
    </row>
    <row r="284" spans="1:26" x14ac:dyDescent="0.35">
      <c r="A284" t="s">
        <v>1684</v>
      </c>
      <c r="B284" t="s">
        <v>2800</v>
      </c>
      <c r="C284" t="s">
        <v>2019</v>
      </c>
      <c r="D284" t="s">
        <v>1963</v>
      </c>
      <c r="E284" t="s">
        <v>2020</v>
      </c>
      <c r="F284" t="s">
        <v>2055</v>
      </c>
      <c r="G284" t="s">
        <v>2056</v>
      </c>
      <c r="H284" t="s">
        <v>2023</v>
      </c>
      <c r="I284" t="s">
        <v>1426</v>
      </c>
      <c r="J284" t="s">
        <v>1963</v>
      </c>
      <c r="K284" t="s">
        <v>2801</v>
      </c>
      <c r="L284" t="s">
        <v>2046</v>
      </c>
      <c r="M284" t="s">
        <v>2058</v>
      </c>
      <c r="N284" t="s">
        <v>2059</v>
      </c>
      <c r="O284" t="s">
        <v>2060</v>
      </c>
      <c r="P284" t="s">
        <v>2061</v>
      </c>
      <c r="Q284" t="s">
        <v>2062</v>
      </c>
      <c r="R284" t="s">
        <v>14</v>
      </c>
      <c r="S284" t="s">
        <v>2063</v>
      </c>
      <c r="T284" t="s">
        <v>2064</v>
      </c>
      <c r="U284" t="s">
        <v>2052</v>
      </c>
      <c r="V284" t="s">
        <v>14</v>
      </c>
      <c r="W284" t="b">
        <v>1</v>
      </c>
      <c r="X284" t="s">
        <v>1685</v>
      </c>
      <c r="Y284" t="b">
        <v>0</v>
      </c>
      <c r="Z284" t="s">
        <v>2053</v>
      </c>
    </row>
    <row r="285" spans="1:26" x14ac:dyDescent="0.35">
      <c r="A285" t="s">
        <v>1684</v>
      </c>
      <c r="B285" t="s">
        <v>2800</v>
      </c>
      <c r="C285" t="s">
        <v>2019</v>
      </c>
      <c r="D285" t="s">
        <v>1963</v>
      </c>
      <c r="E285" t="s">
        <v>2020</v>
      </c>
      <c r="F285" t="s">
        <v>2055</v>
      </c>
      <c r="G285" t="s">
        <v>2056</v>
      </c>
      <c r="H285" t="s">
        <v>2023</v>
      </c>
      <c r="I285" t="s">
        <v>2132</v>
      </c>
      <c r="J285" t="s">
        <v>1963</v>
      </c>
      <c r="K285" t="s">
        <v>2801</v>
      </c>
      <c r="L285" t="s">
        <v>2046</v>
      </c>
      <c r="M285" t="s">
        <v>2058</v>
      </c>
      <c r="N285" t="s">
        <v>2059</v>
      </c>
      <c r="O285" t="s">
        <v>2060</v>
      </c>
      <c r="P285" t="s">
        <v>2061</v>
      </c>
      <c r="Q285" t="s">
        <v>2062</v>
      </c>
      <c r="R285" t="s">
        <v>14</v>
      </c>
      <c r="S285" t="s">
        <v>2134</v>
      </c>
      <c r="T285" t="s">
        <v>2135</v>
      </c>
      <c r="U285" t="s">
        <v>2052</v>
      </c>
      <c r="V285" t="s">
        <v>14</v>
      </c>
      <c r="W285" t="b">
        <v>1</v>
      </c>
      <c r="X285" t="s">
        <v>1685</v>
      </c>
      <c r="Y285" t="b">
        <v>0</v>
      </c>
      <c r="Z285" t="s">
        <v>2053</v>
      </c>
    </row>
    <row r="286" spans="1:26" x14ac:dyDescent="0.35">
      <c r="A286" t="s">
        <v>1686</v>
      </c>
      <c r="B286" t="s">
        <v>2802</v>
      </c>
      <c r="C286" t="s">
        <v>2019</v>
      </c>
      <c r="D286" t="s">
        <v>1963</v>
      </c>
      <c r="E286" t="s">
        <v>2020</v>
      </c>
      <c r="F286" t="s">
        <v>2055</v>
      </c>
      <c r="G286" t="s">
        <v>2056</v>
      </c>
      <c r="H286" t="s">
        <v>2023</v>
      </c>
      <c r="I286" t="s">
        <v>1426</v>
      </c>
      <c r="J286" t="s">
        <v>1963</v>
      </c>
      <c r="K286" t="s">
        <v>2803</v>
      </c>
      <c r="L286" t="s">
        <v>2046</v>
      </c>
      <c r="M286" t="s">
        <v>2058</v>
      </c>
      <c r="N286" t="s">
        <v>2059</v>
      </c>
      <c r="O286" t="s">
        <v>2060</v>
      </c>
      <c r="P286" t="s">
        <v>2061</v>
      </c>
      <c r="Q286" t="s">
        <v>2062</v>
      </c>
      <c r="R286" t="s">
        <v>14</v>
      </c>
      <c r="S286" t="s">
        <v>2063</v>
      </c>
      <c r="T286" t="s">
        <v>2064</v>
      </c>
      <c r="U286" t="s">
        <v>2052</v>
      </c>
      <c r="V286" t="s">
        <v>14</v>
      </c>
      <c r="W286" t="b">
        <v>1</v>
      </c>
      <c r="X286" t="s">
        <v>1687</v>
      </c>
      <c r="Y286" t="b">
        <v>0</v>
      </c>
      <c r="Z286" t="s">
        <v>2053</v>
      </c>
    </row>
    <row r="287" spans="1:26" x14ac:dyDescent="0.35">
      <c r="A287" t="s">
        <v>2804</v>
      </c>
      <c r="B287" t="s">
        <v>2805</v>
      </c>
      <c r="C287" t="s">
        <v>2019</v>
      </c>
      <c r="D287" t="s">
        <v>1963</v>
      </c>
      <c r="E287" t="s">
        <v>2020</v>
      </c>
      <c r="F287" t="s">
        <v>2140</v>
      </c>
      <c r="G287" t="s">
        <v>2141</v>
      </c>
      <c r="H287" t="s">
        <v>2023</v>
      </c>
      <c r="I287" t="s">
        <v>1806</v>
      </c>
      <c r="J287" t="s">
        <v>1963</v>
      </c>
      <c r="K287" t="s">
        <v>2806</v>
      </c>
      <c r="L287" t="s">
        <v>2046</v>
      </c>
      <c r="M287" t="s">
        <v>2067</v>
      </c>
      <c r="N287" t="s">
        <v>2068</v>
      </c>
      <c r="O287" t="s">
        <v>2047</v>
      </c>
      <c r="P287" t="s">
        <v>2048</v>
      </c>
      <c r="Q287" t="s">
        <v>14</v>
      </c>
      <c r="R287" t="s">
        <v>14</v>
      </c>
      <c r="S287" t="s">
        <v>2069</v>
      </c>
      <c r="T287" t="s">
        <v>2070</v>
      </c>
      <c r="U287" t="s">
        <v>2052</v>
      </c>
      <c r="V287" t="s">
        <v>14</v>
      </c>
      <c r="W287" t="b">
        <v>1</v>
      </c>
      <c r="X287" t="s">
        <v>2807</v>
      </c>
      <c r="Y287" t="b">
        <v>0</v>
      </c>
      <c r="Z287" t="s">
        <v>2053</v>
      </c>
    </row>
    <row r="288" spans="1:26" x14ac:dyDescent="0.35">
      <c r="A288" t="s">
        <v>2804</v>
      </c>
      <c r="B288" t="s">
        <v>2805</v>
      </c>
      <c r="C288" t="s">
        <v>2019</v>
      </c>
      <c r="D288" t="s">
        <v>1963</v>
      </c>
      <c r="E288" t="s">
        <v>2020</v>
      </c>
      <c r="F288" t="s">
        <v>2140</v>
      </c>
      <c r="G288" t="s">
        <v>2141</v>
      </c>
      <c r="H288" t="s">
        <v>2023</v>
      </c>
      <c r="I288" t="s">
        <v>2144</v>
      </c>
      <c r="J288" t="s">
        <v>1963</v>
      </c>
      <c r="K288" t="s">
        <v>2806</v>
      </c>
      <c r="L288" t="s">
        <v>2046</v>
      </c>
      <c r="M288" t="s">
        <v>2047</v>
      </c>
      <c r="N288" t="s">
        <v>2048</v>
      </c>
      <c r="O288" t="s">
        <v>2047</v>
      </c>
      <c r="P288" t="s">
        <v>2048</v>
      </c>
      <c r="Q288" t="s">
        <v>2145</v>
      </c>
      <c r="R288" t="s">
        <v>14</v>
      </c>
      <c r="S288" t="s">
        <v>2069</v>
      </c>
      <c r="T288" t="s">
        <v>2070</v>
      </c>
      <c r="U288" t="s">
        <v>2052</v>
      </c>
      <c r="V288" t="s">
        <v>14</v>
      </c>
      <c r="W288" t="b">
        <v>1</v>
      </c>
      <c r="X288" t="s">
        <v>2807</v>
      </c>
      <c r="Y288" t="b">
        <v>0</v>
      </c>
      <c r="Z288" t="s">
        <v>2053</v>
      </c>
    </row>
    <row r="289" spans="1:26" x14ac:dyDescent="0.35">
      <c r="A289" t="s">
        <v>2804</v>
      </c>
      <c r="B289" t="s">
        <v>2805</v>
      </c>
      <c r="C289" t="s">
        <v>2019</v>
      </c>
      <c r="D289" t="s">
        <v>1963</v>
      </c>
      <c r="E289" t="s">
        <v>2020</v>
      </c>
      <c r="F289" t="s">
        <v>2140</v>
      </c>
      <c r="G289" t="s">
        <v>2141</v>
      </c>
      <c r="H289" t="s">
        <v>2023</v>
      </c>
      <c r="I289" t="s">
        <v>2146</v>
      </c>
      <c r="J289" t="s">
        <v>1963</v>
      </c>
      <c r="K289" t="s">
        <v>2806</v>
      </c>
      <c r="L289" t="s">
        <v>2046</v>
      </c>
      <c r="M289" t="s">
        <v>14</v>
      </c>
      <c r="N289" t="s">
        <v>14</v>
      </c>
      <c r="O289" t="s">
        <v>2147</v>
      </c>
      <c r="P289" t="s">
        <v>2148</v>
      </c>
      <c r="Q289" t="s">
        <v>14</v>
      </c>
      <c r="R289" t="s">
        <v>14</v>
      </c>
      <c r="S289" t="s">
        <v>14</v>
      </c>
      <c r="T289" t="s">
        <v>14</v>
      </c>
      <c r="U289" t="s">
        <v>2052</v>
      </c>
      <c r="V289" t="s">
        <v>14</v>
      </c>
      <c r="W289" t="b">
        <v>1</v>
      </c>
      <c r="X289" t="s">
        <v>2807</v>
      </c>
      <c r="Y289" t="b">
        <v>0</v>
      </c>
      <c r="Z289" t="s">
        <v>2053</v>
      </c>
    </row>
    <row r="290" spans="1:26" x14ac:dyDescent="0.35">
      <c r="A290" t="s">
        <v>1688</v>
      </c>
      <c r="B290" t="s">
        <v>2808</v>
      </c>
      <c r="C290" t="s">
        <v>2019</v>
      </c>
      <c r="D290" t="s">
        <v>1963</v>
      </c>
      <c r="E290" t="s">
        <v>2020</v>
      </c>
      <c r="F290" t="s">
        <v>2021</v>
      </c>
      <c r="G290" t="s">
        <v>2022</v>
      </c>
      <c r="H290" t="s">
        <v>2023</v>
      </c>
      <c r="I290" t="s">
        <v>2082</v>
      </c>
      <c r="J290" t="s">
        <v>1963</v>
      </c>
      <c r="K290" t="s">
        <v>2809</v>
      </c>
      <c r="L290" t="s">
        <v>2025</v>
      </c>
      <c r="M290" t="s">
        <v>2047</v>
      </c>
      <c r="N290" t="s">
        <v>2048</v>
      </c>
      <c r="O290" t="s">
        <v>2047</v>
      </c>
      <c r="P290" t="s">
        <v>2048</v>
      </c>
      <c r="Q290" t="s">
        <v>14</v>
      </c>
      <c r="R290" t="s">
        <v>14</v>
      </c>
      <c r="S290" t="s">
        <v>14</v>
      </c>
      <c r="T290" t="s">
        <v>14</v>
      </c>
      <c r="U290" t="s">
        <v>2052</v>
      </c>
      <c r="V290" t="s">
        <v>14</v>
      </c>
      <c r="W290" t="b">
        <v>1</v>
      </c>
      <c r="X290" t="s">
        <v>1689</v>
      </c>
      <c r="Y290" t="b">
        <v>0</v>
      </c>
      <c r="Z290" t="s">
        <v>2081</v>
      </c>
    </row>
    <row r="291" spans="1:26" x14ac:dyDescent="0.35">
      <c r="A291" t="s">
        <v>1690</v>
      </c>
      <c r="B291" t="s">
        <v>2810</v>
      </c>
      <c r="C291" t="s">
        <v>14</v>
      </c>
      <c r="D291" t="s">
        <v>1963</v>
      </c>
      <c r="E291" t="s">
        <v>2020</v>
      </c>
      <c r="F291" t="s">
        <v>2021</v>
      </c>
      <c r="G291" t="s">
        <v>2022</v>
      </c>
      <c r="H291" t="s">
        <v>2023</v>
      </c>
      <c r="I291" t="s">
        <v>1768</v>
      </c>
      <c r="J291" t="s">
        <v>1963</v>
      </c>
      <c r="K291" t="s">
        <v>2811</v>
      </c>
      <c r="L291" t="s">
        <v>2812</v>
      </c>
      <c r="M291" t="s">
        <v>2047</v>
      </c>
      <c r="N291" t="s">
        <v>2048</v>
      </c>
      <c r="O291" t="s">
        <v>2047</v>
      </c>
      <c r="P291" t="s">
        <v>2048</v>
      </c>
      <c r="Q291" t="s">
        <v>2049</v>
      </c>
      <c r="R291" t="s">
        <v>14</v>
      </c>
      <c r="S291" t="s">
        <v>2050</v>
      </c>
      <c r="T291" t="s">
        <v>2051</v>
      </c>
      <c r="U291" t="s">
        <v>2052</v>
      </c>
      <c r="V291" t="s">
        <v>14</v>
      </c>
      <c r="W291" t="b">
        <v>1</v>
      </c>
      <c r="X291" t="s">
        <v>1691</v>
      </c>
      <c r="Y291" t="b">
        <v>0</v>
      </c>
      <c r="Z291" t="s">
        <v>2053</v>
      </c>
    </row>
    <row r="292" spans="1:26" x14ac:dyDescent="0.35">
      <c r="A292" t="s">
        <v>1692</v>
      </c>
      <c r="B292" t="s">
        <v>2813</v>
      </c>
      <c r="C292" t="s">
        <v>2019</v>
      </c>
      <c r="D292" t="s">
        <v>1963</v>
      </c>
      <c r="E292" t="s">
        <v>2020</v>
      </c>
      <c r="F292" t="s">
        <v>2021</v>
      </c>
      <c r="G292" t="s">
        <v>2022</v>
      </c>
      <c r="H292" t="s">
        <v>2023</v>
      </c>
      <c r="I292" t="s">
        <v>1806</v>
      </c>
      <c r="J292" t="s">
        <v>1963</v>
      </c>
      <c r="K292" t="s">
        <v>2814</v>
      </c>
      <c r="L292" t="s">
        <v>14</v>
      </c>
      <c r="M292" t="s">
        <v>2067</v>
      </c>
      <c r="N292" t="s">
        <v>2068</v>
      </c>
      <c r="O292" t="s">
        <v>2047</v>
      </c>
      <c r="P292" t="s">
        <v>2048</v>
      </c>
      <c r="Q292" t="s">
        <v>14</v>
      </c>
      <c r="R292" t="s">
        <v>14</v>
      </c>
      <c r="S292" t="s">
        <v>2069</v>
      </c>
      <c r="T292" t="s">
        <v>2070</v>
      </c>
      <c r="U292" t="s">
        <v>2052</v>
      </c>
      <c r="V292" t="s">
        <v>14</v>
      </c>
      <c r="W292" t="b">
        <v>1</v>
      </c>
      <c r="X292" t="s">
        <v>1693</v>
      </c>
      <c r="Y292" t="b">
        <v>0</v>
      </c>
      <c r="Z292" t="s">
        <v>2053</v>
      </c>
    </row>
    <row r="293" spans="1:26" x14ac:dyDescent="0.35">
      <c r="A293" t="s">
        <v>1694</v>
      </c>
      <c r="B293" t="s">
        <v>2815</v>
      </c>
      <c r="C293" t="s">
        <v>2019</v>
      </c>
      <c r="D293" t="s">
        <v>1963</v>
      </c>
      <c r="E293" t="s">
        <v>2020</v>
      </c>
      <c r="F293" t="s">
        <v>2055</v>
      </c>
      <c r="G293" t="s">
        <v>2056</v>
      </c>
      <c r="H293" t="s">
        <v>2023</v>
      </c>
      <c r="I293" t="s">
        <v>2118</v>
      </c>
      <c r="J293" t="s">
        <v>1963</v>
      </c>
      <c r="K293" t="s">
        <v>2816</v>
      </c>
      <c r="L293" t="s">
        <v>2046</v>
      </c>
      <c r="M293" t="s">
        <v>2120</v>
      </c>
      <c r="N293" t="s">
        <v>2121</v>
      </c>
      <c r="O293" t="s">
        <v>2060</v>
      </c>
      <c r="P293" t="s">
        <v>2061</v>
      </c>
      <c r="Q293" t="s">
        <v>2122</v>
      </c>
      <c r="R293" t="s">
        <v>14</v>
      </c>
      <c r="S293" t="s">
        <v>2123</v>
      </c>
      <c r="T293" t="s">
        <v>2124</v>
      </c>
      <c r="U293" t="s">
        <v>2052</v>
      </c>
      <c r="V293" t="s">
        <v>14</v>
      </c>
      <c r="W293" t="b">
        <v>1</v>
      </c>
      <c r="X293" t="s">
        <v>1695</v>
      </c>
      <c r="Y293" t="b">
        <v>0</v>
      </c>
      <c r="Z293" t="s">
        <v>2053</v>
      </c>
    </row>
    <row r="294" spans="1:26" x14ac:dyDescent="0.35">
      <c r="A294" t="s">
        <v>1694</v>
      </c>
      <c r="B294" t="s">
        <v>2815</v>
      </c>
      <c r="C294" t="s">
        <v>2019</v>
      </c>
      <c r="D294" t="s">
        <v>1963</v>
      </c>
      <c r="E294" t="s">
        <v>2020</v>
      </c>
      <c r="F294" t="s">
        <v>2055</v>
      </c>
      <c r="G294" t="s">
        <v>2056</v>
      </c>
      <c r="H294" t="s">
        <v>2023</v>
      </c>
      <c r="I294" t="s">
        <v>1764</v>
      </c>
      <c r="J294" t="s">
        <v>1963</v>
      </c>
      <c r="K294" t="s">
        <v>2816</v>
      </c>
      <c r="L294" t="s">
        <v>2046</v>
      </c>
      <c r="M294" t="s">
        <v>2120</v>
      </c>
      <c r="N294" t="s">
        <v>2121</v>
      </c>
      <c r="O294" t="s">
        <v>2060</v>
      </c>
      <c r="P294" t="s">
        <v>2061</v>
      </c>
      <c r="Q294" t="s">
        <v>2122</v>
      </c>
      <c r="R294" t="s">
        <v>14</v>
      </c>
      <c r="S294" t="s">
        <v>2125</v>
      </c>
      <c r="T294" t="s">
        <v>2126</v>
      </c>
      <c r="U294" t="s">
        <v>2052</v>
      </c>
      <c r="V294" t="s">
        <v>14</v>
      </c>
      <c r="W294" t="b">
        <v>1</v>
      </c>
      <c r="X294" t="s">
        <v>1695</v>
      </c>
      <c r="Y294" t="b">
        <v>0</v>
      </c>
      <c r="Z294" t="s">
        <v>2032</v>
      </c>
    </row>
    <row r="295" spans="1:26" x14ac:dyDescent="0.35">
      <c r="A295" t="s">
        <v>1696</v>
      </c>
      <c r="B295" t="s">
        <v>2817</v>
      </c>
      <c r="C295" t="s">
        <v>2019</v>
      </c>
      <c r="D295" t="s">
        <v>1963</v>
      </c>
      <c r="E295" t="s">
        <v>2020</v>
      </c>
      <c r="F295" t="s">
        <v>2021</v>
      </c>
      <c r="G295" t="s">
        <v>2022</v>
      </c>
      <c r="H295" t="s">
        <v>2023</v>
      </c>
      <c r="I295" t="s">
        <v>25</v>
      </c>
      <c r="J295" t="s">
        <v>1963</v>
      </c>
      <c r="K295" t="s">
        <v>2818</v>
      </c>
      <c r="L295" t="s">
        <v>2025</v>
      </c>
      <c r="M295" t="s">
        <v>2073</v>
      </c>
      <c r="N295" t="s">
        <v>2074</v>
      </c>
      <c r="O295" t="s">
        <v>2075</v>
      </c>
      <c r="P295" t="s">
        <v>2076</v>
      </c>
      <c r="Q295" t="s">
        <v>2077</v>
      </c>
      <c r="R295" t="s">
        <v>14</v>
      </c>
      <c r="S295" t="s">
        <v>2078</v>
      </c>
      <c r="T295" t="s">
        <v>2079</v>
      </c>
      <c r="U295" t="s">
        <v>2080</v>
      </c>
      <c r="V295" t="s">
        <v>14</v>
      </c>
      <c r="W295" t="b">
        <v>1</v>
      </c>
      <c r="X295" t="s">
        <v>1697</v>
      </c>
      <c r="Y295" t="b">
        <v>0</v>
      </c>
      <c r="Z295" t="s">
        <v>2081</v>
      </c>
    </row>
    <row r="296" spans="1:26" x14ac:dyDescent="0.35">
      <c r="A296" t="s">
        <v>1698</v>
      </c>
      <c r="B296" t="s">
        <v>2819</v>
      </c>
      <c r="C296" t="s">
        <v>2019</v>
      </c>
      <c r="D296" t="s">
        <v>1963</v>
      </c>
      <c r="E296" t="s">
        <v>2020</v>
      </c>
      <c r="F296" t="s">
        <v>2021</v>
      </c>
      <c r="G296" t="s">
        <v>2022</v>
      </c>
      <c r="H296" t="s">
        <v>2023</v>
      </c>
      <c r="I296" t="s">
        <v>2084</v>
      </c>
      <c r="J296" t="s">
        <v>1963</v>
      </c>
      <c r="K296" t="s">
        <v>2820</v>
      </c>
      <c r="L296" t="s">
        <v>14</v>
      </c>
      <c r="M296" t="s">
        <v>2086</v>
      </c>
      <c r="N296" t="s">
        <v>2087</v>
      </c>
      <c r="O296" t="s">
        <v>2088</v>
      </c>
      <c r="P296" t="s">
        <v>2089</v>
      </c>
      <c r="Q296" t="s">
        <v>2077</v>
      </c>
      <c r="R296" t="s">
        <v>14</v>
      </c>
      <c r="S296" t="s">
        <v>14</v>
      </c>
      <c r="T296" t="s">
        <v>14</v>
      </c>
      <c r="U296" t="s">
        <v>2090</v>
      </c>
      <c r="V296" t="s">
        <v>14</v>
      </c>
      <c r="W296" t="b">
        <v>1</v>
      </c>
      <c r="X296" t="s">
        <v>1699</v>
      </c>
      <c r="Y296" t="b">
        <v>0</v>
      </c>
      <c r="Z296" t="s">
        <v>2081</v>
      </c>
    </row>
    <row r="297" spans="1:26" x14ac:dyDescent="0.35">
      <c r="A297" t="s">
        <v>1700</v>
      </c>
      <c r="B297" t="s">
        <v>2821</v>
      </c>
      <c r="C297" t="s">
        <v>2019</v>
      </c>
      <c r="D297" t="s">
        <v>1963</v>
      </c>
      <c r="E297" t="s">
        <v>2020</v>
      </c>
      <c r="F297" t="s">
        <v>2021</v>
      </c>
      <c r="G297" t="s">
        <v>2022</v>
      </c>
      <c r="H297" t="s">
        <v>2023</v>
      </c>
      <c r="I297" t="s">
        <v>2084</v>
      </c>
      <c r="J297" t="s">
        <v>1963</v>
      </c>
      <c r="K297" t="s">
        <v>2822</v>
      </c>
      <c r="L297" t="s">
        <v>14</v>
      </c>
      <c r="M297" t="s">
        <v>2086</v>
      </c>
      <c r="N297" t="s">
        <v>2087</v>
      </c>
      <c r="O297" t="s">
        <v>2088</v>
      </c>
      <c r="P297" t="s">
        <v>2089</v>
      </c>
      <c r="Q297" t="s">
        <v>2077</v>
      </c>
      <c r="R297" t="s">
        <v>14</v>
      </c>
      <c r="S297" t="s">
        <v>14</v>
      </c>
      <c r="T297" t="s">
        <v>14</v>
      </c>
      <c r="U297" t="s">
        <v>2090</v>
      </c>
      <c r="V297" t="s">
        <v>14</v>
      </c>
      <c r="W297" t="b">
        <v>0</v>
      </c>
      <c r="X297" t="s">
        <v>1701</v>
      </c>
      <c r="Y297" t="b">
        <v>0</v>
      </c>
      <c r="Z297" t="s">
        <v>2081</v>
      </c>
    </row>
    <row r="298" spans="1:26" x14ac:dyDescent="0.35">
      <c r="A298" t="s">
        <v>1702</v>
      </c>
      <c r="B298" t="s">
        <v>2823</v>
      </c>
      <c r="C298" t="s">
        <v>2019</v>
      </c>
      <c r="D298" t="s">
        <v>1963</v>
      </c>
      <c r="E298" t="s">
        <v>2020</v>
      </c>
      <c r="F298" t="s">
        <v>2021</v>
      </c>
      <c r="G298" t="s">
        <v>2022</v>
      </c>
      <c r="H298" t="s">
        <v>2023</v>
      </c>
      <c r="I298" t="s">
        <v>2084</v>
      </c>
      <c r="J298" t="s">
        <v>1963</v>
      </c>
      <c r="K298" t="s">
        <v>2824</v>
      </c>
      <c r="L298" t="s">
        <v>14</v>
      </c>
      <c r="M298" t="s">
        <v>2086</v>
      </c>
      <c r="N298" t="s">
        <v>2087</v>
      </c>
      <c r="O298" t="s">
        <v>2088</v>
      </c>
      <c r="P298" t="s">
        <v>2089</v>
      </c>
      <c r="Q298" t="s">
        <v>2077</v>
      </c>
      <c r="R298" t="s">
        <v>14</v>
      </c>
      <c r="S298" t="s">
        <v>14</v>
      </c>
      <c r="T298" t="s">
        <v>14</v>
      </c>
      <c r="U298" t="s">
        <v>2090</v>
      </c>
      <c r="V298" t="s">
        <v>14</v>
      </c>
      <c r="W298" t="b">
        <v>0</v>
      </c>
      <c r="X298" t="s">
        <v>1703</v>
      </c>
      <c r="Y298" t="b">
        <v>0</v>
      </c>
      <c r="Z298" t="s">
        <v>2081</v>
      </c>
    </row>
    <row r="299" spans="1:26" x14ac:dyDescent="0.35">
      <c r="A299" t="s">
        <v>1704</v>
      </c>
      <c r="B299" t="s">
        <v>2825</v>
      </c>
      <c r="C299" t="s">
        <v>2019</v>
      </c>
      <c r="D299" t="s">
        <v>1963</v>
      </c>
      <c r="E299" t="s">
        <v>2020</v>
      </c>
      <c r="F299" t="s">
        <v>2021</v>
      </c>
      <c r="G299" t="s">
        <v>2022</v>
      </c>
      <c r="H299" t="s">
        <v>2023</v>
      </c>
      <c r="I299" t="s">
        <v>2097</v>
      </c>
      <c r="J299" t="s">
        <v>1963</v>
      </c>
      <c r="K299" t="s">
        <v>2826</v>
      </c>
      <c r="L299" t="s">
        <v>2046</v>
      </c>
      <c r="M299" t="s">
        <v>2099</v>
      </c>
      <c r="N299" t="s">
        <v>2100</v>
      </c>
      <c r="O299" t="s">
        <v>2101</v>
      </c>
      <c r="P299" t="s">
        <v>2102</v>
      </c>
      <c r="Q299" t="s">
        <v>2103</v>
      </c>
      <c r="R299" t="s">
        <v>14</v>
      </c>
      <c r="S299" t="s">
        <v>2101</v>
      </c>
      <c r="T299" t="s">
        <v>2102</v>
      </c>
      <c r="U299" t="s">
        <v>2052</v>
      </c>
      <c r="V299" t="s">
        <v>14</v>
      </c>
      <c r="W299" t="b">
        <v>1</v>
      </c>
      <c r="X299" t="s">
        <v>1705</v>
      </c>
      <c r="Y299" t="b">
        <v>0</v>
      </c>
      <c r="Z299" t="s">
        <v>2053</v>
      </c>
    </row>
    <row r="300" spans="1:26" x14ac:dyDescent="0.35">
      <c r="A300" t="s">
        <v>1704</v>
      </c>
      <c r="B300" t="s">
        <v>2825</v>
      </c>
      <c r="C300" t="s">
        <v>2019</v>
      </c>
      <c r="D300" t="s">
        <v>1963</v>
      </c>
      <c r="E300" t="s">
        <v>2020</v>
      </c>
      <c r="F300" t="s">
        <v>2021</v>
      </c>
      <c r="G300" t="s">
        <v>2022</v>
      </c>
      <c r="H300" t="s">
        <v>2023</v>
      </c>
      <c r="I300" t="s">
        <v>2827</v>
      </c>
      <c r="J300" t="s">
        <v>1963</v>
      </c>
      <c r="K300" t="s">
        <v>2826</v>
      </c>
      <c r="L300" t="s">
        <v>2046</v>
      </c>
      <c r="M300" t="s">
        <v>2828</v>
      </c>
      <c r="N300" t="s">
        <v>2829</v>
      </c>
      <c r="O300" t="s">
        <v>2047</v>
      </c>
      <c r="P300" t="s">
        <v>2048</v>
      </c>
      <c r="Q300" t="s">
        <v>2049</v>
      </c>
      <c r="R300" t="s">
        <v>14</v>
      </c>
      <c r="S300" t="s">
        <v>2050</v>
      </c>
      <c r="T300" t="s">
        <v>2051</v>
      </c>
      <c r="U300" t="s">
        <v>2052</v>
      </c>
      <c r="V300" t="s">
        <v>14</v>
      </c>
      <c r="W300" t="b">
        <v>1</v>
      </c>
      <c r="X300" t="s">
        <v>1705</v>
      </c>
      <c r="Y300" t="b">
        <v>0</v>
      </c>
      <c r="Z300" t="s">
        <v>2053</v>
      </c>
    </row>
    <row r="301" spans="1:26" x14ac:dyDescent="0.35">
      <c r="A301" t="s">
        <v>1706</v>
      </c>
      <c r="B301" t="s">
        <v>2830</v>
      </c>
      <c r="C301" t="s">
        <v>2182</v>
      </c>
      <c r="D301" t="s">
        <v>1963</v>
      </c>
      <c r="E301" t="s">
        <v>2020</v>
      </c>
      <c r="F301" t="s">
        <v>2021</v>
      </c>
      <c r="G301" t="s">
        <v>2022</v>
      </c>
      <c r="H301" t="s">
        <v>2023</v>
      </c>
      <c r="I301" t="s">
        <v>2611</v>
      </c>
      <c r="J301" t="s">
        <v>1963</v>
      </c>
      <c r="K301" t="s">
        <v>2831</v>
      </c>
      <c r="L301" t="s">
        <v>2046</v>
      </c>
      <c r="M301" t="s">
        <v>2603</v>
      </c>
      <c r="N301" t="s">
        <v>2604</v>
      </c>
      <c r="O301" t="s">
        <v>2047</v>
      </c>
      <c r="P301" t="s">
        <v>2048</v>
      </c>
      <c r="Q301" t="s">
        <v>2049</v>
      </c>
      <c r="R301" t="s">
        <v>14</v>
      </c>
      <c r="S301" t="s">
        <v>2613</v>
      </c>
      <c r="T301" t="s">
        <v>2614</v>
      </c>
      <c r="U301" t="s">
        <v>2052</v>
      </c>
      <c r="V301" t="s">
        <v>14</v>
      </c>
      <c r="W301" t="b">
        <v>1</v>
      </c>
      <c r="X301" t="s">
        <v>1707</v>
      </c>
      <c r="Y301" t="b">
        <v>0</v>
      </c>
      <c r="Z301" t="s">
        <v>2053</v>
      </c>
    </row>
    <row r="302" spans="1:26" x14ac:dyDescent="0.35">
      <c r="A302" t="s">
        <v>1708</v>
      </c>
      <c r="B302" t="s">
        <v>2832</v>
      </c>
      <c r="C302" t="s">
        <v>2182</v>
      </c>
      <c r="D302" t="s">
        <v>1963</v>
      </c>
      <c r="E302" t="s">
        <v>2020</v>
      </c>
      <c r="F302" t="s">
        <v>2021</v>
      </c>
      <c r="G302" t="s">
        <v>2022</v>
      </c>
      <c r="H302" t="s">
        <v>2023</v>
      </c>
      <c r="I302" t="s">
        <v>2116</v>
      </c>
      <c r="J302" t="s">
        <v>1963</v>
      </c>
      <c r="K302" t="s">
        <v>2833</v>
      </c>
      <c r="L302" t="s">
        <v>2025</v>
      </c>
      <c r="M302" t="s">
        <v>2047</v>
      </c>
      <c r="N302" t="s">
        <v>2048</v>
      </c>
      <c r="O302" t="s">
        <v>2047</v>
      </c>
      <c r="P302" t="s">
        <v>2048</v>
      </c>
      <c r="Q302" t="s">
        <v>14</v>
      </c>
      <c r="R302" t="s">
        <v>14</v>
      </c>
      <c r="S302" t="s">
        <v>14</v>
      </c>
      <c r="T302" t="s">
        <v>14</v>
      </c>
      <c r="U302" t="s">
        <v>2052</v>
      </c>
      <c r="V302" t="s">
        <v>14</v>
      </c>
      <c r="W302" t="b">
        <v>1</v>
      </c>
      <c r="X302" t="s">
        <v>1709</v>
      </c>
      <c r="Y302" t="b">
        <v>0</v>
      </c>
      <c r="Z302" t="s">
        <v>2081</v>
      </c>
    </row>
    <row r="303" spans="1:26" x14ac:dyDescent="0.35">
      <c r="A303" t="s">
        <v>1710</v>
      </c>
      <c r="B303" t="s">
        <v>2834</v>
      </c>
      <c r="C303" t="s">
        <v>2182</v>
      </c>
      <c r="D303" t="s">
        <v>1963</v>
      </c>
      <c r="E303" t="s">
        <v>2020</v>
      </c>
      <c r="F303" t="s">
        <v>2055</v>
      </c>
      <c r="G303" t="s">
        <v>2056</v>
      </c>
      <c r="H303" t="s">
        <v>2023</v>
      </c>
      <c r="I303" t="s">
        <v>1426</v>
      </c>
      <c r="J303" t="s">
        <v>1963</v>
      </c>
      <c r="K303" t="s">
        <v>2835</v>
      </c>
      <c r="L303" t="s">
        <v>2025</v>
      </c>
      <c r="M303" t="s">
        <v>2058</v>
      </c>
      <c r="N303" t="s">
        <v>2059</v>
      </c>
      <c r="O303" t="s">
        <v>2060</v>
      </c>
      <c r="P303" t="s">
        <v>2061</v>
      </c>
      <c r="Q303" t="s">
        <v>2062</v>
      </c>
      <c r="R303" t="s">
        <v>14</v>
      </c>
      <c r="S303" t="s">
        <v>2063</v>
      </c>
      <c r="T303" t="s">
        <v>2064</v>
      </c>
      <c r="U303" t="s">
        <v>2052</v>
      </c>
      <c r="V303" t="s">
        <v>14</v>
      </c>
      <c r="W303" t="b">
        <v>1</v>
      </c>
      <c r="X303" t="s">
        <v>1711</v>
      </c>
      <c r="Y303" t="b">
        <v>0</v>
      </c>
      <c r="Z303" t="s">
        <v>2053</v>
      </c>
    </row>
    <row r="304" spans="1:26" x14ac:dyDescent="0.35">
      <c r="A304" t="s">
        <v>1712</v>
      </c>
      <c r="B304" t="s">
        <v>2836</v>
      </c>
      <c r="C304" t="s">
        <v>2182</v>
      </c>
      <c r="D304" t="s">
        <v>1963</v>
      </c>
      <c r="E304" t="s">
        <v>2020</v>
      </c>
      <c r="F304" t="s">
        <v>2055</v>
      </c>
      <c r="G304" t="s">
        <v>2056</v>
      </c>
      <c r="H304" t="s">
        <v>2023</v>
      </c>
      <c r="I304" t="s">
        <v>2084</v>
      </c>
      <c r="J304" t="s">
        <v>1963</v>
      </c>
      <c r="K304" t="s">
        <v>2837</v>
      </c>
      <c r="L304" t="s">
        <v>2025</v>
      </c>
      <c r="M304" t="s">
        <v>2086</v>
      </c>
      <c r="N304" t="s">
        <v>2087</v>
      </c>
      <c r="O304" t="s">
        <v>2088</v>
      </c>
      <c r="P304" t="s">
        <v>2089</v>
      </c>
      <c r="Q304" t="s">
        <v>2077</v>
      </c>
      <c r="R304" t="s">
        <v>14</v>
      </c>
      <c r="S304" t="s">
        <v>14</v>
      </c>
      <c r="T304" t="s">
        <v>14</v>
      </c>
      <c r="U304" t="s">
        <v>2090</v>
      </c>
      <c r="V304" t="s">
        <v>14</v>
      </c>
      <c r="W304" t="b">
        <v>0</v>
      </c>
      <c r="X304" t="s">
        <v>1713</v>
      </c>
      <c r="Y304" t="b">
        <v>0</v>
      </c>
      <c r="Z304" t="s">
        <v>2081</v>
      </c>
    </row>
    <row r="305" spans="1:26" x14ac:dyDescent="0.35">
      <c r="A305" t="s">
        <v>1714</v>
      </c>
      <c r="B305" t="s">
        <v>2838</v>
      </c>
      <c r="C305" t="s">
        <v>2182</v>
      </c>
      <c r="D305" t="s">
        <v>1963</v>
      </c>
      <c r="E305" t="s">
        <v>2020</v>
      </c>
      <c r="F305" t="s">
        <v>2055</v>
      </c>
      <c r="G305" t="s">
        <v>2056</v>
      </c>
      <c r="H305" t="s">
        <v>2023</v>
      </c>
      <c r="I305" t="s">
        <v>2084</v>
      </c>
      <c r="J305" t="s">
        <v>1963</v>
      </c>
      <c r="K305" t="s">
        <v>2839</v>
      </c>
      <c r="L305" t="s">
        <v>2025</v>
      </c>
      <c r="M305" t="s">
        <v>2086</v>
      </c>
      <c r="N305" t="s">
        <v>2087</v>
      </c>
      <c r="O305" t="s">
        <v>2088</v>
      </c>
      <c r="P305" t="s">
        <v>2089</v>
      </c>
      <c r="Q305" t="s">
        <v>2077</v>
      </c>
      <c r="R305" t="s">
        <v>14</v>
      </c>
      <c r="S305" t="s">
        <v>14</v>
      </c>
      <c r="T305" t="s">
        <v>14</v>
      </c>
      <c r="U305" t="s">
        <v>2090</v>
      </c>
      <c r="V305" t="s">
        <v>14</v>
      </c>
      <c r="W305" t="b">
        <v>0</v>
      </c>
      <c r="X305" t="s">
        <v>1715</v>
      </c>
      <c r="Y305" t="b">
        <v>0</v>
      </c>
      <c r="Z305" t="s">
        <v>2081</v>
      </c>
    </row>
    <row r="306" spans="1:26" x14ac:dyDescent="0.35">
      <c r="A306" t="s">
        <v>1716</v>
      </c>
      <c r="B306" t="s">
        <v>2840</v>
      </c>
      <c r="C306" t="s">
        <v>2182</v>
      </c>
      <c r="D306" t="s">
        <v>1963</v>
      </c>
      <c r="E306" t="s">
        <v>2020</v>
      </c>
      <c r="F306" t="s">
        <v>2055</v>
      </c>
      <c r="G306" t="s">
        <v>2056</v>
      </c>
      <c r="H306" t="s">
        <v>2023</v>
      </c>
      <c r="I306" t="s">
        <v>175</v>
      </c>
      <c r="J306" t="s">
        <v>1963</v>
      </c>
      <c r="K306" t="s">
        <v>2841</v>
      </c>
      <c r="L306" t="s">
        <v>2025</v>
      </c>
      <c r="M306" t="s">
        <v>2842</v>
      </c>
      <c r="N306" t="s">
        <v>2843</v>
      </c>
      <c r="O306" t="s">
        <v>2362</v>
      </c>
      <c r="P306" t="s">
        <v>2363</v>
      </c>
      <c r="Q306" t="s">
        <v>2844</v>
      </c>
      <c r="R306" t="s">
        <v>14</v>
      </c>
      <c r="S306" t="s">
        <v>2845</v>
      </c>
      <c r="T306" t="s">
        <v>2846</v>
      </c>
      <c r="U306" t="s">
        <v>2171</v>
      </c>
      <c r="V306" t="s">
        <v>14</v>
      </c>
      <c r="W306" t="b">
        <v>1</v>
      </c>
      <c r="X306" t="s">
        <v>1717</v>
      </c>
      <c r="Y306" t="b">
        <v>0</v>
      </c>
      <c r="Z306" t="s">
        <v>2053</v>
      </c>
    </row>
    <row r="307" spans="1:26" x14ac:dyDescent="0.35">
      <c r="A307" t="s">
        <v>1718</v>
      </c>
      <c r="B307" t="s">
        <v>2847</v>
      </c>
      <c r="C307" t="s">
        <v>2182</v>
      </c>
      <c r="D307" t="s">
        <v>1963</v>
      </c>
      <c r="E307" t="s">
        <v>2020</v>
      </c>
      <c r="F307" t="s">
        <v>2055</v>
      </c>
      <c r="G307" t="s">
        <v>2056</v>
      </c>
      <c r="H307" t="s">
        <v>2023</v>
      </c>
      <c r="I307" t="s">
        <v>1426</v>
      </c>
      <c r="J307" t="s">
        <v>1963</v>
      </c>
      <c r="K307" t="s">
        <v>2848</v>
      </c>
      <c r="L307" t="s">
        <v>2025</v>
      </c>
      <c r="M307" t="s">
        <v>2058</v>
      </c>
      <c r="N307" t="s">
        <v>2059</v>
      </c>
      <c r="O307" t="s">
        <v>2060</v>
      </c>
      <c r="P307" t="s">
        <v>2061</v>
      </c>
      <c r="Q307" t="s">
        <v>2062</v>
      </c>
      <c r="R307" t="s">
        <v>14</v>
      </c>
      <c r="S307" t="s">
        <v>2063</v>
      </c>
      <c r="T307" t="s">
        <v>2064</v>
      </c>
      <c r="U307" t="s">
        <v>2052</v>
      </c>
      <c r="V307" t="s">
        <v>14</v>
      </c>
      <c r="W307" t="b">
        <v>1</v>
      </c>
      <c r="X307" t="s">
        <v>1719</v>
      </c>
      <c r="Y307" t="b">
        <v>0</v>
      </c>
      <c r="Z307" t="s">
        <v>2053</v>
      </c>
    </row>
    <row r="308" spans="1:26" x14ac:dyDescent="0.35">
      <c r="A308" t="s">
        <v>1720</v>
      </c>
      <c r="B308" t="s">
        <v>2849</v>
      </c>
      <c r="C308" t="s">
        <v>2182</v>
      </c>
      <c r="D308" t="s">
        <v>1963</v>
      </c>
      <c r="E308" t="s">
        <v>2020</v>
      </c>
      <c r="F308" t="s">
        <v>2055</v>
      </c>
      <c r="G308" t="s">
        <v>2056</v>
      </c>
      <c r="H308" t="s">
        <v>2023</v>
      </c>
      <c r="I308" t="s">
        <v>1426</v>
      </c>
      <c r="J308" t="s">
        <v>1963</v>
      </c>
      <c r="K308" t="s">
        <v>2850</v>
      </c>
      <c r="L308" t="s">
        <v>2025</v>
      </c>
      <c r="M308" t="s">
        <v>2058</v>
      </c>
      <c r="N308" t="s">
        <v>2059</v>
      </c>
      <c r="O308" t="s">
        <v>2060</v>
      </c>
      <c r="P308" t="s">
        <v>2061</v>
      </c>
      <c r="Q308" t="s">
        <v>2062</v>
      </c>
      <c r="R308" t="s">
        <v>14</v>
      </c>
      <c r="S308" t="s">
        <v>2063</v>
      </c>
      <c r="T308" t="s">
        <v>2064</v>
      </c>
      <c r="U308" t="s">
        <v>2052</v>
      </c>
      <c r="V308" t="s">
        <v>14</v>
      </c>
      <c r="W308" t="b">
        <v>1</v>
      </c>
      <c r="X308" t="s">
        <v>1721</v>
      </c>
      <c r="Y308" t="b">
        <v>0</v>
      </c>
      <c r="Z308" t="s">
        <v>2053</v>
      </c>
    </row>
    <row r="309" spans="1:26" x14ac:dyDescent="0.35">
      <c r="A309" t="s">
        <v>1722</v>
      </c>
      <c r="B309" t="s">
        <v>2851</v>
      </c>
      <c r="C309" t="s">
        <v>2182</v>
      </c>
      <c r="D309" t="s">
        <v>1963</v>
      </c>
      <c r="E309" t="s">
        <v>2020</v>
      </c>
      <c r="F309" t="s">
        <v>2055</v>
      </c>
      <c r="G309" t="s">
        <v>2056</v>
      </c>
      <c r="H309" t="s">
        <v>2023</v>
      </c>
      <c r="I309" t="s">
        <v>1426</v>
      </c>
      <c r="J309" t="s">
        <v>1963</v>
      </c>
      <c r="K309" t="s">
        <v>2852</v>
      </c>
      <c r="L309" t="s">
        <v>14</v>
      </c>
      <c r="M309" t="s">
        <v>2058</v>
      </c>
      <c r="N309" t="s">
        <v>2059</v>
      </c>
      <c r="O309" t="s">
        <v>2060</v>
      </c>
      <c r="P309" t="s">
        <v>2061</v>
      </c>
      <c r="Q309" t="s">
        <v>2062</v>
      </c>
      <c r="R309" t="s">
        <v>14</v>
      </c>
      <c r="S309" t="s">
        <v>2063</v>
      </c>
      <c r="T309" t="s">
        <v>2064</v>
      </c>
      <c r="U309" t="s">
        <v>2052</v>
      </c>
      <c r="V309" t="s">
        <v>14</v>
      </c>
      <c r="W309" t="b">
        <v>1</v>
      </c>
      <c r="X309" t="s">
        <v>1723</v>
      </c>
      <c r="Y309" t="b">
        <v>0</v>
      </c>
      <c r="Z309" t="s">
        <v>2053</v>
      </c>
    </row>
    <row r="310" spans="1:26" x14ac:dyDescent="0.35">
      <c r="A310" t="s">
        <v>1724</v>
      </c>
      <c r="B310" t="s">
        <v>2853</v>
      </c>
      <c r="C310" t="s">
        <v>2182</v>
      </c>
      <c r="D310" t="s">
        <v>1963</v>
      </c>
      <c r="E310" t="s">
        <v>2020</v>
      </c>
      <c r="F310" t="s">
        <v>2021</v>
      </c>
      <c r="G310" t="s">
        <v>2022</v>
      </c>
      <c r="H310" t="s">
        <v>2023</v>
      </c>
      <c r="I310" t="s">
        <v>2854</v>
      </c>
      <c r="J310" t="s">
        <v>1963</v>
      </c>
      <c r="K310" t="s">
        <v>2855</v>
      </c>
      <c r="L310" t="s">
        <v>14</v>
      </c>
      <c r="M310" t="s">
        <v>2856</v>
      </c>
      <c r="N310" t="s">
        <v>2857</v>
      </c>
      <c r="O310" t="s">
        <v>2187</v>
      </c>
      <c r="P310" t="s">
        <v>2188</v>
      </c>
      <c r="Q310" t="s">
        <v>2049</v>
      </c>
      <c r="R310" t="s">
        <v>14</v>
      </c>
      <c r="S310" t="s">
        <v>2189</v>
      </c>
      <c r="T310" t="s">
        <v>2190</v>
      </c>
      <c r="U310" t="s">
        <v>2052</v>
      </c>
      <c r="V310" t="s">
        <v>14</v>
      </c>
      <c r="W310" t="b">
        <v>1</v>
      </c>
      <c r="X310" t="s">
        <v>1725</v>
      </c>
      <c r="Y310" t="b">
        <v>0</v>
      </c>
      <c r="Z310" t="s">
        <v>2053</v>
      </c>
    </row>
    <row r="311" spans="1:26" x14ac:dyDescent="0.35">
      <c r="A311" t="s">
        <v>1726</v>
      </c>
      <c r="B311" t="s">
        <v>2858</v>
      </c>
      <c r="C311" t="s">
        <v>2182</v>
      </c>
      <c r="D311" t="s">
        <v>1963</v>
      </c>
      <c r="E311" t="s">
        <v>2020</v>
      </c>
      <c r="F311" t="s">
        <v>2055</v>
      </c>
      <c r="G311" t="s">
        <v>2056</v>
      </c>
      <c r="H311" t="s">
        <v>2023</v>
      </c>
      <c r="I311" t="s">
        <v>2118</v>
      </c>
      <c r="J311" t="s">
        <v>1963</v>
      </c>
      <c r="K311" t="s">
        <v>2859</v>
      </c>
      <c r="L311" t="s">
        <v>2046</v>
      </c>
      <c r="M311" t="s">
        <v>2120</v>
      </c>
      <c r="N311" t="s">
        <v>2121</v>
      </c>
      <c r="O311" t="s">
        <v>2060</v>
      </c>
      <c r="P311" t="s">
        <v>2061</v>
      </c>
      <c r="Q311" t="s">
        <v>2122</v>
      </c>
      <c r="R311" t="s">
        <v>14</v>
      </c>
      <c r="S311" t="s">
        <v>2123</v>
      </c>
      <c r="T311" t="s">
        <v>2124</v>
      </c>
      <c r="U311" t="s">
        <v>2052</v>
      </c>
      <c r="V311" t="s">
        <v>14</v>
      </c>
      <c r="W311" t="b">
        <v>1</v>
      </c>
      <c r="X311" t="s">
        <v>1727</v>
      </c>
      <c r="Y311" t="b">
        <v>0</v>
      </c>
      <c r="Z311" t="s">
        <v>2053</v>
      </c>
    </row>
    <row r="312" spans="1:26" x14ac:dyDescent="0.35">
      <c r="A312" t="s">
        <v>1726</v>
      </c>
      <c r="B312" t="s">
        <v>2858</v>
      </c>
      <c r="C312" t="s">
        <v>2182</v>
      </c>
      <c r="D312" t="s">
        <v>1963</v>
      </c>
      <c r="E312" t="s">
        <v>2020</v>
      </c>
      <c r="F312" t="s">
        <v>2055</v>
      </c>
      <c r="G312" t="s">
        <v>2056</v>
      </c>
      <c r="H312" t="s">
        <v>2023</v>
      </c>
      <c r="I312" t="s">
        <v>1764</v>
      </c>
      <c r="J312" t="s">
        <v>1963</v>
      </c>
      <c r="K312" t="s">
        <v>2859</v>
      </c>
      <c r="L312" t="s">
        <v>2046</v>
      </c>
      <c r="M312" t="s">
        <v>2120</v>
      </c>
      <c r="N312" t="s">
        <v>2121</v>
      </c>
      <c r="O312" t="s">
        <v>2060</v>
      </c>
      <c r="P312" t="s">
        <v>2061</v>
      </c>
      <c r="Q312" t="s">
        <v>2122</v>
      </c>
      <c r="R312" t="s">
        <v>14</v>
      </c>
      <c r="S312" t="s">
        <v>2125</v>
      </c>
      <c r="T312" t="s">
        <v>2126</v>
      </c>
      <c r="U312" t="s">
        <v>2052</v>
      </c>
      <c r="V312" t="s">
        <v>14</v>
      </c>
      <c r="W312" t="b">
        <v>1</v>
      </c>
      <c r="X312" t="s">
        <v>1727</v>
      </c>
      <c r="Y312" t="b">
        <v>0</v>
      </c>
      <c r="Z312" t="s">
        <v>2032</v>
      </c>
    </row>
    <row r="313" spans="1:26" x14ac:dyDescent="0.35">
      <c r="A313" t="s">
        <v>1728</v>
      </c>
      <c r="B313" t="s">
        <v>2860</v>
      </c>
      <c r="C313" t="s">
        <v>2182</v>
      </c>
      <c r="D313" t="s">
        <v>1963</v>
      </c>
      <c r="E313" t="s">
        <v>2020</v>
      </c>
      <c r="F313" t="s">
        <v>2055</v>
      </c>
      <c r="G313" t="s">
        <v>2056</v>
      </c>
      <c r="H313" t="s">
        <v>2023</v>
      </c>
      <c r="I313" t="s">
        <v>2118</v>
      </c>
      <c r="J313" t="s">
        <v>1963</v>
      </c>
      <c r="K313" t="s">
        <v>2861</v>
      </c>
      <c r="L313" t="s">
        <v>2046</v>
      </c>
      <c r="M313" t="s">
        <v>2120</v>
      </c>
      <c r="N313" t="s">
        <v>2121</v>
      </c>
      <c r="O313" t="s">
        <v>2060</v>
      </c>
      <c r="P313" t="s">
        <v>2061</v>
      </c>
      <c r="Q313" t="s">
        <v>2122</v>
      </c>
      <c r="R313" t="s">
        <v>14</v>
      </c>
      <c r="S313" t="s">
        <v>2123</v>
      </c>
      <c r="T313" t="s">
        <v>2124</v>
      </c>
      <c r="U313" t="s">
        <v>2052</v>
      </c>
      <c r="V313" t="s">
        <v>14</v>
      </c>
      <c r="W313" t="b">
        <v>1</v>
      </c>
      <c r="X313" t="s">
        <v>1729</v>
      </c>
      <c r="Y313" t="b">
        <v>0</v>
      </c>
      <c r="Z313" t="s">
        <v>2053</v>
      </c>
    </row>
    <row r="314" spans="1:26" x14ac:dyDescent="0.35">
      <c r="A314" t="s">
        <v>1728</v>
      </c>
      <c r="B314" t="s">
        <v>2860</v>
      </c>
      <c r="C314" t="s">
        <v>2182</v>
      </c>
      <c r="D314" t="s">
        <v>1963</v>
      </c>
      <c r="E314" t="s">
        <v>2020</v>
      </c>
      <c r="F314" t="s">
        <v>2055</v>
      </c>
      <c r="G314" t="s">
        <v>2056</v>
      </c>
      <c r="H314" t="s">
        <v>2023</v>
      </c>
      <c r="I314" t="s">
        <v>1764</v>
      </c>
      <c r="J314" t="s">
        <v>1963</v>
      </c>
      <c r="K314" t="s">
        <v>2861</v>
      </c>
      <c r="L314" t="s">
        <v>2046</v>
      </c>
      <c r="M314" t="s">
        <v>2120</v>
      </c>
      <c r="N314" t="s">
        <v>2121</v>
      </c>
      <c r="O314" t="s">
        <v>2060</v>
      </c>
      <c r="P314" t="s">
        <v>2061</v>
      </c>
      <c r="Q314" t="s">
        <v>2122</v>
      </c>
      <c r="R314" t="s">
        <v>14</v>
      </c>
      <c r="S314" t="s">
        <v>2125</v>
      </c>
      <c r="T314" t="s">
        <v>2126</v>
      </c>
      <c r="U314" t="s">
        <v>2052</v>
      </c>
      <c r="V314" t="s">
        <v>14</v>
      </c>
      <c r="W314" t="b">
        <v>1</v>
      </c>
      <c r="X314" t="s">
        <v>1729</v>
      </c>
      <c r="Y314" t="b">
        <v>0</v>
      </c>
      <c r="Z314" t="s">
        <v>2032</v>
      </c>
    </row>
    <row r="315" spans="1:26" x14ac:dyDescent="0.35">
      <c r="A315" t="s">
        <v>1730</v>
      </c>
      <c r="B315" t="s">
        <v>2862</v>
      </c>
      <c r="C315" t="s">
        <v>2182</v>
      </c>
      <c r="D315" t="s">
        <v>1963</v>
      </c>
      <c r="E315" t="s">
        <v>2020</v>
      </c>
      <c r="F315" t="s">
        <v>2055</v>
      </c>
      <c r="G315" t="s">
        <v>2056</v>
      </c>
      <c r="H315" t="s">
        <v>2023</v>
      </c>
      <c r="I315" t="s">
        <v>1507</v>
      </c>
      <c r="J315" t="s">
        <v>1963</v>
      </c>
      <c r="K315" t="s">
        <v>2863</v>
      </c>
      <c r="L315" t="s">
        <v>2025</v>
      </c>
      <c r="M315" t="s">
        <v>2099</v>
      </c>
      <c r="N315" t="s">
        <v>2100</v>
      </c>
      <c r="O315" t="s">
        <v>2214</v>
      </c>
      <c r="P315" t="s">
        <v>2215</v>
      </c>
      <c r="Q315" t="s">
        <v>2103</v>
      </c>
      <c r="R315" t="s">
        <v>14</v>
      </c>
      <c r="S315" t="s">
        <v>2101</v>
      </c>
      <c r="T315" t="s">
        <v>2102</v>
      </c>
      <c r="U315" t="s">
        <v>2052</v>
      </c>
      <c r="V315" t="s">
        <v>14</v>
      </c>
      <c r="W315" t="b">
        <v>1</v>
      </c>
      <c r="X315" t="s">
        <v>1731</v>
      </c>
      <c r="Y315" t="b">
        <v>0</v>
      </c>
      <c r="Z315" t="s">
        <v>2053</v>
      </c>
    </row>
    <row r="316" spans="1:26" x14ac:dyDescent="0.35">
      <c r="A316" t="s">
        <v>1730</v>
      </c>
      <c r="B316" t="s">
        <v>2862</v>
      </c>
      <c r="C316" t="s">
        <v>2182</v>
      </c>
      <c r="D316" t="s">
        <v>1963</v>
      </c>
      <c r="E316" t="s">
        <v>2020</v>
      </c>
      <c r="F316" t="s">
        <v>2055</v>
      </c>
      <c r="G316" t="s">
        <v>2056</v>
      </c>
      <c r="H316" t="s">
        <v>2023</v>
      </c>
      <c r="I316" t="s">
        <v>2864</v>
      </c>
      <c r="J316" t="s">
        <v>1963</v>
      </c>
      <c r="K316" t="s">
        <v>2863</v>
      </c>
      <c r="L316" t="s">
        <v>2025</v>
      </c>
      <c r="M316" t="s">
        <v>2099</v>
      </c>
      <c r="N316" t="s">
        <v>2100</v>
      </c>
      <c r="O316" t="s">
        <v>2101</v>
      </c>
      <c r="P316" t="s">
        <v>2102</v>
      </c>
      <c r="Q316" t="s">
        <v>2103</v>
      </c>
      <c r="R316" t="s">
        <v>14</v>
      </c>
      <c r="S316" t="s">
        <v>2101</v>
      </c>
      <c r="T316" t="s">
        <v>2102</v>
      </c>
      <c r="U316" t="s">
        <v>2052</v>
      </c>
      <c r="V316" t="s">
        <v>14</v>
      </c>
      <c r="W316" t="b">
        <v>1</v>
      </c>
      <c r="X316" t="s">
        <v>1731</v>
      </c>
      <c r="Y316" t="b">
        <v>0</v>
      </c>
      <c r="Z316" t="s">
        <v>2053</v>
      </c>
    </row>
    <row r="317" spans="1:26" x14ac:dyDescent="0.35">
      <c r="A317" t="s">
        <v>1732</v>
      </c>
      <c r="B317" t="s">
        <v>2865</v>
      </c>
      <c r="C317" t="s">
        <v>2182</v>
      </c>
      <c r="D317" t="s">
        <v>1963</v>
      </c>
      <c r="E317" t="s">
        <v>2020</v>
      </c>
      <c r="F317" t="s">
        <v>2055</v>
      </c>
      <c r="G317" t="s">
        <v>2056</v>
      </c>
      <c r="H317" t="s">
        <v>2023</v>
      </c>
      <c r="I317" t="s">
        <v>2866</v>
      </c>
      <c r="J317" t="s">
        <v>1963</v>
      </c>
      <c r="K317" t="s">
        <v>2867</v>
      </c>
      <c r="L317" t="s">
        <v>2046</v>
      </c>
      <c r="M317" t="s">
        <v>2868</v>
      </c>
      <c r="N317" t="s">
        <v>2869</v>
      </c>
      <c r="O317" t="s">
        <v>2187</v>
      </c>
      <c r="P317" t="s">
        <v>2188</v>
      </c>
      <c r="Q317" t="s">
        <v>2049</v>
      </c>
      <c r="R317" t="s">
        <v>14</v>
      </c>
      <c r="S317" t="s">
        <v>2189</v>
      </c>
      <c r="T317" t="s">
        <v>2190</v>
      </c>
      <c r="U317" t="s">
        <v>2052</v>
      </c>
      <c r="V317" t="s">
        <v>14</v>
      </c>
      <c r="W317" t="b">
        <v>1</v>
      </c>
      <c r="X317" t="s">
        <v>1733</v>
      </c>
      <c r="Y317" t="b">
        <v>0</v>
      </c>
      <c r="Z317" t="s">
        <v>2053</v>
      </c>
    </row>
    <row r="318" spans="1:26" x14ac:dyDescent="0.35">
      <c r="A318" t="s">
        <v>1732</v>
      </c>
      <c r="B318" t="s">
        <v>2865</v>
      </c>
      <c r="C318" t="s">
        <v>2182</v>
      </c>
      <c r="D318" t="s">
        <v>1963</v>
      </c>
      <c r="E318" t="s">
        <v>2020</v>
      </c>
      <c r="F318" t="s">
        <v>2055</v>
      </c>
      <c r="G318" t="s">
        <v>2056</v>
      </c>
      <c r="H318" t="s">
        <v>2023</v>
      </c>
      <c r="I318" t="s">
        <v>2870</v>
      </c>
      <c r="J318" t="s">
        <v>1963</v>
      </c>
      <c r="K318" t="s">
        <v>2867</v>
      </c>
      <c r="L318" t="s">
        <v>2046</v>
      </c>
      <c r="M318" t="s">
        <v>2871</v>
      </c>
      <c r="N318" t="s">
        <v>2872</v>
      </c>
      <c r="O318" t="s">
        <v>2187</v>
      </c>
      <c r="P318" t="s">
        <v>2188</v>
      </c>
      <c r="Q318" t="s">
        <v>2049</v>
      </c>
      <c r="R318" t="s">
        <v>14</v>
      </c>
      <c r="S318" t="s">
        <v>2189</v>
      </c>
      <c r="T318" t="s">
        <v>2190</v>
      </c>
      <c r="U318" t="s">
        <v>2052</v>
      </c>
      <c r="V318" t="s">
        <v>14</v>
      </c>
      <c r="W318" t="b">
        <v>1</v>
      </c>
      <c r="X318" t="s">
        <v>1733</v>
      </c>
      <c r="Y318" t="b">
        <v>0</v>
      </c>
      <c r="Z318" t="s">
        <v>2053</v>
      </c>
    </row>
    <row r="319" spans="1:26" x14ac:dyDescent="0.35">
      <c r="A319" t="s">
        <v>2873</v>
      </c>
      <c r="B319" t="s">
        <v>2874</v>
      </c>
      <c r="C319" t="s">
        <v>2182</v>
      </c>
      <c r="D319" t="s">
        <v>1963</v>
      </c>
      <c r="E319" t="s">
        <v>2020</v>
      </c>
      <c r="F319" t="s">
        <v>2055</v>
      </c>
      <c r="G319" t="s">
        <v>2056</v>
      </c>
      <c r="H319" t="s">
        <v>2023</v>
      </c>
      <c r="I319" t="s">
        <v>1426</v>
      </c>
      <c r="J319" t="s">
        <v>1963</v>
      </c>
      <c r="K319" t="s">
        <v>2875</v>
      </c>
      <c r="L319" t="s">
        <v>2046</v>
      </c>
      <c r="M319" t="s">
        <v>2058</v>
      </c>
      <c r="N319" t="s">
        <v>2059</v>
      </c>
      <c r="O319" t="s">
        <v>2060</v>
      </c>
      <c r="P319" t="s">
        <v>2061</v>
      </c>
      <c r="Q319" t="s">
        <v>2062</v>
      </c>
      <c r="R319" t="s">
        <v>14</v>
      </c>
      <c r="S319" t="s">
        <v>2063</v>
      </c>
      <c r="T319" t="s">
        <v>2064</v>
      </c>
      <c r="U319" t="s">
        <v>2052</v>
      </c>
      <c r="V319" t="s">
        <v>14</v>
      </c>
      <c r="W319" t="b">
        <v>1</v>
      </c>
      <c r="X319" t="s">
        <v>2876</v>
      </c>
      <c r="Y319" t="b">
        <v>0</v>
      </c>
      <c r="Z319" t="s">
        <v>2053</v>
      </c>
    </row>
    <row r="320" spans="1:26" x14ac:dyDescent="0.35">
      <c r="A320" t="s">
        <v>2877</v>
      </c>
      <c r="B320" t="s">
        <v>2878</v>
      </c>
      <c r="C320" t="s">
        <v>2182</v>
      </c>
      <c r="D320" t="s">
        <v>1963</v>
      </c>
      <c r="E320" t="s">
        <v>2020</v>
      </c>
      <c r="F320" t="s">
        <v>2055</v>
      </c>
      <c r="G320" t="s">
        <v>2056</v>
      </c>
      <c r="H320" t="s">
        <v>2023</v>
      </c>
      <c r="I320" t="s">
        <v>1426</v>
      </c>
      <c r="J320" t="s">
        <v>1963</v>
      </c>
      <c r="K320" t="s">
        <v>2879</v>
      </c>
      <c r="L320" t="s">
        <v>2046</v>
      </c>
      <c r="M320" t="s">
        <v>2058</v>
      </c>
      <c r="N320" t="s">
        <v>2059</v>
      </c>
      <c r="O320" t="s">
        <v>2060</v>
      </c>
      <c r="P320" t="s">
        <v>2061</v>
      </c>
      <c r="Q320" t="s">
        <v>2062</v>
      </c>
      <c r="R320" t="s">
        <v>14</v>
      </c>
      <c r="S320" t="s">
        <v>2063</v>
      </c>
      <c r="T320" t="s">
        <v>2064</v>
      </c>
      <c r="U320" t="s">
        <v>2052</v>
      </c>
      <c r="V320" t="s">
        <v>14</v>
      </c>
      <c r="W320" t="b">
        <v>1</v>
      </c>
      <c r="X320" t="s">
        <v>2880</v>
      </c>
      <c r="Y320" t="b">
        <v>0</v>
      </c>
      <c r="Z320" t="s">
        <v>2053</v>
      </c>
    </row>
    <row r="321" spans="1:26" x14ac:dyDescent="0.35">
      <c r="A321" t="s">
        <v>2881</v>
      </c>
      <c r="B321" t="s">
        <v>2882</v>
      </c>
      <c r="C321" t="s">
        <v>2182</v>
      </c>
      <c r="D321" t="s">
        <v>1963</v>
      </c>
      <c r="E321" t="s">
        <v>2020</v>
      </c>
      <c r="F321" t="s">
        <v>2055</v>
      </c>
      <c r="G321" t="s">
        <v>2056</v>
      </c>
      <c r="H321" t="s">
        <v>2023</v>
      </c>
      <c r="I321" t="s">
        <v>1426</v>
      </c>
      <c r="J321" t="s">
        <v>1963</v>
      </c>
      <c r="K321" t="s">
        <v>2883</v>
      </c>
      <c r="L321" t="s">
        <v>2046</v>
      </c>
      <c r="M321" t="s">
        <v>2058</v>
      </c>
      <c r="N321" t="s">
        <v>2059</v>
      </c>
      <c r="O321" t="s">
        <v>2060</v>
      </c>
      <c r="P321" t="s">
        <v>2061</v>
      </c>
      <c r="Q321" t="s">
        <v>2062</v>
      </c>
      <c r="R321" t="s">
        <v>14</v>
      </c>
      <c r="S321" t="s">
        <v>2063</v>
      </c>
      <c r="T321" t="s">
        <v>2064</v>
      </c>
      <c r="U321" t="s">
        <v>2052</v>
      </c>
      <c r="V321" t="s">
        <v>14</v>
      </c>
      <c r="W321" t="b">
        <v>1</v>
      </c>
      <c r="X321" t="s">
        <v>2884</v>
      </c>
      <c r="Y321" t="b">
        <v>0</v>
      </c>
      <c r="Z321" t="s">
        <v>2053</v>
      </c>
    </row>
    <row r="322" spans="1:26" x14ac:dyDescent="0.35">
      <c r="A322" t="s">
        <v>2885</v>
      </c>
      <c r="B322" t="s">
        <v>2886</v>
      </c>
      <c r="C322" t="s">
        <v>2182</v>
      </c>
      <c r="D322" t="s">
        <v>1963</v>
      </c>
      <c r="E322" t="s">
        <v>2020</v>
      </c>
      <c r="F322" t="s">
        <v>2055</v>
      </c>
      <c r="G322" t="s">
        <v>2056</v>
      </c>
      <c r="H322" t="s">
        <v>2023</v>
      </c>
      <c r="I322" t="s">
        <v>1426</v>
      </c>
      <c r="J322" t="s">
        <v>1963</v>
      </c>
      <c r="K322" t="s">
        <v>2887</v>
      </c>
      <c r="L322" t="s">
        <v>2046</v>
      </c>
      <c r="M322" t="s">
        <v>2058</v>
      </c>
      <c r="N322" t="s">
        <v>2059</v>
      </c>
      <c r="O322" t="s">
        <v>2060</v>
      </c>
      <c r="P322" t="s">
        <v>2061</v>
      </c>
      <c r="Q322" t="s">
        <v>2062</v>
      </c>
      <c r="R322" t="s">
        <v>14</v>
      </c>
      <c r="S322" t="s">
        <v>2063</v>
      </c>
      <c r="T322" t="s">
        <v>2064</v>
      </c>
      <c r="U322" t="s">
        <v>2052</v>
      </c>
      <c r="V322" t="s">
        <v>14</v>
      </c>
      <c r="W322" t="b">
        <v>1</v>
      </c>
      <c r="X322" t="s">
        <v>2888</v>
      </c>
      <c r="Y322" t="b">
        <v>0</v>
      </c>
      <c r="Z322" t="s">
        <v>2053</v>
      </c>
    </row>
    <row r="323" spans="1:26" x14ac:dyDescent="0.35">
      <c r="A323" t="s">
        <v>2885</v>
      </c>
      <c r="B323" t="s">
        <v>2886</v>
      </c>
      <c r="C323" t="s">
        <v>2182</v>
      </c>
      <c r="D323" t="s">
        <v>1963</v>
      </c>
      <c r="E323" t="s">
        <v>2020</v>
      </c>
      <c r="F323" t="s">
        <v>2055</v>
      </c>
      <c r="G323" t="s">
        <v>2056</v>
      </c>
      <c r="H323" t="s">
        <v>2023</v>
      </c>
      <c r="I323" t="s">
        <v>2132</v>
      </c>
      <c r="J323" t="s">
        <v>1963</v>
      </c>
      <c r="K323" t="s">
        <v>2887</v>
      </c>
      <c r="L323" t="s">
        <v>2046</v>
      </c>
      <c r="M323" t="s">
        <v>2058</v>
      </c>
      <c r="N323" t="s">
        <v>2059</v>
      </c>
      <c r="O323" t="s">
        <v>2060</v>
      </c>
      <c r="P323" t="s">
        <v>2061</v>
      </c>
      <c r="Q323" t="s">
        <v>2062</v>
      </c>
      <c r="R323" t="s">
        <v>14</v>
      </c>
      <c r="S323" t="s">
        <v>2134</v>
      </c>
      <c r="T323" t="s">
        <v>2135</v>
      </c>
      <c r="U323" t="s">
        <v>2052</v>
      </c>
      <c r="V323" t="s">
        <v>14</v>
      </c>
      <c r="W323" t="b">
        <v>1</v>
      </c>
      <c r="X323" t="s">
        <v>2888</v>
      </c>
      <c r="Y323" t="b">
        <v>0</v>
      </c>
      <c r="Z323" t="s">
        <v>2053</v>
      </c>
    </row>
    <row r="324" spans="1:26" x14ac:dyDescent="0.35">
      <c r="A324" t="s">
        <v>2889</v>
      </c>
      <c r="B324" t="s">
        <v>2890</v>
      </c>
      <c r="C324" t="s">
        <v>2182</v>
      </c>
      <c r="D324" t="s">
        <v>1963</v>
      </c>
      <c r="E324" t="s">
        <v>2020</v>
      </c>
      <c r="F324" t="s">
        <v>2055</v>
      </c>
      <c r="G324" t="s">
        <v>2056</v>
      </c>
      <c r="H324" t="s">
        <v>2023</v>
      </c>
      <c r="I324" t="s">
        <v>1426</v>
      </c>
      <c r="J324" t="s">
        <v>1963</v>
      </c>
      <c r="K324" t="s">
        <v>2891</v>
      </c>
      <c r="L324" t="s">
        <v>2046</v>
      </c>
      <c r="M324" t="s">
        <v>2058</v>
      </c>
      <c r="N324" t="s">
        <v>2059</v>
      </c>
      <c r="O324" t="s">
        <v>2060</v>
      </c>
      <c r="P324" t="s">
        <v>2061</v>
      </c>
      <c r="Q324" t="s">
        <v>2062</v>
      </c>
      <c r="R324" t="s">
        <v>14</v>
      </c>
      <c r="S324" t="s">
        <v>2063</v>
      </c>
      <c r="T324" t="s">
        <v>2064</v>
      </c>
      <c r="U324" t="s">
        <v>2052</v>
      </c>
      <c r="V324" t="s">
        <v>14</v>
      </c>
      <c r="W324" t="b">
        <v>1</v>
      </c>
      <c r="X324" t="s">
        <v>2892</v>
      </c>
      <c r="Y324" t="b">
        <v>0</v>
      </c>
      <c r="Z324" t="s">
        <v>2053</v>
      </c>
    </row>
    <row r="325" spans="1:26" x14ac:dyDescent="0.35">
      <c r="A325" t="s">
        <v>2893</v>
      </c>
      <c r="B325" t="s">
        <v>2894</v>
      </c>
      <c r="C325" t="s">
        <v>2182</v>
      </c>
      <c r="D325" t="s">
        <v>1963</v>
      </c>
      <c r="E325" t="s">
        <v>2020</v>
      </c>
      <c r="F325" t="s">
        <v>2140</v>
      </c>
      <c r="G325" t="s">
        <v>2141</v>
      </c>
      <c r="H325" t="s">
        <v>2023</v>
      </c>
      <c r="I325" t="s">
        <v>1806</v>
      </c>
      <c r="J325" t="s">
        <v>1963</v>
      </c>
      <c r="K325" t="s">
        <v>2895</v>
      </c>
      <c r="L325" t="s">
        <v>2046</v>
      </c>
      <c r="M325" t="s">
        <v>2067</v>
      </c>
      <c r="N325" t="s">
        <v>2068</v>
      </c>
      <c r="O325" t="s">
        <v>2047</v>
      </c>
      <c r="P325" t="s">
        <v>2048</v>
      </c>
      <c r="Q325" t="s">
        <v>14</v>
      </c>
      <c r="R325" t="s">
        <v>14</v>
      </c>
      <c r="S325" t="s">
        <v>2069</v>
      </c>
      <c r="T325" t="s">
        <v>2070</v>
      </c>
      <c r="U325" t="s">
        <v>2052</v>
      </c>
      <c r="V325" t="s">
        <v>14</v>
      </c>
      <c r="W325" t="b">
        <v>1</v>
      </c>
      <c r="X325" t="s">
        <v>2896</v>
      </c>
      <c r="Y325" t="b">
        <v>0</v>
      </c>
      <c r="Z325" t="s">
        <v>2053</v>
      </c>
    </row>
    <row r="326" spans="1:26" x14ac:dyDescent="0.35">
      <c r="A326" t="s">
        <v>2893</v>
      </c>
      <c r="B326" t="s">
        <v>2894</v>
      </c>
      <c r="C326" t="s">
        <v>2182</v>
      </c>
      <c r="D326" t="s">
        <v>1963</v>
      </c>
      <c r="E326" t="s">
        <v>2020</v>
      </c>
      <c r="F326" t="s">
        <v>2140</v>
      </c>
      <c r="G326" t="s">
        <v>2141</v>
      </c>
      <c r="H326" t="s">
        <v>2023</v>
      </c>
      <c r="I326" t="s">
        <v>2144</v>
      </c>
      <c r="J326" t="s">
        <v>1963</v>
      </c>
      <c r="K326" t="s">
        <v>2895</v>
      </c>
      <c r="L326" t="s">
        <v>2046</v>
      </c>
      <c r="M326" t="s">
        <v>2047</v>
      </c>
      <c r="N326" t="s">
        <v>2048</v>
      </c>
      <c r="O326" t="s">
        <v>2047</v>
      </c>
      <c r="P326" t="s">
        <v>2048</v>
      </c>
      <c r="Q326" t="s">
        <v>2145</v>
      </c>
      <c r="R326" t="s">
        <v>14</v>
      </c>
      <c r="S326" t="s">
        <v>2069</v>
      </c>
      <c r="T326" t="s">
        <v>2070</v>
      </c>
      <c r="U326" t="s">
        <v>2052</v>
      </c>
      <c r="V326" t="s">
        <v>14</v>
      </c>
      <c r="W326" t="b">
        <v>1</v>
      </c>
      <c r="X326" t="s">
        <v>2896</v>
      </c>
      <c r="Y326" t="b">
        <v>0</v>
      </c>
      <c r="Z326" t="s">
        <v>2053</v>
      </c>
    </row>
    <row r="327" spans="1:26" x14ac:dyDescent="0.35">
      <c r="A327" t="s">
        <v>2893</v>
      </c>
      <c r="B327" t="s">
        <v>2894</v>
      </c>
      <c r="C327" t="s">
        <v>2182</v>
      </c>
      <c r="D327" t="s">
        <v>1963</v>
      </c>
      <c r="E327" t="s">
        <v>2020</v>
      </c>
      <c r="F327" t="s">
        <v>2140</v>
      </c>
      <c r="G327" t="s">
        <v>2141</v>
      </c>
      <c r="H327" t="s">
        <v>2023</v>
      </c>
      <c r="I327" t="s">
        <v>2146</v>
      </c>
      <c r="J327" t="s">
        <v>1963</v>
      </c>
      <c r="K327" t="s">
        <v>2895</v>
      </c>
      <c r="L327" t="s">
        <v>2046</v>
      </c>
      <c r="M327" t="s">
        <v>14</v>
      </c>
      <c r="N327" t="s">
        <v>14</v>
      </c>
      <c r="O327" t="s">
        <v>2147</v>
      </c>
      <c r="P327" t="s">
        <v>2148</v>
      </c>
      <c r="Q327" t="s">
        <v>14</v>
      </c>
      <c r="R327" t="s">
        <v>14</v>
      </c>
      <c r="S327" t="s">
        <v>14</v>
      </c>
      <c r="T327" t="s">
        <v>14</v>
      </c>
      <c r="U327" t="s">
        <v>2052</v>
      </c>
      <c r="V327" t="s">
        <v>14</v>
      </c>
      <c r="W327" t="b">
        <v>1</v>
      </c>
      <c r="X327" t="s">
        <v>2896</v>
      </c>
      <c r="Y327" t="b">
        <v>0</v>
      </c>
      <c r="Z327" t="s">
        <v>2053</v>
      </c>
    </row>
    <row r="328" spans="1:26" x14ac:dyDescent="0.35">
      <c r="A328" t="s">
        <v>2897</v>
      </c>
      <c r="B328" t="s">
        <v>2898</v>
      </c>
      <c r="C328" t="s">
        <v>2182</v>
      </c>
      <c r="D328" t="s">
        <v>1963</v>
      </c>
      <c r="E328" t="s">
        <v>2020</v>
      </c>
      <c r="F328" t="s">
        <v>2899</v>
      </c>
      <c r="G328" t="s">
        <v>2193</v>
      </c>
      <c r="H328" t="s">
        <v>2023</v>
      </c>
      <c r="I328" t="s">
        <v>2900</v>
      </c>
      <c r="J328" t="s">
        <v>1963</v>
      </c>
      <c r="K328" t="s">
        <v>2901</v>
      </c>
      <c r="L328" t="s">
        <v>14</v>
      </c>
      <c r="M328" t="s">
        <v>2902</v>
      </c>
      <c r="N328" t="s">
        <v>2903</v>
      </c>
      <c r="O328" t="s">
        <v>2362</v>
      </c>
      <c r="P328" t="s">
        <v>2363</v>
      </c>
      <c r="Q328" t="s">
        <v>2364</v>
      </c>
      <c r="R328" t="s">
        <v>14</v>
      </c>
      <c r="S328" t="s">
        <v>2365</v>
      </c>
      <c r="T328" t="s">
        <v>2366</v>
      </c>
      <c r="U328" t="s">
        <v>2171</v>
      </c>
      <c r="V328" t="s">
        <v>14</v>
      </c>
      <c r="W328" t="b">
        <v>1</v>
      </c>
      <c r="X328" t="s">
        <v>2904</v>
      </c>
      <c r="Y328" t="b">
        <v>0</v>
      </c>
      <c r="Z328" t="s">
        <v>2032</v>
      </c>
    </row>
    <row r="329" spans="1:26" x14ac:dyDescent="0.35">
      <c r="A329" t="s">
        <v>2897</v>
      </c>
      <c r="B329" t="s">
        <v>2898</v>
      </c>
      <c r="C329" t="s">
        <v>2182</v>
      </c>
      <c r="D329" t="s">
        <v>1963</v>
      </c>
      <c r="E329" t="s">
        <v>2020</v>
      </c>
      <c r="F329" t="s">
        <v>2899</v>
      </c>
      <c r="G329" t="s">
        <v>2193</v>
      </c>
      <c r="H329" t="s">
        <v>2023</v>
      </c>
      <c r="I329" t="s">
        <v>2905</v>
      </c>
      <c r="J329" t="s">
        <v>1963</v>
      </c>
      <c r="K329" t="s">
        <v>2901</v>
      </c>
      <c r="L329" t="s">
        <v>14</v>
      </c>
      <c r="M329" t="s">
        <v>2906</v>
      </c>
      <c r="N329" t="s">
        <v>2907</v>
      </c>
      <c r="O329" t="s">
        <v>2362</v>
      </c>
      <c r="P329" t="s">
        <v>2363</v>
      </c>
      <c r="Q329" t="s">
        <v>2364</v>
      </c>
      <c r="R329" t="s">
        <v>14</v>
      </c>
      <c r="S329" t="s">
        <v>2365</v>
      </c>
      <c r="T329" t="s">
        <v>2366</v>
      </c>
      <c r="U329" t="s">
        <v>2171</v>
      </c>
      <c r="V329" t="s">
        <v>14</v>
      </c>
      <c r="W329" t="b">
        <v>1</v>
      </c>
      <c r="X329" t="s">
        <v>2904</v>
      </c>
      <c r="Y329" t="b">
        <v>1</v>
      </c>
      <c r="Z329" t="s">
        <v>2032</v>
      </c>
    </row>
    <row r="330" spans="1:26" x14ac:dyDescent="0.35">
      <c r="A330" t="s">
        <v>1865</v>
      </c>
      <c r="B330" t="s">
        <v>2908</v>
      </c>
      <c r="C330" t="s">
        <v>2182</v>
      </c>
      <c r="D330" t="s">
        <v>1963</v>
      </c>
      <c r="E330" t="s">
        <v>2020</v>
      </c>
      <c r="F330" t="s">
        <v>2909</v>
      </c>
      <c r="G330" t="s">
        <v>2910</v>
      </c>
      <c r="H330" t="s">
        <v>2023</v>
      </c>
      <c r="I330" t="s">
        <v>2183</v>
      </c>
      <c r="J330" t="s">
        <v>1963</v>
      </c>
      <c r="K330" t="s">
        <v>2911</v>
      </c>
      <c r="L330" t="s">
        <v>2025</v>
      </c>
      <c r="M330" t="s">
        <v>2185</v>
      </c>
      <c r="N330" t="s">
        <v>2186</v>
      </c>
      <c r="O330" t="s">
        <v>2187</v>
      </c>
      <c r="P330" t="s">
        <v>2188</v>
      </c>
      <c r="Q330" t="s">
        <v>2049</v>
      </c>
      <c r="R330" t="s">
        <v>14</v>
      </c>
      <c r="S330" t="s">
        <v>2189</v>
      </c>
      <c r="T330" t="s">
        <v>2190</v>
      </c>
      <c r="U330" t="s">
        <v>2052</v>
      </c>
      <c r="V330" t="s">
        <v>14</v>
      </c>
      <c r="W330" t="b">
        <v>1</v>
      </c>
      <c r="X330" t="s">
        <v>1866</v>
      </c>
      <c r="Y330" t="b">
        <v>0</v>
      </c>
      <c r="Z330" t="s">
        <v>2053</v>
      </c>
    </row>
    <row r="331" spans="1:26" x14ac:dyDescent="0.35">
      <c r="A331" t="s">
        <v>1734</v>
      </c>
      <c r="B331" t="s">
        <v>2912</v>
      </c>
      <c r="C331" t="s">
        <v>2182</v>
      </c>
      <c r="D331" t="s">
        <v>1963</v>
      </c>
      <c r="E331" t="s">
        <v>2020</v>
      </c>
      <c r="F331" t="s">
        <v>2021</v>
      </c>
      <c r="G331" t="s">
        <v>2022</v>
      </c>
      <c r="H331" t="s">
        <v>2023</v>
      </c>
      <c r="I331" t="s">
        <v>1426</v>
      </c>
      <c r="J331" t="s">
        <v>1963</v>
      </c>
      <c r="K331" t="s">
        <v>2913</v>
      </c>
      <c r="L331" t="s">
        <v>2046</v>
      </c>
      <c r="M331" t="s">
        <v>2058</v>
      </c>
      <c r="N331" t="s">
        <v>2059</v>
      </c>
      <c r="O331" t="s">
        <v>2060</v>
      </c>
      <c r="P331" t="s">
        <v>2061</v>
      </c>
      <c r="Q331" t="s">
        <v>2062</v>
      </c>
      <c r="R331" t="s">
        <v>14</v>
      </c>
      <c r="S331" t="s">
        <v>2063</v>
      </c>
      <c r="T331" t="s">
        <v>2064</v>
      </c>
      <c r="U331" t="s">
        <v>2052</v>
      </c>
      <c r="V331" t="s">
        <v>14</v>
      </c>
      <c r="W331" t="b">
        <v>1</v>
      </c>
      <c r="X331" t="s">
        <v>1735</v>
      </c>
      <c r="Y331" t="b">
        <v>0</v>
      </c>
      <c r="Z331" t="s">
        <v>2053</v>
      </c>
    </row>
    <row r="332" spans="1:26" x14ac:dyDescent="0.35">
      <c r="A332" t="s">
        <v>1736</v>
      </c>
      <c r="B332" t="s">
        <v>2914</v>
      </c>
      <c r="C332" t="s">
        <v>2182</v>
      </c>
      <c r="D332" t="s">
        <v>1963</v>
      </c>
      <c r="E332" t="s">
        <v>2020</v>
      </c>
      <c r="F332" t="s">
        <v>2021</v>
      </c>
      <c r="G332" t="s">
        <v>2022</v>
      </c>
      <c r="H332" t="s">
        <v>2023</v>
      </c>
      <c r="I332" t="s">
        <v>2097</v>
      </c>
      <c r="J332" t="s">
        <v>1963</v>
      </c>
      <c r="K332" t="s">
        <v>2915</v>
      </c>
      <c r="L332" t="s">
        <v>2046</v>
      </c>
      <c r="M332" t="s">
        <v>2099</v>
      </c>
      <c r="N332" t="s">
        <v>2100</v>
      </c>
      <c r="O332" t="s">
        <v>2101</v>
      </c>
      <c r="P332" t="s">
        <v>2102</v>
      </c>
      <c r="Q332" t="s">
        <v>2103</v>
      </c>
      <c r="R332" t="s">
        <v>14</v>
      </c>
      <c r="S332" t="s">
        <v>2101</v>
      </c>
      <c r="T332" t="s">
        <v>2102</v>
      </c>
      <c r="U332" t="s">
        <v>2052</v>
      </c>
      <c r="V332" t="s">
        <v>14</v>
      </c>
      <c r="W332" t="b">
        <v>1</v>
      </c>
      <c r="X332" t="s">
        <v>1737</v>
      </c>
      <c r="Y332" t="b">
        <v>0</v>
      </c>
      <c r="Z332" t="s">
        <v>2053</v>
      </c>
    </row>
    <row r="333" spans="1:26" x14ac:dyDescent="0.35">
      <c r="A333" t="s">
        <v>1736</v>
      </c>
      <c r="B333" t="s">
        <v>2914</v>
      </c>
      <c r="C333" t="s">
        <v>2182</v>
      </c>
      <c r="D333" t="s">
        <v>1963</v>
      </c>
      <c r="E333" t="s">
        <v>2020</v>
      </c>
      <c r="F333" t="s">
        <v>2021</v>
      </c>
      <c r="G333" t="s">
        <v>2022</v>
      </c>
      <c r="H333" t="s">
        <v>2023</v>
      </c>
      <c r="I333" t="s">
        <v>2916</v>
      </c>
      <c r="J333" t="s">
        <v>1963</v>
      </c>
      <c r="K333" t="s">
        <v>2915</v>
      </c>
      <c r="L333" t="s">
        <v>2046</v>
      </c>
      <c r="M333" t="s">
        <v>2917</v>
      </c>
      <c r="N333" t="s">
        <v>2918</v>
      </c>
      <c r="O333" t="s">
        <v>2187</v>
      </c>
      <c r="P333" t="s">
        <v>2188</v>
      </c>
      <c r="Q333" t="s">
        <v>2049</v>
      </c>
      <c r="R333" t="s">
        <v>14</v>
      </c>
      <c r="S333" t="s">
        <v>2189</v>
      </c>
      <c r="T333" t="s">
        <v>2190</v>
      </c>
      <c r="U333" t="s">
        <v>2052</v>
      </c>
      <c r="V333" t="s">
        <v>14</v>
      </c>
      <c r="W333" t="b">
        <v>1</v>
      </c>
      <c r="X333" t="s">
        <v>1737</v>
      </c>
      <c r="Y333" t="b">
        <v>0</v>
      </c>
      <c r="Z333" t="s">
        <v>2053</v>
      </c>
    </row>
    <row r="334" spans="1:26" x14ac:dyDescent="0.35">
      <c r="A334" t="s">
        <v>1736</v>
      </c>
      <c r="B334" t="s">
        <v>2914</v>
      </c>
      <c r="C334" t="s">
        <v>2182</v>
      </c>
      <c r="D334" t="s">
        <v>1963</v>
      </c>
      <c r="E334" t="s">
        <v>2020</v>
      </c>
      <c r="F334" t="s">
        <v>2021</v>
      </c>
      <c r="G334" t="s">
        <v>2022</v>
      </c>
      <c r="H334" t="s">
        <v>2023</v>
      </c>
      <c r="I334" t="s">
        <v>2919</v>
      </c>
      <c r="J334" t="s">
        <v>1963</v>
      </c>
      <c r="K334" t="s">
        <v>2915</v>
      </c>
      <c r="L334" t="s">
        <v>2046</v>
      </c>
      <c r="M334" t="s">
        <v>2856</v>
      </c>
      <c r="N334" t="s">
        <v>2857</v>
      </c>
      <c r="O334" t="s">
        <v>2187</v>
      </c>
      <c r="P334" t="s">
        <v>2188</v>
      </c>
      <c r="Q334" t="s">
        <v>2049</v>
      </c>
      <c r="R334" t="s">
        <v>14</v>
      </c>
      <c r="S334" t="s">
        <v>2189</v>
      </c>
      <c r="T334" t="s">
        <v>2190</v>
      </c>
      <c r="U334" t="s">
        <v>2052</v>
      </c>
      <c r="V334" t="s">
        <v>14</v>
      </c>
      <c r="W334" t="b">
        <v>1</v>
      </c>
      <c r="X334" t="s">
        <v>1737</v>
      </c>
      <c r="Y334" t="b">
        <v>0</v>
      </c>
      <c r="Z334" t="s">
        <v>2053</v>
      </c>
    </row>
    <row r="335" spans="1:26" x14ac:dyDescent="0.35">
      <c r="A335" t="s">
        <v>1738</v>
      </c>
      <c r="B335" t="s">
        <v>2920</v>
      </c>
      <c r="C335" t="s">
        <v>2182</v>
      </c>
      <c r="D335" t="s">
        <v>1963</v>
      </c>
      <c r="E335" t="s">
        <v>2020</v>
      </c>
      <c r="F335" t="s">
        <v>2021</v>
      </c>
      <c r="G335" t="s">
        <v>2022</v>
      </c>
      <c r="H335" t="s">
        <v>2023</v>
      </c>
      <c r="I335" t="s">
        <v>2921</v>
      </c>
      <c r="J335" t="s">
        <v>1963</v>
      </c>
      <c r="K335" t="s">
        <v>2922</v>
      </c>
      <c r="L335" t="s">
        <v>2046</v>
      </c>
      <c r="M335" t="s">
        <v>2187</v>
      </c>
      <c r="N335" t="s">
        <v>2188</v>
      </c>
      <c r="O335" t="s">
        <v>2187</v>
      </c>
      <c r="P335" t="s">
        <v>2188</v>
      </c>
      <c r="Q335" t="s">
        <v>14</v>
      </c>
      <c r="R335" t="s">
        <v>14</v>
      </c>
      <c r="S335" t="s">
        <v>14</v>
      </c>
      <c r="T335" t="s">
        <v>14</v>
      </c>
      <c r="U335" t="s">
        <v>2052</v>
      </c>
      <c r="V335" t="s">
        <v>14</v>
      </c>
      <c r="W335" t="b">
        <v>0</v>
      </c>
      <c r="X335" t="s">
        <v>1739</v>
      </c>
      <c r="Y335" t="b">
        <v>0</v>
      </c>
      <c r="Z335" t="s">
        <v>2053</v>
      </c>
    </row>
    <row r="336" spans="1:26" x14ac:dyDescent="0.35">
      <c r="A336" t="s">
        <v>1740</v>
      </c>
      <c r="B336" t="s">
        <v>2923</v>
      </c>
      <c r="C336" t="s">
        <v>2182</v>
      </c>
      <c r="D336" t="s">
        <v>1963</v>
      </c>
      <c r="E336" t="s">
        <v>2020</v>
      </c>
      <c r="F336" t="s">
        <v>2021</v>
      </c>
      <c r="G336" t="s">
        <v>2022</v>
      </c>
      <c r="H336" t="s">
        <v>2023</v>
      </c>
      <c r="I336" t="s">
        <v>2924</v>
      </c>
      <c r="J336" t="s">
        <v>1963</v>
      </c>
      <c r="K336" t="s">
        <v>2925</v>
      </c>
      <c r="L336" t="s">
        <v>2046</v>
      </c>
      <c r="M336" t="s">
        <v>2926</v>
      </c>
      <c r="N336" t="s">
        <v>2927</v>
      </c>
      <c r="O336" t="s">
        <v>2187</v>
      </c>
      <c r="P336" t="s">
        <v>2188</v>
      </c>
      <c r="Q336" t="s">
        <v>2049</v>
      </c>
      <c r="R336" t="s">
        <v>14</v>
      </c>
      <c r="S336" t="s">
        <v>2189</v>
      </c>
      <c r="T336" t="s">
        <v>2190</v>
      </c>
      <c r="U336" t="s">
        <v>2052</v>
      </c>
      <c r="V336" t="s">
        <v>14</v>
      </c>
      <c r="W336" t="b">
        <v>1</v>
      </c>
      <c r="X336" t="s">
        <v>1741</v>
      </c>
      <c r="Y336" t="b">
        <v>0</v>
      </c>
      <c r="Z336" t="s">
        <v>2053</v>
      </c>
    </row>
    <row r="337" spans="1:26" x14ac:dyDescent="0.35">
      <c r="A337" t="s">
        <v>1742</v>
      </c>
      <c r="B337" t="s">
        <v>2928</v>
      </c>
      <c r="C337" t="s">
        <v>2182</v>
      </c>
      <c r="D337" t="s">
        <v>1963</v>
      </c>
      <c r="E337" t="s">
        <v>2020</v>
      </c>
      <c r="F337" t="s">
        <v>2021</v>
      </c>
      <c r="G337" t="s">
        <v>2022</v>
      </c>
      <c r="H337" t="s">
        <v>2023</v>
      </c>
      <c r="I337" t="s">
        <v>2116</v>
      </c>
      <c r="J337" t="s">
        <v>1963</v>
      </c>
      <c r="K337" t="s">
        <v>2929</v>
      </c>
      <c r="L337" t="s">
        <v>2025</v>
      </c>
      <c r="M337" t="s">
        <v>2047</v>
      </c>
      <c r="N337" t="s">
        <v>2048</v>
      </c>
      <c r="O337" t="s">
        <v>2047</v>
      </c>
      <c r="P337" t="s">
        <v>2048</v>
      </c>
      <c r="Q337" t="s">
        <v>14</v>
      </c>
      <c r="R337" t="s">
        <v>14</v>
      </c>
      <c r="S337" t="s">
        <v>14</v>
      </c>
      <c r="T337" t="s">
        <v>14</v>
      </c>
      <c r="U337" t="s">
        <v>2052</v>
      </c>
      <c r="V337" t="s">
        <v>14</v>
      </c>
      <c r="W337" t="b">
        <v>1</v>
      </c>
      <c r="X337" t="s">
        <v>1743</v>
      </c>
      <c r="Y337" t="b">
        <v>0</v>
      </c>
      <c r="Z337" t="s">
        <v>2081</v>
      </c>
    </row>
    <row r="338" spans="1:26" x14ac:dyDescent="0.35">
      <c r="A338" t="s">
        <v>1744</v>
      </c>
      <c r="B338" t="s">
        <v>2930</v>
      </c>
      <c r="C338" t="s">
        <v>2182</v>
      </c>
      <c r="D338" t="s">
        <v>1963</v>
      </c>
      <c r="E338" t="s">
        <v>2020</v>
      </c>
      <c r="F338" t="s">
        <v>2021</v>
      </c>
      <c r="G338" t="s">
        <v>2022</v>
      </c>
      <c r="H338" t="s">
        <v>2023</v>
      </c>
      <c r="I338" t="s">
        <v>2084</v>
      </c>
      <c r="J338" t="s">
        <v>1963</v>
      </c>
      <c r="K338" t="s">
        <v>2931</v>
      </c>
      <c r="L338" t="s">
        <v>14</v>
      </c>
      <c r="M338" t="s">
        <v>2086</v>
      </c>
      <c r="N338" t="s">
        <v>2087</v>
      </c>
      <c r="O338" t="s">
        <v>2088</v>
      </c>
      <c r="P338" t="s">
        <v>2089</v>
      </c>
      <c r="Q338" t="s">
        <v>2077</v>
      </c>
      <c r="R338" t="s">
        <v>14</v>
      </c>
      <c r="S338" t="s">
        <v>14</v>
      </c>
      <c r="T338" t="s">
        <v>14</v>
      </c>
      <c r="U338" t="s">
        <v>2090</v>
      </c>
      <c r="V338" t="s">
        <v>14</v>
      </c>
      <c r="W338" t="b">
        <v>1</v>
      </c>
      <c r="X338" t="s">
        <v>1745</v>
      </c>
      <c r="Y338" t="b">
        <v>0</v>
      </c>
      <c r="Z338" t="s">
        <v>2081</v>
      </c>
    </row>
    <row r="339" spans="1:26" x14ac:dyDescent="0.35">
      <c r="A339" t="s">
        <v>1746</v>
      </c>
      <c r="B339" t="s">
        <v>2932</v>
      </c>
      <c r="C339" t="s">
        <v>2182</v>
      </c>
      <c r="D339" t="s">
        <v>1963</v>
      </c>
      <c r="E339" t="s">
        <v>2020</v>
      </c>
      <c r="F339" t="s">
        <v>2021</v>
      </c>
      <c r="G339" t="s">
        <v>2022</v>
      </c>
      <c r="H339" t="s">
        <v>2023</v>
      </c>
      <c r="I339" t="s">
        <v>2611</v>
      </c>
      <c r="J339" t="s">
        <v>1963</v>
      </c>
      <c r="K339" t="s">
        <v>2933</v>
      </c>
      <c r="L339" t="s">
        <v>2046</v>
      </c>
      <c r="M339" t="s">
        <v>2603</v>
      </c>
      <c r="N339" t="s">
        <v>2604</v>
      </c>
      <c r="O339" t="s">
        <v>2047</v>
      </c>
      <c r="P339" t="s">
        <v>2048</v>
      </c>
      <c r="Q339" t="s">
        <v>2049</v>
      </c>
      <c r="R339" t="s">
        <v>14</v>
      </c>
      <c r="S339" t="s">
        <v>2613</v>
      </c>
      <c r="T339" t="s">
        <v>2614</v>
      </c>
      <c r="U339" t="s">
        <v>2052</v>
      </c>
      <c r="V339" t="s">
        <v>14</v>
      </c>
      <c r="W339" t="b">
        <v>1</v>
      </c>
      <c r="X339" t="s">
        <v>1747</v>
      </c>
      <c r="Y339" t="b">
        <v>0</v>
      </c>
      <c r="Z339" t="s">
        <v>2053</v>
      </c>
    </row>
    <row r="340" spans="1:26" x14ac:dyDescent="0.35">
      <c r="A340" t="s">
        <v>2934</v>
      </c>
      <c r="B340" t="s">
        <v>2935</v>
      </c>
      <c r="C340" t="s">
        <v>2182</v>
      </c>
      <c r="D340" t="s">
        <v>1963</v>
      </c>
      <c r="E340" t="s">
        <v>2020</v>
      </c>
      <c r="F340" t="s">
        <v>2021</v>
      </c>
      <c r="G340" t="s">
        <v>2022</v>
      </c>
      <c r="H340" t="s">
        <v>2023</v>
      </c>
      <c r="I340" t="s">
        <v>1426</v>
      </c>
      <c r="J340" t="s">
        <v>1963</v>
      </c>
      <c r="K340" t="s">
        <v>2936</v>
      </c>
      <c r="L340" t="s">
        <v>2025</v>
      </c>
      <c r="M340" t="s">
        <v>2058</v>
      </c>
      <c r="N340" t="s">
        <v>2059</v>
      </c>
      <c r="O340" t="s">
        <v>2060</v>
      </c>
      <c r="P340" t="s">
        <v>2061</v>
      </c>
      <c r="Q340" t="s">
        <v>2062</v>
      </c>
      <c r="R340" t="s">
        <v>14</v>
      </c>
      <c r="S340" t="s">
        <v>2063</v>
      </c>
      <c r="T340" t="s">
        <v>2064</v>
      </c>
      <c r="U340" t="s">
        <v>2052</v>
      </c>
      <c r="V340" t="s">
        <v>14</v>
      </c>
      <c r="W340" t="b">
        <v>1</v>
      </c>
      <c r="X340" t="s">
        <v>2937</v>
      </c>
      <c r="Y340" t="b">
        <v>0</v>
      </c>
      <c r="Z340" t="s">
        <v>2053</v>
      </c>
    </row>
    <row r="341" spans="1:26" x14ac:dyDescent="0.35">
      <c r="A341" t="s">
        <v>1867</v>
      </c>
      <c r="B341" t="s">
        <v>2938</v>
      </c>
      <c r="C341" t="s">
        <v>2182</v>
      </c>
      <c r="D341" t="s">
        <v>1963</v>
      </c>
      <c r="E341" t="s">
        <v>2020</v>
      </c>
      <c r="F341" t="s">
        <v>2021</v>
      </c>
      <c r="G341" t="s">
        <v>2022</v>
      </c>
      <c r="H341" t="s">
        <v>2023</v>
      </c>
      <c r="I341" t="s">
        <v>2854</v>
      </c>
      <c r="J341" t="s">
        <v>1963</v>
      </c>
      <c r="K341" t="s">
        <v>2939</v>
      </c>
      <c r="L341" t="s">
        <v>2025</v>
      </c>
      <c r="M341" t="s">
        <v>2856</v>
      </c>
      <c r="N341" t="s">
        <v>2857</v>
      </c>
      <c r="O341" t="s">
        <v>2187</v>
      </c>
      <c r="P341" t="s">
        <v>2188</v>
      </c>
      <c r="Q341" t="s">
        <v>2049</v>
      </c>
      <c r="R341" t="s">
        <v>14</v>
      </c>
      <c r="S341" t="s">
        <v>2189</v>
      </c>
      <c r="T341" t="s">
        <v>2190</v>
      </c>
      <c r="U341" t="s">
        <v>2052</v>
      </c>
      <c r="V341" t="s">
        <v>14</v>
      </c>
      <c r="W341" t="b">
        <v>1</v>
      </c>
      <c r="X341" t="s">
        <v>1868</v>
      </c>
      <c r="Y341" t="b">
        <v>0</v>
      </c>
      <c r="Z341" t="s">
        <v>2053</v>
      </c>
    </row>
    <row r="342" spans="1:26" x14ac:dyDescent="0.35">
      <c r="A342" t="s">
        <v>1748</v>
      </c>
      <c r="B342" t="s">
        <v>2940</v>
      </c>
      <c r="C342" t="s">
        <v>2544</v>
      </c>
      <c r="D342" t="s">
        <v>1963</v>
      </c>
      <c r="E342" t="s">
        <v>2020</v>
      </c>
      <c r="F342" t="s">
        <v>2055</v>
      </c>
      <c r="G342" t="s">
        <v>2056</v>
      </c>
      <c r="H342" t="s">
        <v>2023</v>
      </c>
      <c r="I342" t="s">
        <v>1426</v>
      </c>
      <c r="J342" t="s">
        <v>1963</v>
      </c>
      <c r="K342" t="s">
        <v>2941</v>
      </c>
      <c r="L342" t="s">
        <v>2046</v>
      </c>
      <c r="M342" t="s">
        <v>2058</v>
      </c>
      <c r="N342" t="s">
        <v>2059</v>
      </c>
      <c r="O342" t="s">
        <v>2060</v>
      </c>
      <c r="P342" t="s">
        <v>2061</v>
      </c>
      <c r="Q342" t="s">
        <v>2062</v>
      </c>
      <c r="R342" t="s">
        <v>14</v>
      </c>
      <c r="S342" t="s">
        <v>2063</v>
      </c>
      <c r="T342" t="s">
        <v>2064</v>
      </c>
      <c r="U342" t="s">
        <v>2052</v>
      </c>
      <c r="V342" t="s">
        <v>14</v>
      </c>
      <c r="W342" t="b">
        <v>1</v>
      </c>
      <c r="X342" t="s">
        <v>1749</v>
      </c>
      <c r="Y342" t="b">
        <v>0</v>
      </c>
      <c r="Z342" t="s">
        <v>2053</v>
      </c>
    </row>
    <row r="343" spans="1:26" x14ac:dyDescent="0.35">
      <c r="A343" t="s">
        <v>1750</v>
      </c>
      <c r="B343" t="s">
        <v>2942</v>
      </c>
      <c r="C343" t="s">
        <v>2544</v>
      </c>
      <c r="D343" t="s">
        <v>1963</v>
      </c>
      <c r="E343" t="s">
        <v>2020</v>
      </c>
      <c r="F343" t="s">
        <v>2055</v>
      </c>
      <c r="G343" t="s">
        <v>2056</v>
      </c>
      <c r="H343" t="s">
        <v>2023</v>
      </c>
      <c r="I343" t="s">
        <v>1426</v>
      </c>
      <c r="J343" t="s">
        <v>1963</v>
      </c>
      <c r="K343" t="s">
        <v>2943</v>
      </c>
      <c r="L343" t="s">
        <v>2046</v>
      </c>
      <c r="M343" t="s">
        <v>2058</v>
      </c>
      <c r="N343" t="s">
        <v>2059</v>
      </c>
      <c r="O343" t="s">
        <v>2060</v>
      </c>
      <c r="P343" t="s">
        <v>2061</v>
      </c>
      <c r="Q343" t="s">
        <v>2062</v>
      </c>
      <c r="R343" t="s">
        <v>14</v>
      </c>
      <c r="S343" t="s">
        <v>2063</v>
      </c>
      <c r="T343" t="s">
        <v>2064</v>
      </c>
      <c r="U343" t="s">
        <v>2052</v>
      </c>
      <c r="V343" t="s">
        <v>14</v>
      </c>
      <c r="W343" t="b">
        <v>1</v>
      </c>
      <c r="X343" t="s">
        <v>1751</v>
      </c>
      <c r="Y343" t="b">
        <v>0</v>
      </c>
      <c r="Z343" t="s">
        <v>2053</v>
      </c>
    </row>
    <row r="344" spans="1:26" x14ac:dyDescent="0.35">
      <c r="A344" t="s">
        <v>1752</v>
      </c>
      <c r="B344" t="s">
        <v>2944</v>
      </c>
      <c r="C344" t="s">
        <v>2544</v>
      </c>
      <c r="D344" t="s">
        <v>1963</v>
      </c>
      <c r="E344" t="s">
        <v>2020</v>
      </c>
      <c r="F344" t="s">
        <v>2055</v>
      </c>
      <c r="G344" t="s">
        <v>2056</v>
      </c>
      <c r="H344" t="s">
        <v>2023</v>
      </c>
      <c r="I344" t="s">
        <v>2132</v>
      </c>
      <c r="J344" t="s">
        <v>1963</v>
      </c>
      <c r="K344" t="s">
        <v>2945</v>
      </c>
      <c r="L344" t="s">
        <v>2046</v>
      </c>
      <c r="M344" t="s">
        <v>2058</v>
      </c>
      <c r="N344" t="s">
        <v>2059</v>
      </c>
      <c r="O344" t="s">
        <v>2060</v>
      </c>
      <c r="P344" t="s">
        <v>2061</v>
      </c>
      <c r="Q344" t="s">
        <v>2062</v>
      </c>
      <c r="R344" t="s">
        <v>14</v>
      </c>
      <c r="S344" t="s">
        <v>2134</v>
      </c>
      <c r="T344" t="s">
        <v>2135</v>
      </c>
      <c r="U344" t="s">
        <v>2052</v>
      </c>
      <c r="V344" t="s">
        <v>14</v>
      </c>
      <c r="W344" t="b">
        <v>1</v>
      </c>
      <c r="X344" t="s">
        <v>1753</v>
      </c>
      <c r="Y344" t="b">
        <v>0</v>
      </c>
      <c r="Z344" t="s">
        <v>2053</v>
      </c>
    </row>
    <row r="345" spans="1:26" x14ac:dyDescent="0.35">
      <c r="A345" t="s">
        <v>1752</v>
      </c>
      <c r="B345" t="s">
        <v>2944</v>
      </c>
      <c r="C345" t="s">
        <v>2544</v>
      </c>
      <c r="D345" t="s">
        <v>1963</v>
      </c>
      <c r="E345" t="s">
        <v>2020</v>
      </c>
      <c r="F345" t="s">
        <v>2055</v>
      </c>
      <c r="G345" t="s">
        <v>2056</v>
      </c>
      <c r="H345" t="s">
        <v>2023</v>
      </c>
      <c r="I345" t="s">
        <v>1426</v>
      </c>
      <c r="J345" t="s">
        <v>1963</v>
      </c>
      <c r="K345" t="s">
        <v>2945</v>
      </c>
      <c r="L345" t="s">
        <v>2046</v>
      </c>
      <c r="M345" t="s">
        <v>2058</v>
      </c>
      <c r="N345" t="s">
        <v>2059</v>
      </c>
      <c r="O345" t="s">
        <v>2060</v>
      </c>
      <c r="P345" t="s">
        <v>2061</v>
      </c>
      <c r="Q345" t="s">
        <v>2062</v>
      </c>
      <c r="R345" t="s">
        <v>14</v>
      </c>
      <c r="S345" t="s">
        <v>2063</v>
      </c>
      <c r="T345" t="s">
        <v>2064</v>
      </c>
      <c r="U345" t="s">
        <v>2052</v>
      </c>
      <c r="V345" t="s">
        <v>14</v>
      </c>
      <c r="W345" t="b">
        <v>1</v>
      </c>
      <c r="X345" t="s">
        <v>1753</v>
      </c>
      <c r="Y345" t="b">
        <v>0</v>
      </c>
      <c r="Z345" t="s">
        <v>2053</v>
      </c>
    </row>
    <row r="346" spans="1:26" x14ac:dyDescent="0.35">
      <c r="A346" t="s">
        <v>1754</v>
      </c>
      <c r="B346" t="s">
        <v>2946</v>
      </c>
      <c r="C346" t="s">
        <v>2544</v>
      </c>
      <c r="D346" t="s">
        <v>1963</v>
      </c>
      <c r="E346" t="s">
        <v>2020</v>
      </c>
      <c r="F346" t="s">
        <v>2055</v>
      </c>
      <c r="G346" t="s">
        <v>2056</v>
      </c>
      <c r="H346" t="s">
        <v>2023</v>
      </c>
      <c r="I346" t="s">
        <v>1426</v>
      </c>
      <c r="J346" t="s">
        <v>1963</v>
      </c>
      <c r="K346" t="s">
        <v>2947</v>
      </c>
      <c r="L346" t="s">
        <v>2046</v>
      </c>
      <c r="M346" t="s">
        <v>2058</v>
      </c>
      <c r="N346" t="s">
        <v>2059</v>
      </c>
      <c r="O346" t="s">
        <v>2060</v>
      </c>
      <c r="P346" t="s">
        <v>2061</v>
      </c>
      <c r="Q346" t="s">
        <v>2062</v>
      </c>
      <c r="R346" t="s">
        <v>14</v>
      </c>
      <c r="S346" t="s">
        <v>2063</v>
      </c>
      <c r="T346" t="s">
        <v>2064</v>
      </c>
      <c r="U346" t="s">
        <v>2052</v>
      </c>
      <c r="V346" t="s">
        <v>14</v>
      </c>
      <c r="W346" t="b">
        <v>1</v>
      </c>
      <c r="X346" t="s">
        <v>1755</v>
      </c>
      <c r="Y346" t="b">
        <v>0</v>
      </c>
      <c r="Z346" t="s">
        <v>2053</v>
      </c>
    </row>
    <row r="347" spans="1:26" x14ac:dyDescent="0.35">
      <c r="A347" t="s">
        <v>2948</v>
      </c>
      <c r="B347" t="s">
        <v>2949</v>
      </c>
      <c r="C347" t="s">
        <v>2544</v>
      </c>
      <c r="D347" t="s">
        <v>1963</v>
      </c>
      <c r="E347" t="s">
        <v>2020</v>
      </c>
      <c r="F347" t="s">
        <v>2140</v>
      </c>
      <c r="G347" t="s">
        <v>2141</v>
      </c>
      <c r="H347" t="s">
        <v>2023</v>
      </c>
      <c r="I347" t="s">
        <v>2144</v>
      </c>
      <c r="J347" t="s">
        <v>1963</v>
      </c>
      <c r="K347" t="s">
        <v>2950</v>
      </c>
      <c r="L347" t="s">
        <v>2046</v>
      </c>
      <c r="M347" t="s">
        <v>2047</v>
      </c>
      <c r="N347" t="s">
        <v>2048</v>
      </c>
      <c r="O347" t="s">
        <v>2047</v>
      </c>
      <c r="P347" t="s">
        <v>2048</v>
      </c>
      <c r="Q347" t="s">
        <v>2145</v>
      </c>
      <c r="R347" t="s">
        <v>14</v>
      </c>
      <c r="S347" t="s">
        <v>2069</v>
      </c>
      <c r="T347" t="s">
        <v>2070</v>
      </c>
      <c r="U347" t="s">
        <v>2052</v>
      </c>
      <c r="V347" t="s">
        <v>14</v>
      </c>
      <c r="W347" t="b">
        <v>1</v>
      </c>
      <c r="X347" t="s">
        <v>2951</v>
      </c>
      <c r="Y347" t="b">
        <v>0</v>
      </c>
      <c r="Z347" t="s">
        <v>2053</v>
      </c>
    </row>
    <row r="348" spans="1:26" x14ac:dyDescent="0.35">
      <c r="A348" t="s">
        <v>2948</v>
      </c>
      <c r="B348" t="s">
        <v>2949</v>
      </c>
      <c r="C348" t="s">
        <v>2544</v>
      </c>
      <c r="D348" t="s">
        <v>1963</v>
      </c>
      <c r="E348" t="s">
        <v>2020</v>
      </c>
      <c r="F348" t="s">
        <v>2140</v>
      </c>
      <c r="G348" t="s">
        <v>2141</v>
      </c>
      <c r="H348" t="s">
        <v>2023</v>
      </c>
      <c r="I348" t="s">
        <v>2146</v>
      </c>
      <c r="J348" t="s">
        <v>1963</v>
      </c>
      <c r="K348" t="s">
        <v>2950</v>
      </c>
      <c r="L348" t="s">
        <v>2046</v>
      </c>
      <c r="M348" t="s">
        <v>14</v>
      </c>
      <c r="N348" t="s">
        <v>14</v>
      </c>
      <c r="O348" t="s">
        <v>2147</v>
      </c>
      <c r="P348" t="s">
        <v>2148</v>
      </c>
      <c r="Q348" t="s">
        <v>14</v>
      </c>
      <c r="R348" t="s">
        <v>14</v>
      </c>
      <c r="S348" t="s">
        <v>14</v>
      </c>
      <c r="T348" t="s">
        <v>14</v>
      </c>
      <c r="U348" t="s">
        <v>2052</v>
      </c>
      <c r="V348" t="s">
        <v>14</v>
      </c>
      <c r="W348" t="b">
        <v>1</v>
      </c>
      <c r="X348" t="s">
        <v>2951</v>
      </c>
      <c r="Y348" t="b">
        <v>0</v>
      </c>
      <c r="Z348" t="s">
        <v>2053</v>
      </c>
    </row>
    <row r="349" spans="1:26" x14ac:dyDescent="0.35">
      <c r="A349" t="s">
        <v>2948</v>
      </c>
      <c r="B349" t="s">
        <v>2949</v>
      </c>
      <c r="C349" t="s">
        <v>2544</v>
      </c>
      <c r="D349" t="s">
        <v>1963</v>
      </c>
      <c r="E349" t="s">
        <v>2020</v>
      </c>
      <c r="F349" t="s">
        <v>2140</v>
      </c>
      <c r="G349" t="s">
        <v>2141</v>
      </c>
      <c r="H349" t="s">
        <v>2023</v>
      </c>
      <c r="I349" t="s">
        <v>1806</v>
      </c>
      <c r="J349" t="s">
        <v>1963</v>
      </c>
      <c r="K349" t="s">
        <v>2950</v>
      </c>
      <c r="L349" t="s">
        <v>2046</v>
      </c>
      <c r="M349" t="s">
        <v>2067</v>
      </c>
      <c r="N349" t="s">
        <v>2068</v>
      </c>
      <c r="O349" t="s">
        <v>2047</v>
      </c>
      <c r="P349" t="s">
        <v>2048</v>
      </c>
      <c r="Q349" t="s">
        <v>14</v>
      </c>
      <c r="R349" t="s">
        <v>14</v>
      </c>
      <c r="S349" t="s">
        <v>2069</v>
      </c>
      <c r="T349" t="s">
        <v>2070</v>
      </c>
      <c r="U349" t="s">
        <v>2052</v>
      </c>
      <c r="V349" t="s">
        <v>14</v>
      </c>
      <c r="W349" t="b">
        <v>1</v>
      </c>
      <c r="X349" t="s">
        <v>2951</v>
      </c>
      <c r="Y349" t="b">
        <v>0</v>
      </c>
      <c r="Z349" t="s">
        <v>2053</v>
      </c>
    </row>
    <row r="350" spans="1:26" x14ac:dyDescent="0.35">
      <c r="A350" t="s">
        <v>1757</v>
      </c>
      <c r="B350" t="s">
        <v>2952</v>
      </c>
      <c r="C350" t="s">
        <v>2544</v>
      </c>
      <c r="D350" t="s">
        <v>1963</v>
      </c>
      <c r="E350" t="s">
        <v>2020</v>
      </c>
      <c r="F350" t="s">
        <v>2021</v>
      </c>
      <c r="G350" t="s">
        <v>2022</v>
      </c>
      <c r="H350" t="s">
        <v>2023</v>
      </c>
      <c r="I350" t="s">
        <v>2097</v>
      </c>
      <c r="J350" t="s">
        <v>1963</v>
      </c>
      <c r="K350" t="s">
        <v>2953</v>
      </c>
      <c r="L350" t="s">
        <v>2025</v>
      </c>
      <c r="M350" t="s">
        <v>2099</v>
      </c>
      <c r="N350" t="s">
        <v>2100</v>
      </c>
      <c r="O350" t="s">
        <v>2101</v>
      </c>
      <c r="P350" t="s">
        <v>2102</v>
      </c>
      <c r="Q350" t="s">
        <v>2103</v>
      </c>
      <c r="R350" t="s">
        <v>14</v>
      </c>
      <c r="S350" t="s">
        <v>2101</v>
      </c>
      <c r="T350" t="s">
        <v>2102</v>
      </c>
      <c r="U350" t="s">
        <v>2052</v>
      </c>
      <c r="V350" t="s">
        <v>14</v>
      </c>
      <c r="W350" t="b">
        <v>1</v>
      </c>
      <c r="X350" t="s">
        <v>1758</v>
      </c>
      <c r="Y350" t="b">
        <v>0</v>
      </c>
      <c r="Z350" t="s">
        <v>2053</v>
      </c>
    </row>
    <row r="351" spans="1:26" x14ac:dyDescent="0.35">
      <c r="A351" t="s">
        <v>1759</v>
      </c>
      <c r="B351" t="s">
        <v>2954</v>
      </c>
      <c r="C351" t="s">
        <v>2544</v>
      </c>
      <c r="D351" t="s">
        <v>1963</v>
      </c>
      <c r="E351" t="s">
        <v>2020</v>
      </c>
      <c r="F351" t="s">
        <v>2021</v>
      </c>
      <c r="G351" t="s">
        <v>2022</v>
      </c>
      <c r="H351" t="s">
        <v>2023</v>
      </c>
      <c r="I351" t="s">
        <v>1426</v>
      </c>
      <c r="J351" t="s">
        <v>1963</v>
      </c>
      <c r="K351" t="s">
        <v>2955</v>
      </c>
      <c r="L351" t="s">
        <v>2025</v>
      </c>
      <c r="M351" t="s">
        <v>2058</v>
      </c>
      <c r="N351" t="s">
        <v>2059</v>
      </c>
      <c r="O351" t="s">
        <v>2060</v>
      </c>
      <c r="P351" t="s">
        <v>2061</v>
      </c>
      <c r="Q351" t="s">
        <v>2062</v>
      </c>
      <c r="R351" t="s">
        <v>14</v>
      </c>
      <c r="S351" t="s">
        <v>2063</v>
      </c>
      <c r="T351" t="s">
        <v>2064</v>
      </c>
      <c r="U351" t="s">
        <v>2052</v>
      </c>
      <c r="V351" t="s">
        <v>14</v>
      </c>
      <c r="W351" t="b">
        <v>1</v>
      </c>
      <c r="X351" t="s">
        <v>1760</v>
      </c>
      <c r="Y351" t="b">
        <v>0</v>
      </c>
      <c r="Z351" t="s">
        <v>2053</v>
      </c>
    </row>
    <row r="352" spans="1:26" x14ac:dyDescent="0.35">
      <c r="A352" t="s">
        <v>1761</v>
      </c>
      <c r="B352" t="s">
        <v>2956</v>
      </c>
      <c r="C352" t="s">
        <v>2544</v>
      </c>
      <c r="D352" t="s">
        <v>1963</v>
      </c>
      <c r="E352" t="s">
        <v>2020</v>
      </c>
      <c r="F352" t="s">
        <v>2021</v>
      </c>
      <c r="G352" t="s">
        <v>2022</v>
      </c>
      <c r="H352" t="s">
        <v>2023</v>
      </c>
      <c r="I352" t="s">
        <v>1426</v>
      </c>
      <c r="J352" t="s">
        <v>1963</v>
      </c>
      <c r="K352" t="s">
        <v>2957</v>
      </c>
      <c r="L352" t="s">
        <v>2025</v>
      </c>
      <c r="M352" t="s">
        <v>2058</v>
      </c>
      <c r="N352" t="s">
        <v>2059</v>
      </c>
      <c r="O352" t="s">
        <v>2060</v>
      </c>
      <c r="P352" t="s">
        <v>2061</v>
      </c>
      <c r="Q352" t="s">
        <v>2062</v>
      </c>
      <c r="R352" t="s">
        <v>14</v>
      </c>
      <c r="S352" t="s">
        <v>2063</v>
      </c>
      <c r="T352" t="s">
        <v>2064</v>
      </c>
      <c r="U352" t="s">
        <v>2052</v>
      </c>
      <c r="V352" t="s">
        <v>14</v>
      </c>
      <c r="W352" t="b">
        <v>1</v>
      </c>
      <c r="X352" t="s">
        <v>1762</v>
      </c>
      <c r="Y352" t="b">
        <v>0</v>
      </c>
      <c r="Z352" t="s">
        <v>2053</v>
      </c>
    </row>
    <row r="353" spans="1:26" x14ac:dyDescent="0.35">
      <c r="A353" t="s">
        <v>1763</v>
      </c>
      <c r="B353" t="s">
        <v>2958</v>
      </c>
      <c r="C353" t="s">
        <v>2544</v>
      </c>
      <c r="D353" t="s">
        <v>1963</v>
      </c>
      <c r="E353" t="s">
        <v>2020</v>
      </c>
      <c r="F353" t="s">
        <v>2055</v>
      </c>
      <c r="G353" t="s">
        <v>2056</v>
      </c>
      <c r="H353" t="s">
        <v>2023</v>
      </c>
      <c r="I353" t="s">
        <v>1764</v>
      </c>
      <c r="J353" t="s">
        <v>1963</v>
      </c>
      <c r="K353" t="s">
        <v>2959</v>
      </c>
      <c r="L353" t="s">
        <v>2046</v>
      </c>
      <c r="M353" t="s">
        <v>2120</v>
      </c>
      <c r="N353" t="s">
        <v>2121</v>
      </c>
      <c r="O353" t="s">
        <v>2060</v>
      </c>
      <c r="P353" t="s">
        <v>2061</v>
      </c>
      <c r="Q353" t="s">
        <v>2122</v>
      </c>
      <c r="R353" t="s">
        <v>14</v>
      </c>
      <c r="S353" t="s">
        <v>2125</v>
      </c>
      <c r="T353" t="s">
        <v>2126</v>
      </c>
      <c r="U353" t="s">
        <v>2052</v>
      </c>
      <c r="V353" t="s">
        <v>14</v>
      </c>
      <c r="W353" t="b">
        <v>1</v>
      </c>
      <c r="X353" t="s">
        <v>1765</v>
      </c>
      <c r="Y353" t="b">
        <v>0</v>
      </c>
      <c r="Z353" t="s">
        <v>2032</v>
      </c>
    </row>
    <row r="354" spans="1:26" x14ac:dyDescent="0.35">
      <c r="A354" t="s">
        <v>1763</v>
      </c>
      <c r="B354" t="s">
        <v>2958</v>
      </c>
      <c r="C354" t="s">
        <v>2544</v>
      </c>
      <c r="D354" t="s">
        <v>1963</v>
      </c>
      <c r="E354" t="s">
        <v>2020</v>
      </c>
      <c r="F354" t="s">
        <v>2055</v>
      </c>
      <c r="G354" t="s">
        <v>2056</v>
      </c>
      <c r="H354" t="s">
        <v>2023</v>
      </c>
      <c r="I354" t="s">
        <v>2118</v>
      </c>
      <c r="J354" t="s">
        <v>1963</v>
      </c>
      <c r="K354" t="s">
        <v>2959</v>
      </c>
      <c r="L354" t="s">
        <v>2046</v>
      </c>
      <c r="M354" t="s">
        <v>2120</v>
      </c>
      <c r="N354" t="s">
        <v>2121</v>
      </c>
      <c r="O354" t="s">
        <v>2060</v>
      </c>
      <c r="P354" t="s">
        <v>2061</v>
      </c>
      <c r="Q354" t="s">
        <v>2122</v>
      </c>
      <c r="R354" t="s">
        <v>14</v>
      </c>
      <c r="S354" t="s">
        <v>2123</v>
      </c>
      <c r="T354" t="s">
        <v>2124</v>
      </c>
      <c r="U354" t="s">
        <v>2052</v>
      </c>
      <c r="V354" t="s">
        <v>14</v>
      </c>
      <c r="W354" t="b">
        <v>1</v>
      </c>
      <c r="X354" t="s">
        <v>1765</v>
      </c>
      <c r="Y354" t="b">
        <v>0</v>
      </c>
      <c r="Z354" t="s">
        <v>2053</v>
      </c>
    </row>
    <row r="355" spans="1:26" x14ac:dyDescent="0.35">
      <c r="A355" t="s">
        <v>1766</v>
      </c>
      <c r="B355" t="s">
        <v>2960</v>
      </c>
      <c r="C355" t="s">
        <v>2544</v>
      </c>
      <c r="D355" t="s">
        <v>1963</v>
      </c>
      <c r="E355" t="s">
        <v>2020</v>
      </c>
      <c r="F355" t="s">
        <v>2021</v>
      </c>
      <c r="G355" t="s">
        <v>2022</v>
      </c>
      <c r="H355" t="s">
        <v>2023</v>
      </c>
      <c r="I355" t="s">
        <v>25</v>
      </c>
      <c r="J355" t="s">
        <v>1963</v>
      </c>
      <c r="K355" t="s">
        <v>2961</v>
      </c>
      <c r="L355" t="s">
        <v>2025</v>
      </c>
      <c r="M355" t="s">
        <v>2073</v>
      </c>
      <c r="N355" t="s">
        <v>2074</v>
      </c>
      <c r="O355" t="s">
        <v>2075</v>
      </c>
      <c r="P355" t="s">
        <v>2076</v>
      </c>
      <c r="Q355" t="s">
        <v>2077</v>
      </c>
      <c r="R355" t="s">
        <v>14</v>
      </c>
      <c r="S355" t="s">
        <v>2078</v>
      </c>
      <c r="T355" t="s">
        <v>2079</v>
      </c>
      <c r="U355" t="s">
        <v>2080</v>
      </c>
      <c r="V355" t="s">
        <v>14</v>
      </c>
      <c r="W355" t="b">
        <v>1</v>
      </c>
      <c r="X355" t="s">
        <v>1767</v>
      </c>
      <c r="Y355" t="b">
        <v>0</v>
      </c>
      <c r="Z355" t="s">
        <v>2081</v>
      </c>
    </row>
    <row r="356" spans="1:26" x14ac:dyDescent="0.35">
      <c r="A356" t="s">
        <v>1769</v>
      </c>
      <c r="B356" t="s">
        <v>2962</v>
      </c>
      <c r="C356" t="s">
        <v>2544</v>
      </c>
      <c r="D356" t="s">
        <v>1963</v>
      </c>
      <c r="E356" t="s">
        <v>2020</v>
      </c>
      <c r="F356" t="s">
        <v>2021</v>
      </c>
      <c r="G356" t="s">
        <v>2022</v>
      </c>
      <c r="H356" t="s">
        <v>2023</v>
      </c>
      <c r="I356" t="s">
        <v>2963</v>
      </c>
      <c r="J356" t="s">
        <v>1963</v>
      </c>
      <c r="K356" t="s">
        <v>2964</v>
      </c>
      <c r="L356" t="s">
        <v>2046</v>
      </c>
      <c r="M356" t="s">
        <v>2965</v>
      </c>
      <c r="N356" t="s">
        <v>2966</v>
      </c>
      <c r="O356" t="s">
        <v>2211</v>
      </c>
      <c r="P356" t="s">
        <v>2212</v>
      </c>
      <c r="Q356" t="s">
        <v>14</v>
      </c>
      <c r="R356" t="s">
        <v>14</v>
      </c>
      <c r="S356" t="s">
        <v>14</v>
      </c>
      <c r="T356" t="s">
        <v>14</v>
      </c>
      <c r="U356" t="s">
        <v>2052</v>
      </c>
      <c r="V356" t="s">
        <v>14</v>
      </c>
      <c r="W356" t="b">
        <v>1</v>
      </c>
      <c r="X356" t="s">
        <v>1770</v>
      </c>
      <c r="Y356" t="b">
        <v>0</v>
      </c>
      <c r="Z356" t="s">
        <v>2053</v>
      </c>
    </row>
    <row r="357" spans="1:26" x14ac:dyDescent="0.35">
      <c r="A357" t="s">
        <v>26</v>
      </c>
      <c r="B357" t="s">
        <v>27</v>
      </c>
      <c r="C357" t="s">
        <v>2967</v>
      </c>
      <c r="D357" t="s">
        <v>1963</v>
      </c>
      <c r="E357" t="s">
        <v>2020</v>
      </c>
      <c r="F357" t="s">
        <v>2140</v>
      </c>
      <c r="G357" t="s">
        <v>2141</v>
      </c>
      <c r="H357" t="s">
        <v>2023</v>
      </c>
      <c r="I357" t="s">
        <v>2968</v>
      </c>
      <c r="J357" t="s">
        <v>1963</v>
      </c>
      <c r="K357" t="s">
        <v>2969</v>
      </c>
      <c r="L357" t="s">
        <v>2046</v>
      </c>
      <c r="M357" t="s">
        <v>2970</v>
      </c>
      <c r="N357" t="s">
        <v>2971</v>
      </c>
      <c r="O357" t="s">
        <v>2401</v>
      </c>
      <c r="P357" t="s">
        <v>2402</v>
      </c>
      <c r="Q357" t="s">
        <v>14</v>
      </c>
      <c r="R357" t="s">
        <v>14</v>
      </c>
      <c r="S357" t="s">
        <v>2972</v>
      </c>
      <c r="T357" t="s">
        <v>2973</v>
      </c>
      <c r="U357" t="s">
        <v>2390</v>
      </c>
      <c r="V357" t="s">
        <v>14</v>
      </c>
      <c r="W357" t="b">
        <v>1</v>
      </c>
      <c r="X357" t="s">
        <v>2974</v>
      </c>
      <c r="Y357" t="b">
        <v>0</v>
      </c>
      <c r="Z357" t="s">
        <v>2032</v>
      </c>
    </row>
    <row r="358" spans="1:26" x14ac:dyDescent="0.35">
      <c r="A358" t="s">
        <v>26</v>
      </c>
      <c r="B358" t="s">
        <v>27</v>
      </c>
      <c r="C358" t="s">
        <v>2967</v>
      </c>
      <c r="D358" t="s">
        <v>1963</v>
      </c>
      <c r="E358" t="s">
        <v>2020</v>
      </c>
      <c r="F358" t="s">
        <v>2140</v>
      </c>
      <c r="G358" t="s">
        <v>2141</v>
      </c>
      <c r="H358" t="s">
        <v>2023</v>
      </c>
      <c r="I358" t="s">
        <v>40</v>
      </c>
      <c r="J358" t="s">
        <v>1963</v>
      </c>
      <c r="K358" t="s">
        <v>2969</v>
      </c>
      <c r="L358" t="s">
        <v>2046</v>
      </c>
      <c r="M358" t="s">
        <v>2214</v>
      </c>
      <c r="N358" t="s">
        <v>2215</v>
      </c>
      <c r="O358" t="s">
        <v>2214</v>
      </c>
      <c r="P358" t="s">
        <v>2215</v>
      </c>
      <c r="Q358" t="s">
        <v>14</v>
      </c>
      <c r="R358" t="s">
        <v>14</v>
      </c>
      <c r="S358" t="s">
        <v>14</v>
      </c>
      <c r="T358" t="s">
        <v>14</v>
      </c>
      <c r="U358" t="s">
        <v>2052</v>
      </c>
      <c r="V358" t="s">
        <v>14</v>
      </c>
      <c r="W358" t="b">
        <v>1</v>
      </c>
      <c r="X358" t="s">
        <v>2974</v>
      </c>
      <c r="Y358" t="b">
        <v>0</v>
      </c>
      <c r="Z358" t="s">
        <v>2053</v>
      </c>
    </row>
    <row r="359" spans="1:26" x14ac:dyDescent="0.35">
      <c r="A359" t="s">
        <v>26</v>
      </c>
      <c r="B359" t="s">
        <v>27</v>
      </c>
      <c r="C359" t="s">
        <v>2967</v>
      </c>
      <c r="D359" t="s">
        <v>1963</v>
      </c>
      <c r="E359" t="s">
        <v>2020</v>
      </c>
      <c r="F359" t="s">
        <v>2140</v>
      </c>
      <c r="G359" t="s">
        <v>2141</v>
      </c>
      <c r="H359" t="s">
        <v>2023</v>
      </c>
      <c r="I359" t="s">
        <v>2975</v>
      </c>
      <c r="J359" t="s">
        <v>1963</v>
      </c>
      <c r="K359" t="s">
        <v>2969</v>
      </c>
      <c r="L359" t="s">
        <v>2046</v>
      </c>
      <c r="M359" t="s">
        <v>2970</v>
      </c>
      <c r="N359" t="s">
        <v>2971</v>
      </c>
      <c r="O359" t="s">
        <v>2401</v>
      </c>
      <c r="P359" t="s">
        <v>2402</v>
      </c>
      <c r="Q359" t="s">
        <v>14</v>
      </c>
      <c r="R359" t="s">
        <v>14</v>
      </c>
      <c r="S359" t="s">
        <v>2972</v>
      </c>
      <c r="T359" t="s">
        <v>2973</v>
      </c>
      <c r="U359" t="s">
        <v>2390</v>
      </c>
      <c r="V359" t="s">
        <v>14</v>
      </c>
      <c r="W359" t="b">
        <v>1</v>
      </c>
      <c r="X359" t="s">
        <v>2974</v>
      </c>
      <c r="Y359" t="b">
        <v>0</v>
      </c>
      <c r="Z359" t="s">
        <v>2032</v>
      </c>
    </row>
    <row r="360" spans="1:26" x14ac:dyDescent="0.35">
      <c r="A360" t="s">
        <v>28</v>
      </c>
      <c r="B360" t="s">
        <v>29</v>
      </c>
      <c r="C360" t="s">
        <v>2967</v>
      </c>
      <c r="D360" t="s">
        <v>1963</v>
      </c>
      <c r="E360" t="s">
        <v>2020</v>
      </c>
      <c r="F360" t="s">
        <v>2140</v>
      </c>
      <c r="G360" t="s">
        <v>2141</v>
      </c>
      <c r="H360" t="s">
        <v>2023</v>
      </c>
      <c r="I360" t="s">
        <v>2968</v>
      </c>
      <c r="J360" t="s">
        <v>1963</v>
      </c>
      <c r="K360" t="s">
        <v>2976</v>
      </c>
      <c r="L360" t="s">
        <v>2046</v>
      </c>
      <c r="M360" t="s">
        <v>2970</v>
      </c>
      <c r="N360" t="s">
        <v>2971</v>
      </c>
      <c r="O360" t="s">
        <v>2401</v>
      </c>
      <c r="P360" t="s">
        <v>2402</v>
      </c>
      <c r="Q360" t="s">
        <v>14</v>
      </c>
      <c r="R360" t="s">
        <v>14</v>
      </c>
      <c r="S360" t="s">
        <v>2972</v>
      </c>
      <c r="T360" t="s">
        <v>2973</v>
      </c>
      <c r="U360" t="s">
        <v>2390</v>
      </c>
      <c r="V360" t="s">
        <v>14</v>
      </c>
      <c r="W360" t="b">
        <v>1</v>
      </c>
      <c r="X360" t="s">
        <v>2977</v>
      </c>
      <c r="Y360" t="b">
        <v>0</v>
      </c>
      <c r="Z360" t="s">
        <v>2032</v>
      </c>
    </row>
    <row r="361" spans="1:26" x14ac:dyDescent="0.35">
      <c r="A361" t="s">
        <v>28</v>
      </c>
      <c r="B361" t="s">
        <v>29</v>
      </c>
      <c r="C361" t="s">
        <v>2967</v>
      </c>
      <c r="D361" t="s">
        <v>1963</v>
      </c>
      <c r="E361" t="s">
        <v>2020</v>
      </c>
      <c r="F361" t="s">
        <v>2140</v>
      </c>
      <c r="G361" t="s">
        <v>2141</v>
      </c>
      <c r="H361" t="s">
        <v>2023</v>
      </c>
      <c r="I361" t="s">
        <v>40</v>
      </c>
      <c r="J361" t="s">
        <v>1963</v>
      </c>
      <c r="K361" t="s">
        <v>2976</v>
      </c>
      <c r="L361" t="s">
        <v>2046</v>
      </c>
      <c r="M361" t="s">
        <v>2214</v>
      </c>
      <c r="N361" t="s">
        <v>2215</v>
      </c>
      <c r="O361" t="s">
        <v>2214</v>
      </c>
      <c r="P361" t="s">
        <v>2215</v>
      </c>
      <c r="Q361" t="s">
        <v>14</v>
      </c>
      <c r="R361" t="s">
        <v>14</v>
      </c>
      <c r="S361" t="s">
        <v>14</v>
      </c>
      <c r="T361" t="s">
        <v>14</v>
      </c>
      <c r="U361" t="s">
        <v>2052</v>
      </c>
      <c r="V361" t="s">
        <v>14</v>
      </c>
      <c r="W361" t="b">
        <v>1</v>
      </c>
      <c r="X361" t="s">
        <v>2977</v>
      </c>
      <c r="Y361" t="b">
        <v>0</v>
      </c>
      <c r="Z361" t="s">
        <v>2053</v>
      </c>
    </row>
    <row r="362" spans="1:26" x14ac:dyDescent="0.35">
      <c r="A362" t="s">
        <v>28</v>
      </c>
      <c r="B362" t="s">
        <v>29</v>
      </c>
      <c r="C362" t="s">
        <v>2967</v>
      </c>
      <c r="D362" t="s">
        <v>1963</v>
      </c>
      <c r="E362" t="s">
        <v>2020</v>
      </c>
      <c r="F362" t="s">
        <v>2140</v>
      </c>
      <c r="G362" t="s">
        <v>2141</v>
      </c>
      <c r="H362" t="s">
        <v>2023</v>
      </c>
      <c r="I362" t="s">
        <v>2975</v>
      </c>
      <c r="J362" t="s">
        <v>1963</v>
      </c>
      <c r="K362" t="s">
        <v>2976</v>
      </c>
      <c r="L362" t="s">
        <v>2046</v>
      </c>
      <c r="M362" t="s">
        <v>2970</v>
      </c>
      <c r="N362" t="s">
        <v>2971</v>
      </c>
      <c r="O362" t="s">
        <v>2401</v>
      </c>
      <c r="P362" t="s">
        <v>2402</v>
      </c>
      <c r="Q362" t="s">
        <v>14</v>
      </c>
      <c r="R362" t="s">
        <v>14</v>
      </c>
      <c r="S362" t="s">
        <v>2972</v>
      </c>
      <c r="T362" t="s">
        <v>2973</v>
      </c>
      <c r="U362" t="s">
        <v>2390</v>
      </c>
      <c r="V362" t="s">
        <v>14</v>
      </c>
      <c r="W362" t="b">
        <v>1</v>
      </c>
      <c r="X362" t="s">
        <v>2977</v>
      </c>
      <c r="Y362" t="b">
        <v>0</v>
      </c>
      <c r="Z362" t="s">
        <v>2032</v>
      </c>
    </row>
    <row r="363" spans="1:26" x14ac:dyDescent="0.35">
      <c r="A363" t="s">
        <v>30</v>
      </c>
      <c r="B363" t="s">
        <v>31</v>
      </c>
      <c r="C363" t="s">
        <v>2967</v>
      </c>
      <c r="D363" t="s">
        <v>1963</v>
      </c>
      <c r="E363" t="s">
        <v>2020</v>
      </c>
      <c r="F363" t="s">
        <v>2140</v>
      </c>
      <c r="G363" t="s">
        <v>2141</v>
      </c>
      <c r="H363" t="s">
        <v>2023</v>
      </c>
      <c r="I363" t="s">
        <v>2968</v>
      </c>
      <c r="J363" t="s">
        <v>1963</v>
      </c>
      <c r="K363" t="s">
        <v>2978</v>
      </c>
      <c r="L363" t="s">
        <v>2046</v>
      </c>
      <c r="M363" t="s">
        <v>2970</v>
      </c>
      <c r="N363" t="s">
        <v>2971</v>
      </c>
      <c r="O363" t="s">
        <v>2401</v>
      </c>
      <c r="P363" t="s">
        <v>2402</v>
      </c>
      <c r="Q363" t="s">
        <v>14</v>
      </c>
      <c r="R363" t="s">
        <v>14</v>
      </c>
      <c r="S363" t="s">
        <v>2972</v>
      </c>
      <c r="T363" t="s">
        <v>2973</v>
      </c>
      <c r="U363" t="s">
        <v>2390</v>
      </c>
      <c r="V363" t="s">
        <v>14</v>
      </c>
      <c r="W363" t="b">
        <v>1</v>
      </c>
      <c r="X363" t="s">
        <v>2979</v>
      </c>
      <c r="Y363" t="b">
        <v>0</v>
      </c>
      <c r="Z363" t="s">
        <v>2032</v>
      </c>
    </row>
    <row r="364" spans="1:26" x14ac:dyDescent="0.35">
      <c r="A364" t="s">
        <v>30</v>
      </c>
      <c r="B364" t="s">
        <v>31</v>
      </c>
      <c r="C364" t="s">
        <v>2967</v>
      </c>
      <c r="D364" t="s">
        <v>1963</v>
      </c>
      <c r="E364" t="s">
        <v>2020</v>
      </c>
      <c r="F364" t="s">
        <v>2140</v>
      </c>
      <c r="G364" t="s">
        <v>2141</v>
      </c>
      <c r="H364" t="s">
        <v>2023</v>
      </c>
      <c r="I364" t="s">
        <v>40</v>
      </c>
      <c r="J364" t="s">
        <v>1963</v>
      </c>
      <c r="K364" t="s">
        <v>2978</v>
      </c>
      <c r="L364" t="s">
        <v>2046</v>
      </c>
      <c r="M364" t="s">
        <v>2214</v>
      </c>
      <c r="N364" t="s">
        <v>2215</v>
      </c>
      <c r="O364" t="s">
        <v>2214</v>
      </c>
      <c r="P364" t="s">
        <v>2215</v>
      </c>
      <c r="Q364" t="s">
        <v>14</v>
      </c>
      <c r="R364" t="s">
        <v>14</v>
      </c>
      <c r="S364" t="s">
        <v>14</v>
      </c>
      <c r="T364" t="s">
        <v>14</v>
      </c>
      <c r="U364" t="s">
        <v>2052</v>
      </c>
      <c r="V364" t="s">
        <v>14</v>
      </c>
      <c r="W364" t="b">
        <v>1</v>
      </c>
      <c r="X364" t="s">
        <v>2979</v>
      </c>
      <c r="Y364" t="b">
        <v>0</v>
      </c>
      <c r="Z364" t="s">
        <v>2053</v>
      </c>
    </row>
    <row r="365" spans="1:26" x14ac:dyDescent="0.35">
      <c r="A365" t="s">
        <v>30</v>
      </c>
      <c r="B365" t="s">
        <v>31</v>
      </c>
      <c r="C365" t="s">
        <v>2967</v>
      </c>
      <c r="D365" t="s">
        <v>1963</v>
      </c>
      <c r="E365" t="s">
        <v>2020</v>
      </c>
      <c r="F365" t="s">
        <v>2140</v>
      </c>
      <c r="G365" t="s">
        <v>2141</v>
      </c>
      <c r="H365" t="s">
        <v>2023</v>
      </c>
      <c r="I365" t="s">
        <v>2975</v>
      </c>
      <c r="J365" t="s">
        <v>1963</v>
      </c>
      <c r="K365" t="s">
        <v>2978</v>
      </c>
      <c r="L365" t="s">
        <v>2046</v>
      </c>
      <c r="M365" t="s">
        <v>2970</v>
      </c>
      <c r="N365" t="s">
        <v>2971</v>
      </c>
      <c r="O365" t="s">
        <v>2401</v>
      </c>
      <c r="P365" t="s">
        <v>2402</v>
      </c>
      <c r="Q365" t="s">
        <v>14</v>
      </c>
      <c r="R365" t="s">
        <v>14</v>
      </c>
      <c r="S365" t="s">
        <v>2972</v>
      </c>
      <c r="T365" t="s">
        <v>2973</v>
      </c>
      <c r="U365" t="s">
        <v>2390</v>
      </c>
      <c r="V365" t="s">
        <v>14</v>
      </c>
      <c r="W365" t="b">
        <v>1</v>
      </c>
      <c r="X365" t="s">
        <v>2979</v>
      </c>
      <c r="Y365" t="b">
        <v>0</v>
      </c>
      <c r="Z365" t="s">
        <v>2032</v>
      </c>
    </row>
    <row r="366" spans="1:26" x14ac:dyDescent="0.35">
      <c r="A366" t="s">
        <v>32</v>
      </c>
      <c r="B366" t="s">
        <v>33</v>
      </c>
      <c r="C366" t="s">
        <v>2967</v>
      </c>
      <c r="D366" t="s">
        <v>1963</v>
      </c>
      <c r="E366" t="s">
        <v>2020</v>
      </c>
      <c r="F366" t="s">
        <v>2140</v>
      </c>
      <c r="G366" t="s">
        <v>2141</v>
      </c>
      <c r="H366" t="s">
        <v>2023</v>
      </c>
      <c r="I366" t="s">
        <v>40</v>
      </c>
      <c r="J366" t="s">
        <v>1963</v>
      </c>
      <c r="K366" t="s">
        <v>2980</v>
      </c>
      <c r="L366" t="s">
        <v>2046</v>
      </c>
      <c r="M366" t="s">
        <v>2214</v>
      </c>
      <c r="N366" t="s">
        <v>2215</v>
      </c>
      <c r="O366" t="s">
        <v>2214</v>
      </c>
      <c r="P366" t="s">
        <v>2215</v>
      </c>
      <c r="Q366" t="s">
        <v>14</v>
      </c>
      <c r="R366" t="s">
        <v>14</v>
      </c>
      <c r="S366" t="s">
        <v>14</v>
      </c>
      <c r="T366" t="s">
        <v>14</v>
      </c>
      <c r="U366" t="s">
        <v>2052</v>
      </c>
      <c r="V366" t="s">
        <v>14</v>
      </c>
      <c r="W366" t="b">
        <v>1</v>
      </c>
      <c r="X366" t="s">
        <v>2981</v>
      </c>
      <c r="Y366" t="b">
        <v>0</v>
      </c>
      <c r="Z366" t="s">
        <v>2053</v>
      </c>
    </row>
    <row r="367" spans="1:26" x14ac:dyDescent="0.35">
      <c r="A367" t="s">
        <v>32</v>
      </c>
      <c r="B367" t="s">
        <v>33</v>
      </c>
      <c r="C367" t="s">
        <v>2967</v>
      </c>
      <c r="D367" t="s">
        <v>1963</v>
      </c>
      <c r="E367" t="s">
        <v>2020</v>
      </c>
      <c r="F367" t="s">
        <v>2140</v>
      </c>
      <c r="G367" t="s">
        <v>2141</v>
      </c>
      <c r="H367" t="s">
        <v>2023</v>
      </c>
      <c r="I367" t="s">
        <v>2975</v>
      </c>
      <c r="J367" t="s">
        <v>1963</v>
      </c>
      <c r="K367" t="s">
        <v>2980</v>
      </c>
      <c r="L367" t="s">
        <v>2046</v>
      </c>
      <c r="M367" t="s">
        <v>2970</v>
      </c>
      <c r="N367" t="s">
        <v>2971</v>
      </c>
      <c r="O367" t="s">
        <v>2401</v>
      </c>
      <c r="P367" t="s">
        <v>2402</v>
      </c>
      <c r="Q367" t="s">
        <v>14</v>
      </c>
      <c r="R367" t="s">
        <v>14</v>
      </c>
      <c r="S367" t="s">
        <v>2972</v>
      </c>
      <c r="T367" t="s">
        <v>2973</v>
      </c>
      <c r="U367" t="s">
        <v>2390</v>
      </c>
      <c r="V367" t="s">
        <v>14</v>
      </c>
      <c r="W367" t="b">
        <v>1</v>
      </c>
      <c r="X367" t="s">
        <v>2981</v>
      </c>
      <c r="Y367" t="b">
        <v>0</v>
      </c>
      <c r="Z367" t="s">
        <v>2032</v>
      </c>
    </row>
    <row r="368" spans="1:26" x14ac:dyDescent="0.35">
      <c r="A368" t="s">
        <v>32</v>
      </c>
      <c r="B368" t="s">
        <v>33</v>
      </c>
      <c r="C368" t="s">
        <v>2967</v>
      </c>
      <c r="D368" t="s">
        <v>1963</v>
      </c>
      <c r="E368" t="s">
        <v>2020</v>
      </c>
      <c r="F368" t="s">
        <v>2140</v>
      </c>
      <c r="G368" t="s">
        <v>2141</v>
      </c>
      <c r="H368" t="s">
        <v>2023</v>
      </c>
      <c r="I368" t="s">
        <v>2968</v>
      </c>
      <c r="J368" t="s">
        <v>1963</v>
      </c>
      <c r="K368" t="s">
        <v>2980</v>
      </c>
      <c r="L368" t="s">
        <v>2046</v>
      </c>
      <c r="M368" t="s">
        <v>2970</v>
      </c>
      <c r="N368" t="s">
        <v>2971</v>
      </c>
      <c r="O368" t="s">
        <v>2401</v>
      </c>
      <c r="P368" t="s">
        <v>2402</v>
      </c>
      <c r="Q368" t="s">
        <v>14</v>
      </c>
      <c r="R368" t="s">
        <v>14</v>
      </c>
      <c r="S368" t="s">
        <v>2972</v>
      </c>
      <c r="T368" t="s">
        <v>2973</v>
      </c>
      <c r="U368" t="s">
        <v>2390</v>
      </c>
      <c r="V368" t="s">
        <v>14</v>
      </c>
      <c r="W368" t="b">
        <v>1</v>
      </c>
      <c r="X368" t="s">
        <v>2981</v>
      </c>
      <c r="Y368" t="b">
        <v>0</v>
      </c>
      <c r="Z368" t="s">
        <v>2032</v>
      </c>
    </row>
    <row r="369" spans="1:26" x14ac:dyDescent="0.35">
      <c r="A369" t="s">
        <v>34</v>
      </c>
      <c r="B369" t="s">
        <v>35</v>
      </c>
      <c r="C369" t="s">
        <v>2967</v>
      </c>
      <c r="D369" t="s">
        <v>1963</v>
      </c>
      <c r="E369" t="s">
        <v>2020</v>
      </c>
      <c r="F369" t="s">
        <v>2140</v>
      </c>
      <c r="G369" t="s">
        <v>2141</v>
      </c>
      <c r="H369" t="s">
        <v>2023</v>
      </c>
      <c r="I369" t="s">
        <v>2975</v>
      </c>
      <c r="J369" t="s">
        <v>1963</v>
      </c>
      <c r="K369" t="s">
        <v>2982</v>
      </c>
      <c r="L369" t="s">
        <v>2046</v>
      </c>
      <c r="M369" t="s">
        <v>2970</v>
      </c>
      <c r="N369" t="s">
        <v>2971</v>
      </c>
      <c r="O369" t="s">
        <v>2401</v>
      </c>
      <c r="P369" t="s">
        <v>2402</v>
      </c>
      <c r="Q369" t="s">
        <v>14</v>
      </c>
      <c r="R369" t="s">
        <v>14</v>
      </c>
      <c r="S369" t="s">
        <v>2972</v>
      </c>
      <c r="T369" t="s">
        <v>2973</v>
      </c>
      <c r="U369" t="s">
        <v>2390</v>
      </c>
      <c r="V369" t="s">
        <v>14</v>
      </c>
      <c r="W369" t="b">
        <v>1</v>
      </c>
      <c r="X369" t="s">
        <v>2983</v>
      </c>
      <c r="Y369" t="b">
        <v>0</v>
      </c>
      <c r="Z369" t="s">
        <v>2032</v>
      </c>
    </row>
    <row r="370" spans="1:26" x14ac:dyDescent="0.35">
      <c r="A370" t="s">
        <v>34</v>
      </c>
      <c r="B370" t="s">
        <v>35</v>
      </c>
      <c r="C370" t="s">
        <v>2967</v>
      </c>
      <c r="D370" t="s">
        <v>1963</v>
      </c>
      <c r="E370" t="s">
        <v>2020</v>
      </c>
      <c r="F370" t="s">
        <v>2140</v>
      </c>
      <c r="G370" t="s">
        <v>2141</v>
      </c>
      <c r="H370" t="s">
        <v>2023</v>
      </c>
      <c r="I370" t="s">
        <v>2968</v>
      </c>
      <c r="J370" t="s">
        <v>1963</v>
      </c>
      <c r="K370" t="s">
        <v>2982</v>
      </c>
      <c r="L370" t="s">
        <v>2046</v>
      </c>
      <c r="M370" t="s">
        <v>2970</v>
      </c>
      <c r="N370" t="s">
        <v>2971</v>
      </c>
      <c r="O370" t="s">
        <v>2401</v>
      </c>
      <c r="P370" t="s">
        <v>2402</v>
      </c>
      <c r="Q370" t="s">
        <v>14</v>
      </c>
      <c r="R370" t="s">
        <v>14</v>
      </c>
      <c r="S370" t="s">
        <v>2972</v>
      </c>
      <c r="T370" t="s">
        <v>2973</v>
      </c>
      <c r="U370" t="s">
        <v>2390</v>
      </c>
      <c r="V370" t="s">
        <v>14</v>
      </c>
      <c r="W370" t="b">
        <v>1</v>
      </c>
      <c r="X370" t="s">
        <v>2983</v>
      </c>
      <c r="Y370" t="b">
        <v>0</v>
      </c>
      <c r="Z370" t="s">
        <v>2032</v>
      </c>
    </row>
    <row r="371" spans="1:26" x14ac:dyDescent="0.35">
      <c r="A371" t="s">
        <v>34</v>
      </c>
      <c r="B371" t="s">
        <v>35</v>
      </c>
      <c r="C371" t="s">
        <v>2967</v>
      </c>
      <c r="D371" t="s">
        <v>1963</v>
      </c>
      <c r="E371" t="s">
        <v>2020</v>
      </c>
      <c r="F371" t="s">
        <v>2140</v>
      </c>
      <c r="G371" t="s">
        <v>2141</v>
      </c>
      <c r="H371" t="s">
        <v>2023</v>
      </c>
      <c r="I371" t="s">
        <v>40</v>
      </c>
      <c r="J371" t="s">
        <v>1963</v>
      </c>
      <c r="K371" t="s">
        <v>2982</v>
      </c>
      <c r="L371" t="s">
        <v>2046</v>
      </c>
      <c r="M371" t="s">
        <v>2214</v>
      </c>
      <c r="N371" t="s">
        <v>2215</v>
      </c>
      <c r="O371" t="s">
        <v>2214</v>
      </c>
      <c r="P371" t="s">
        <v>2215</v>
      </c>
      <c r="Q371" t="s">
        <v>14</v>
      </c>
      <c r="R371" t="s">
        <v>14</v>
      </c>
      <c r="S371" t="s">
        <v>14</v>
      </c>
      <c r="T371" t="s">
        <v>14</v>
      </c>
      <c r="U371" t="s">
        <v>2052</v>
      </c>
      <c r="V371" t="s">
        <v>14</v>
      </c>
      <c r="W371" t="b">
        <v>1</v>
      </c>
      <c r="X371" t="s">
        <v>2983</v>
      </c>
      <c r="Y371" t="b">
        <v>0</v>
      </c>
      <c r="Z371" t="s">
        <v>2053</v>
      </c>
    </row>
    <row r="372" spans="1:26" x14ac:dyDescent="0.35">
      <c r="A372" t="s">
        <v>36</v>
      </c>
      <c r="B372" t="s">
        <v>37</v>
      </c>
      <c r="C372" t="s">
        <v>2967</v>
      </c>
      <c r="D372" t="s">
        <v>1963</v>
      </c>
      <c r="E372" t="s">
        <v>2020</v>
      </c>
      <c r="F372" t="s">
        <v>2140</v>
      </c>
      <c r="G372" t="s">
        <v>2141</v>
      </c>
      <c r="H372" t="s">
        <v>2023</v>
      </c>
      <c r="I372" t="s">
        <v>40</v>
      </c>
      <c r="J372" t="s">
        <v>1963</v>
      </c>
      <c r="K372" t="s">
        <v>2984</v>
      </c>
      <c r="L372" t="s">
        <v>2046</v>
      </c>
      <c r="M372" t="s">
        <v>2214</v>
      </c>
      <c r="N372" t="s">
        <v>2215</v>
      </c>
      <c r="O372" t="s">
        <v>2214</v>
      </c>
      <c r="P372" t="s">
        <v>2215</v>
      </c>
      <c r="Q372" t="s">
        <v>14</v>
      </c>
      <c r="R372" t="s">
        <v>14</v>
      </c>
      <c r="S372" t="s">
        <v>14</v>
      </c>
      <c r="T372" t="s">
        <v>14</v>
      </c>
      <c r="U372" t="s">
        <v>2052</v>
      </c>
      <c r="V372" t="s">
        <v>14</v>
      </c>
      <c r="W372" t="b">
        <v>1</v>
      </c>
      <c r="X372" t="s">
        <v>2985</v>
      </c>
      <c r="Y372" t="b">
        <v>0</v>
      </c>
      <c r="Z372" t="s">
        <v>2053</v>
      </c>
    </row>
    <row r="373" spans="1:26" x14ac:dyDescent="0.35">
      <c r="A373" t="s">
        <v>36</v>
      </c>
      <c r="B373" t="s">
        <v>37</v>
      </c>
      <c r="C373" t="s">
        <v>2967</v>
      </c>
      <c r="D373" t="s">
        <v>1963</v>
      </c>
      <c r="E373" t="s">
        <v>2020</v>
      </c>
      <c r="F373" t="s">
        <v>2140</v>
      </c>
      <c r="G373" t="s">
        <v>2141</v>
      </c>
      <c r="H373" t="s">
        <v>2023</v>
      </c>
      <c r="I373" t="s">
        <v>2975</v>
      </c>
      <c r="J373" t="s">
        <v>1963</v>
      </c>
      <c r="K373" t="s">
        <v>2984</v>
      </c>
      <c r="L373" t="s">
        <v>2046</v>
      </c>
      <c r="M373" t="s">
        <v>2970</v>
      </c>
      <c r="N373" t="s">
        <v>2971</v>
      </c>
      <c r="O373" t="s">
        <v>2401</v>
      </c>
      <c r="P373" t="s">
        <v>2402</v>
      </c>
      <c r="Q373" t="s">
        <v>14</v>
      </c>
      <c r="R373" t="s">
        <v>14</v>
      </c>
      <c r="S373" t="s">
        <v>2972</v>
      </c>
      <c r="T373" t="s">
        <v>2973</v>
      </c>
      <c r="U373" t="s">
        <v>2390</v>
      </c>
      <c r="V373" t="s">
        <v>14</v>
      </c>
      <c r="W373" t="b">
        <v>1</v>
      </c>
      <c r="X373" t="s">
        <v>2985</v>
      </c>
      <c r="Y373" t="b">
        <v>0</v>
      </c>
      <c r="Z373" t="s">
        <v>2032</v>
      </c>
    </row>
    <row r="374" spans="1:26" x14ac:dyDescent="0.35">
      <c r="A374" t="s">
        <v>36</v>
      </c>
      <c r="B374" t="s">
        <v>37</v>
      </c>
      <c r="C374" t="s">
        <v>2967</v>
      </c>
      <c r="D374" t="s">
        <v>1963</v>
      </c>
      <c r="E374" t="s">
        <v>2020</v>
      </c>
      <c r="F374" t="s">
        <v>2140</v>
      </c>
      <c r="G374" t="s">
        <v>2141</v>
      </c>
      <c r="H374" t="s">
        <v>2023</v>
      </c>
      <c r="I374" t="s">
        <v>2968</v>
      </c>
      <c r="J374" t="s">
        <v>1963</v>
      </c>
      <c r="K374" t="s">
        <v>2984</v>
      </c>
      <c r="L374" t="s">
        <v>2046</v>
      </c>
      <c r="M374" t="s">
        <v>2970</v>
      </c>
      <c r="N374" t="s">
        <v>2971</v>
      </c>
      <c r="O374" t="s">
        <v>2401</v>
      </c>
      <c r="P374" t="s">
        <v>2402</v>
      </c>
      <c r="Q374" t="s">
        <v>14</v>
      </c>
      <c r="R374" t="s">
        <v>14</v>
      </c>
      <c r="S374" t="s">
        <v>2972</v>
      </c>
      <c r="T374" t="s">
        <v>2973</v>
      </c>
      <c r="U374" t="s">
        <v>2390</v>
      </c>
      <c r="V374" t="s">
        <v>14</v>
      </c>
      <c r="W374" t="b">
        <v>1</v>
      </c>
      <c r="X374" t="s">
        <v>2985</v>
      </c>
      <c r="Y374" t="b">
        <v>0</v>
      </c>
      <c r="Z374" t="s">
        <v>2032</v>
      </c>
    </row>
    <row r="375" spans="1:26" x14ac:dyDescent="0.35">
      <c r="A375" t="s">
        <v>38</v>
      </c>
      <c r="B375" t="s">
        <v>39</v>
      </c>
      <c r="C375" t="s">
        <v>2967</v>
      </c>
      <c r="D375" t="s">
        <v>1963</v>
      </c>
      <c r="E375" t="s">
        <v>2020</v>
      </c>
      <c r="F375" t="s">
        <v>2140</v>
      </c>
      <c r="G375" t="s">
        <v>2141</v>
      </c>
      <c r="H375" t="s">
        <v>2023</v>
      </c>
      <c r="I375" t="s">
        <v>2975</v>
      </c>
      <c r="J375" t="s">
        <v>1963</v>
      </c>
      <c r="K375" t="s">
        <v>2986</v>
      </c>
      <c r="L375" t="s">
        <v>2046</v>
      </c>
      <c r="M375" t="s">
        <v>2970</v>
      </c>
      <c r="N375" t="s">
        <v>2971</v>
      </c>
      <c r="O375" t="s">
        <v>2401</v>
      </c>
      <c r="P375" t="s">
        <v>2402</v>
      </c>
      <c r="Q375" t="s">
        <v>14</v>
      </c>
      <c r="R375" t="s">
        <v>14</v>
      </c>
      <c r="S375" t="s">
        <v>2972</v>
      </c>
      <c r="T375" t="s">
        <v>2973</v>
      </c>
      <c r="U375" t="s">
        <v>2390</v>
      </c>
      <c r="V375" t="s">
        <v>14</v>
      </c>
      <c r="W375" t="b">
        <v>1</v>
      </c>
      <c r="X375" t="s">
        <v>2987</v>
      </c>
      <c r="Y375" t="b">
        <v>0</v>
      </c>
      <c r="Z375" t="s">
        <v>2032</v>
      </c>
    </row>
    <row r="376" spans="1:26" x14ac:dyDescent="0.35">
      <c r="A376" t="s">
        <v>38</v>
      </c>
      <c r="B376" t="s">
        <v>39</v>
      </c>
      <c r="C376" t="s">
        <v>2967</v>
      </c>
      <c r="D376" t="s">
        <v>1963</v>
      </c>
      <c r="E376" t="s">
        <v>2020</v>
      </c>
      <c r="F376" t="s">
        <v>2140</v>
      </c>
      <c r="G376" t="s">
        <v>2141</v>
      </c>
      <c r="H376" t="s">
        <v>2023</v>
      </c>
      <c r="I376" t="s">
        <v>2968</v>
      </c>
      <c r="J376" t="s">
        <v>1963</v>
      </c>
      <c r="K376" t="s">
        <v>2986</v>
      </c>
      <c r="L376" t="s">
        <v>2046</v>
      </c>
      <c r="M376" t="s">
        <v>2970</v>
      </c>
      <c r="N376" t="s">
        <v>2971</v>
      </c>
      <c r="O376" t="s">
        <v>2401</v>
      </c>
      <c r="P376" t="s">
        <v>2402</v>
      </c>
      <c r="Q376" t="s">
        <v>14</v>
      </c>
      <c r="R376" t="s">
        <v>14</v>
      </c>
      <c r="S376" t="s">
        <v>2972</v>
      </c>
      <c r="T376" t="s">
        <v>2973</v>
      </c>
      <c r="U376" t="s">
        <v>2390</v>
      </c>
      <c r="V376" t="s">
        <v>14</v>
      </c>
      <c r="W376" t="b">
        <v>1</v>
      </c>
      <c r="X376" t="s">
        <v>2987</v>
      </c>
      <c r="Y376" t="b">
        <v>0</v>
      </c>
      <c r="Z376" t="s">
        <v>2032</v>
      </c>
    </row>
    <row r="377" spans="1:26" x14ac:dyDescent="0.35">
      <c r="A377" t="s">
        <v>38</v>
      </c>
      <c r="B377" t="s">
        <v>39</v>
      </c>
      <c r="C377" t="s">
        <v>2967</v>
      </c>
      <c r="D377" t="s">
        <v>1963</v>
      </c>
      <c r="E377" t="s">
        <v>2020</v>
      </c>
      <c r="F377" t="s">
        <v>2140</v>
      </c>
      <c r="G377" t="s">
        <v>2141</v>
      </c>
      <c r="H377" t="s">
        <v>2023</v>
      </c>
      <c r="I377" t="s">
        <v>40</v>
      </c>
      <c r="J377" t="s">
        <v>1963</v>
      </c>
      <c r="K377" t="s">
        <v>2986</v>
      </c>
      <c r="L377" t="s">
        <v>2046</v>
      </c>
      <c r="M377" t="s">
        <v>2214</v>
      </c>
      <c r="N377" t="s">
        <v>2215</v>
      </c>
      <c r="O377" t="s">
        <v>2214</v>
      </c>
      <c r="P377" t="s">
        <v>2215</v>
      </c>
      <c r="Q377" t="s">
        <v>14</v>
      </c>
      <c r="R377" t="s">
        <v>14</v>
      </c>
      <c r="S377" t="s">
        <v>14</v>
      </c>
      <c r="T377" t="s">
        <v>14</v>
      </c>
      <c r="U377" t="s">
        <v>2052</v>
      </c>
      <c r="V377" t="s">
        <v>14</v>
      </c>
      <c r="W377" t="b">
        <v>1</v>
      </c>
      <c r="X377" t="s">
        <v>2987</v>
      </c>
      <c r="Y377" t="b">
        <v>0</v>
      </c>
      <c r="Z377" t="s">
        <v>2053</v>
      </c>
    </row>
    <row r="378" spans="1:26" x14ac:dyDescent="0.35">
      <c r="A378" t="s">
        <v>42</v>
      </c>
      <c r="B378" t="s">
        <v>43</v>
      </c>
      <c r="C378" t="s">
        <v>2967</v>
      </c>
      <c r="D378" t="s">
        <v>1963</v>
      </c>
      <c r="E378" t="s">
        <v>2020</v>
      </c>
      <c r="F378" t="s">
        <v>2055</v>
      </c>
      <c r="G378" t="s">
        <v>2056</v>
      </c>
      <c r="H378" t="s">
        <v>2023</v>
      </c>
      <c r="I378" t="s">
        <v>2988</v>
      </c>
      <c r="J378" t="s">
        <v>1963</v>
      </c>
      <c r="K378" t="s">
        <v>2989</v>
      </c>
      <c r="L378" t="s">
        <v>2046</v>
      </c>
      <c r="M378" t="s">
        <v>2026</v>
      </c>
      <c r="N378" t="s">
        <v>2027</v>
      </c>
      <c r="O378" t="s">
        <v>2028</v>
      </c>
      <c r="P378" t="s">
        <v>2029</v>
      </c>
      <c r="Q378" t="s">
        <v>2990</v>
      </c>
      <c r="R378" t="s">
        <v>14</v>
      </c>
      <c r="S378" t="s">
        <v>2991</v>
      </c>
      <c r="T378" t="s">
        <v>2992</v>
      </c>
      <c r="U378" t="s">
        <v>2030</v>
      </c>
      <c r="V378" t="s">
        <v>14</v>
      </c>
      <c r="W378" t="b">
        <v>1</v>
      </c>
      <c r="X378" t="s">
        <v>2993</v>
      </c>
      <c r="Y378" t="b">
        <v>0</v>
      </c>
      <c r="Z378" t="s">
        <v>2081</v>
      </c>
    </row>
    <row r="379" spans="1:26" x14ac:dyDescent="0.35">
      <c r="A379" t="s">
        <v>44</v>
      </c>
      <c r="B379" t="s">
        <v>45</v>
      </c>
      <c r="C379" t="s">
        <v>2967</v>
      </c>
      <c r="D379" t="s">
        <v>1963</v>
      </c>
      <c r="E379" t="s">
        <v>2020</v>
      </c>
      <c r="F379" t="s">
        <v>2140</v>
      </c>
      <c r="G379" t="s">
        <v>2141</v>
      </c>
      <c r="H379" t="s">
        <v>2023</v>
      </c>
      <c r="I379" t="s">
        <v>2994</v>
      </c>
      <c r="J379" t="s">
        <v>1963</v>
      </c>
      <c r="K379" t="s">
        <v>2995</v>
      </c>
      <c r="L379" t="s">
        <v>2046</v>
      </c>
      <c r="M379" t="s">
        <v>2996</v>
      </c>
      <c r="N379" t="s">
        <v>2997</v>
      </c>
      <c r="O379" t="s">
        <v>2996</v>
      </c>
      <c r="P379" t="s">
        <v>2997</v>
      </c>
      <c r="Q379" t="s">
        <v>2998</v>
      </c>
      <c r="R379" t="s">
        <v>14</v>
      </c>
      <c r="S379" t="s">
        <v>14</v>
      </c>
      <c r="T379" t="s">
        <v>14</v>
      </c>
      <c r="U379" t="s">
        <v>2030</v>
      </c>
      <c r="V379" t="s">
        <v>14</v>
      </c>
      <c r="W379" t="b">
        <v>1</v>
      </c>
      <c r="X379" t="s">
        <v>2999</v>
      </c>
      <c r="Y379" t="b">
        <v>0</v>
      </c>
      <c r="Z379" t="s">
        <v>2053</v>
      </c>
    </row>
    <row r="380" spans="1:26" x14ac:dyDescent="0.35">
      <c r="A380" t="s">
        <v>46</v>
      </c>
      <c r="B380" t="s">
        <v>47</v>
      </c>
      <c r="C380" t="s">
        <v>2967</v>
      </c>
      <c r="D380" t="s">
        <v>1963</v>
      </c>
      <c r="E380" t="s">
        <v>2020</v>
      </c>
      <c r="F380" t="s">
        <v>2055</v>
      </c>
      <c r="G380" t="s">
        <v>2056</v>
      </c>
      <c r="H380" t="s">
        <v>2023</v>
      </c>
      <c r="I380" t="s">
        <v>3000</v>
      </c>
      <c r="J380" t="s">
        <v>1963</v>
      </c>
      <c r="K380" t="s">
        <v>3001</v>
      </c>
      <c r="L380" t="s">
        <v>2046</v>
      </c>
      <c r="M380" t="s">
        <v>3002</v>
      </c>
      <c r="N380" t="s">
        <v>3003</v>
      </c>
      <c r="O380" t="s">
        <v>2362</v>
      </c>
      <c r="P380" t="s">
        <v>2363</v>
      </c>
      <c r="Q380" t="s">
        <v>3004</v>
      </c>
      <c r="R380" t="s">
        <v>14</v>
      </c>
      <c r="S380" t="s">
        <v>3005</v>
      </c>
      <c r="T380" t="s">
        <v>3006</v>
      </c>
      <c r="U380" t="s">
        <v>2171</v>
      </c>
      <c r="V380" t="s">
        <v>14</v>
      </c>
      <c r="W380" t="b">
        <v>1</v>
      </c>
      <c r="X380" t="s">
        <v>3007</v>
      </c>
      <c r="Y380" t="b">
        <v>0</v>
      </c>
      <c r="Z380" t="s">
        <v>2053</v>
      </c>
    </row>
    <row r="381" spans="1:26" x14ac:dyDescent="0.35">
      <c r="A381" t="s">
        <v>46</v>
      </c>
      <c r="B381" t="s">
        <v>47</v>
      </c>
      <c r="C381" t="s">
        <v>2967</v>
      </c>
      <c r="D381" t="s">
        <v>1963</v>
      </c>
      <c r="E381" t="s">
        <v>2020</v>
      </c>
      <c r="F381" t="s">
        <v>2055</v>
      </c>
      <c r="G381" t="s">
        <v>2056</v>
      </c>
      <c r="H381" t="s">
        <v>2023</v>
      </c>
      <c r="I381" t="s">
        <v>3008</v>
      </c>
      <c r="J381" t="s">
        <v>1963</v>
      </c>
      <c r="K381" t="s">
        <v>3001</v>
      </c>
      <c r="L381" t="s">
        <v>2046</v>
      </c>
      <c r="M381" t="s">
        <v>3009</v>
      </c>
      <c r="N381" t="s">
        <v>3010</v>
      </c>
      <c r="O381" t="s">
        <v>2362</v>
      </c>
      <c r="P381" t="s">
        <v>2363</v>
      </c>
      <c r="Q381" t="s">
        <v>3004</v>
      </c>
      <c r="R381" t="s">
        <v>14</v>
      </c>
      <c r="S381" t="s">
        <v>3005</v>
      </c>
      <c r="T381" t="s">
        <v>3006</v>
      </c>
      <c r="U381" t="s">
        <v>2171</v>
      </c>
      <c r="V381" t="s">
        <v>14</v>
      </c>
      <c r="W381" t="b">
        <v>1</v>
      </c>
      <c r="X381" t="s">
        <v>3007</v>
      </c>
      <c r="Y381" t="b">
        <v>0</v>
      </c>
      <c r="Z381" t="s">
        <v>2032</v>
      </c>
    </row>
    <row r="382" spans="1:26" x14ac:dyDescent="0.35">
      <c r="A382" t="s">
        <v>48</v>
      </c>
      <c r="B382" t="s">
        <v>49</v>
      </c>
      <c r="C382" t="s">
        <v>2967</v>
      </c>
      <c r="D382" t="s">
        <v>1963</v>
      </c>
      <c r="E382" t="s">
        <v>2020</v>
      </c>
      <c r="F382" t="s">
        <v>2021</v>
      </c>
      <c r="G382" t="s">
        <v>2022</v>
      </c>
      <c r="H382" t="s">
        <v>2023</v>
      </c>
      <c r="I382" t="s">
        <v>3011</v>
      </c>
      <c r="J382" t="s">
        <v>1963</v>
      </c>
      <c r="K382" t="s">
        <v>3012</v>
      </c>
      <c r="L382" t="s">
        <v>2046</v>
      </c>
      <c r="M382" t="s">
        <v>3013</v>
      </c>
      <c r="N382" t="s">
        <v>3014</v>
      </c>
      <c r="O382" t="s">
        <v>3013</v>
      </c>
      <c r="P382" t="s">
        <v>3014</v>
      </c>
      <c r="Q382" t="s">
        <v>14</v>
      </c>
      <c r="R382" t="s">
        <v>14</v>
      </c>
      <c r="S382" t="s">
        <v>14</v>
      </c>
      <c r="T382" t="s">
        <v>14</v>
      </c>
      <c r="U382" t="s">
        <v>3015</v>
      </c>
      <c r="V382" t="s">
        <v>14</v>
      </c>
      <c r="W382" t="b">
        <v>1</v>
      </c>
      <c r="X382" t="s">
        <v>3016</v>
      </c>
      <c r="Y382" t="b">
        <v>0</v>
      </c>
      <c r="Z382" t="s">
        <v>2053</v>
      </c>
    </row>
    <row r="383" spans="1:26" x14ac:dyDescent="0.35">
      <c r="A383" t="s">
        <v>51</v>
      </c>
      <c r="B383" t="s">
        <v>52</v>
      </c>
      <c r="C383" t="s">
        <v>2967</v>
      </c>
      <c r="D383" t="s">
        <v>1963</v>
      </c>
      <c r="E383" t="s">
        <v>2020</v>
      </c>
      <c r="F383" t="s">
        <v>2021</v>
      </c>
      <c r="G383" t="s">
        <v>2022</v>
      </c>
      <c r="H383" t="s">
        <v>2023</v>
      </c>
      <c r="I383" t="s">
        <v>3017</v>
      </c>
      <c r="J383" t="s">
        <v>1963</v>
      </c>
      <c r="K383" t="s">
        <v>3018</v>
      </c>
      <c r="L383" t="s">
        <v>2046</v>
      </c>
      <c r="M383" t="s">
        <v>3019</v>
      </c>
      <c r="N383" t="s">
        <v>3020</v>
      </c>
      <c r="O383" t="s">
        <v>3013</v>
      </c>
      <c r="P383" t="s">
        <v>3014</v>
      </c>
      <c r="Q383" t="s">
        <v>3021</v>
      </c>
      <c r="R383" t="s">
        <v>14</v>
      </c>
      <c r="S383" t="s">
        <v>14</v>
      </c>
      <c r="T383" t="s">
        <v>14</v>
      </c>
      <c r="U383" t="s">
        <v>3015</v>
      </c>
      <c r="V383" t="s">
        <v>14</v>
      </c>
      <c r="W383" t="b">
        <v>1</v>
      </c>
      <c r="X383" t="s">
        <v>3022</v>
      </c>
      <c r="Y383" t="b">
        <v>0</v>
      </c>
      <c r="Z383" t="s">
        <v>2053</v>
      </c>
    </row>
    <row r="384" spans="1:26" x14ac:dyDescent="0.35">
      <c r="A384" t="s">
        <v>53</v>
      </c>
      <c r="B384" t="s">
        <v>54</v>
      </c>
      <c r="C384" t="s">
        <v>2967</v>
      </c>
      <c r="D384" t="s">
        <v>1963</v>
      </c>
      <c r="E384" t="s">
        <v>2020</v>
      </c>
      <c r="F384" t="s">
        <v>2021</v>
      </c>
      <c r="G384" t="s">
        <v>2022</v>
      </c>
      <c r="H384" t="s">
        <v>2023</v>
      </c>
      <c r="I384" t="s">
        <v>3023</v>
      </c>
      <c r="J384" t="s">
        <v>1963</v>
      </c>
      <c r="K384" t="s">
        <v>3024</v>
      </c>
      <c r="L384" t="s">
        <v>2046</v>
      </c>
      <c r="M384" t="s">
        <v>3025</v>
      </c>
      <c r="N384" t="s">
        <v>3026</v>
      </c>
      <c r="O384" t="s">
        <v>3027</v>
      </c>
      <c r="P384" t="s">
        <v>3028</v>
      </c>
      <c r="Q384" t="s">
        <v>14</v>
      </c>
      <c r="R384" t="s">
        <v>14</v>
      </c>
      <c r="S384" t="s">
        <v>3029</v>
      </c>
      <c r="T384" t="s">
        <v>3030</v>
      </c>
      <c r="U384" t="s">
        <v>2390</v>
      </c>
      <c r="V384" t="s">
        <v>14</v>
      </c>
      <c r="W384" t="b">
        <v>1</v>
      </c>
      <c r="X384" t="s">
        <v>3031</v>
      </c>
      <c r="Y384" t="b">
        <v>0</v>
      </c>
      <c r="Z384" t="s">
        <v>2053</v>
      </c>
    </row>
    <row r="385" spans="1:26" x14ac:dyDescent="0.35">
      <c r="A385" t="s">
        <v>53</v>
      </c>
      <c r="B385" t="s">
        <v>54</v>
      </c>
      <c r="C385" t="s">
        <v>2967</v>
      </c>
      <c r="D385" t="s">
        <v>1963</v>
      </c>
      <c r="E385" t="s">
        <v>2020</v>
      </c>
      <c r="F385" t="s">
        <v>2021</v>
      </c>
      <c r="G385" t="s">
        <v>2022</v>
      </c>
      <c r="H385" t="s">
        <v>2023</v>
      </c>
      <c r="I385" t="s">
        <v>3032</v>
      </c>
      <c r="J385" t="s">
        <v>1963</v>
      </c>
      <c r="K385" t="s">
        <v>3024</v>
      </c>
      <c r="L385" t="s">
        <v>2046</v>
      </c>
      <c r="M385" t="s">
        <v>3033</v>
      </c>
      <c r="N385" t="s">
        <v>3034</v>
      </c>
      <c r="O385" t="s">
        <v>3035</v>
      </c>
      <c r="P385" t="s">
        <v>3036</v>
      </c>
      <c r="Q385" t="s">
        <v>14</v>
      </c>
      <c r="R385" t="s">
        <v>14</v>
      </c>
      <c r="S385" t="s">
        <v>14</v>
      </c>
      <c r="T385" t="s">
        <v>14</v>
      </c>
      <c r="U385" t="s">
        <v>3015</v>
      </c>
      <c r="V385" t="s">
        <v>14</v>
      </c>
      <c r="W385" t="b">
        <v>1</v>
      </c>
      <c r="X385" t="s">
        <v>3031</v>
      </c>
      <c r="Y385" t="b">
        <v>0</v>
      </c>
      <c r="Z385" t="s">
        <v>2081</v>
      </c>
    </row>
    <row r="386" spans="1:26" x14ac:dyDescent="0.35">
      <c r="A386" t="s">
        <v>53</v>
      </c>
      <c r="B386" t="s">
        <v>54</v>
      </c>
      <c r="C386" t="s">
        <v>2967</v>
      </c>
      <c r="D386" t="s">
        <v>1963</v>
      </c>
      <c r="E386" t="s">
        <v>2020</v>
      </c>
      <c r="F386" t="s">
        <v>2021</v>
      </c>
      <c r="G386" t="s">
        <v>2022</v>
      </c>
      <c r="H386" t="s">
        <v>2023</v>
      </c>
      <c r="I386" t="s">
        <v>3037</v>
      </c>
      <c r="J386" t="s">
        <v>1963</v>
      </c>
      <c r="K386" t="s">
        <v>3024</v>
      </c>
      <c r="L386" t="s">
        <v>2046</v>
      </c>
      <c r="M386" t="s">
        <v>3038</v>
      </c>
      <c r="N386" t="s">
        <v>3039</v>
      </c>
      <c r="O386" t="s">
        <v>2401</v>
      </c>
      <c r="P386" t="s">
        <v>2402</v>
      </c>
      <c r="Q386" t="s">
        <v>2403</v>
      </c>
      <c r="R386" t="s">
        <v>14</v>
      </c>
      <c r="S386" t="s">
        <v>2404</v>
      </c>
      <c r="T386" t="s">
        <v>2405</v>
      </c>
      <c r="U386" t="s">
        <v>2390</v>
      </c>
      <c r="V386" t="s">
        <v>14</v>
      </c>
      <c r="W386" t="b">
        <v>1</v>
      </c>
      <c r="X386" t="s">
        <v>3031</v>
      </c>
      <c r="Y386" t="b">
        <v>0</v>
      </c>
      <c r="Z386" t="s">
        <v>2053</v>
      </c>
    </row>
    <row r="387" spans="1:26" x14ac:dyDescent="0.35">
      <c r="A387" t="s">
        <v>53</v>
      </c>
      <c r="B387" t="s">
        <v>54</v>
      </c>
      <c r="C387" t="s">
        <v>2967</v>
      </c>
      <c r="D387" t="s">
        <v>1963</v>
      </c>
      <c r="E387" t="s">
        <v>2020</v>
      </c>
      <c r="F387" t="s">
        <v>2021</v>
      </c>
      <c r="G387" t="s">
        <v>2022</v>
      </c>
      <c r="H387" t="s">
        <v>2023</v>
      </c>
      <c r="I387" t="s">
        <v>3040</v>
      </c>
      <c r="J387" t="s">
        <v>1963</v>
      </c>
      <c r="K387" t="s">
        <v>3024</v>
      </c>
      <c r="L387" t="s">
        <v>2046</v>
      </c>
      <c r="M387" t="s">
        <v>3041</v>
      </c>
      <c r="N387" t="s">
        <v>3042</v>
      </c>
      <c r="O387" t="s">
        <v>3013</v>
      </c>
      <c r="P387" t="s">
        <v>3014</v>
      </c>
      <c r="Q387" t="s">
        <v>3021</v>
      </c>
      <c r="R387" t="s">
        <v>14</v>
      </c>
      <c r="S387" t="s">
        <v>14</v>
      </c>
      <c r="T387" t="s">
        <v>14</v>
      </c>
      <c r="U387" t="s">
        <v>3015</v>
      </c>
      <c r="V387" t="s">
        <v>14</v>
      </c>
      <c r="W387" t="b">
        <v>1</v>
      </c>
      <c r="X387" t="s">
        <v>3031</v>
      </c>
      <c r="Y387" t="b">
        <v>0</v>
      </c>
      <c r="Z387" t="s">
        <v>2081</v>
      </c>
    </row>
    <row r="388" spans="1:26" x14ac:dyDescent="0.35">
      <c r="A388" t="s">
        <v>53</v>
      </c>
      <c r="B388" t="s">
        <v>54</v>
      </c>
      <c r="C388" t="s">
        <v>2967</v>
      </c>
      <c r="D388" t="s">
        <v>1963</v>
      </c>
      <c r="E388" t="s">
        <v>2020</v>
      </c>
      <c r="F388" t="s">
        <v>2021</v>
      </c>
      <c r="G388" t="s">
        <v>2022</v>
      </c>
      <c r="H388" t="s">
        <v>2023</v>
      </c>
      <c r="I388" t="s">
        <v>3043</v>
      </c>
      <c r="J388" t="s">
        <v>1963</v>
      </c>
      <c r="K388" t="s">
        <v>3024</v>
      </c>
      <c r="L388" t="s">
        <v>2046</v>
      </c>
      <c r="M388" t="s">
        <v>3038</v>
      </c>
      <c r="N388" t="s">
        <v>3039</v>
      </c>
      <c r="O388" t="s">
        <v>2401</v>
      </c>
      <c r="P388" t="s">
        <v>2402</v>
      </c>
      <c r="Q388" t="s">
        <v>2403</v>
      </c>
      <c r="R388" t="s">
        <v>14</v>
      </c>
      <c r="S388" t="s">
        <v>2404</v>
      </c>
      <c r="T388" t="s">
        <v>2405</v>
      </c>
      <c r="U388" t="s">
        <v>2390</v>
      </c>
      <c r="V388" t="s">
        <v>14</v>
      </c>
      <c r="W388" t="b">
        <v>1</v>
      </c>
      <c r="X388" t="s">
        <v>3031</v>
      </c>
      <c r="Y388" t="b">
        <v>0</v>
      </c>
      <c r="Z388" t="s">
        <v>2053</v>
      </c>
    </row>
    <row r="389" spans="1:26" x14ac:dyDescent="0.35">
      <c r="A389" t="s">
        <v>53</v>
      </c>
      <c r="B389" t="s">
        <v>54</v>
      </c>
      <c r="C389" t="s">
        <v>2967</v>
      </c>
      <c r="D389" t="s">
        <v>1963</v>
      </c>
      <c r="E389" t="s">
        <v>2020</v>
      </c>
      <c r="F389" t="s">
        <v>2021</v>
      </c>
      <c r="G389" t="s">
        <v>2022</v>
      </c>
      <c r="H389" t="s">
        <v>2023</v>
      </c>
      <c r="I389" t="s">
        <v>3017</v>
      </c>
      <c r="J389" t="s">
        <v>1963</v>
      </c>
      <c r="K389" t="s">
        <v>3024</v>
      </c>
      <c r="L389" t="s">
        <v>2046</v>
      </c>
      <c r="M389" t="s">
        <v>3019</v>
      </c>
      <c r="N389" t="s">
        <v>3020</v>
      </c>
      <c r="O389" t="s">
        <v>3013</v>
      </c>
      <c r="P389" t="s">
        <v>3014</v>
      </c>
      <c r="Q389" t="s">
        <v>3021</v>
      </c>
      <c r="R389" t="s">
        <v>14</v>
      </c>
      <c r="S389" t="s">
        <v>14</v>
      </c>
      <c r="T389" t="s">
        <v>14</v>
      </c>
      <c r="U389" t="s">
        <v>3015</v>
      </c>
      <c r="V389" t="s">
        <v>14</v>
      </c>
      <c r="W389" t="b">
        <v>1</v>
      </c>
      <c r="X389" t="s">
        <v>3031</v>
      </c>
      <c r="Y389" t="b">
        <v>0</v>
      </c>
      <c r="Z389" t="s">
        <v>2053</v>
      </c>
    </row>
    <row r="390" spans="1:26" x14ac:dyDescent="0.35">
      <c r="A390" t="s">
        <v>53</v>
      </c>
      <c r="B390" t="s">
        <v>54</v>
      </c>
      <c r="C390" t="s">
        <v>2967</v>
      </c>
      <c r="D390" t="s">
        <v>1963</v>
      </c>
      <c r="E390" t="s">
        <v>2020</v>
      </c>
      <c r="F390" t="s">
        <v>2021</v>
      </c>
      <c r="G390" t="s">
        <v>2022</v>
      </c>
      <c r="H390" t="s">
        <v>2023</v>
      </c>
      <c r="I390" t="s">
        <v>3044</v>
      </c>
      <c r="J390" t="s">
        <v>1963</v>
      </c>
      <c r="K390" t="s">
        <v>3024</v>
      </c>
      <c r="L390" t="s">
        <v>2046</v>
      </c>
      <c r="M390" t="s">
        <v>3045</v>
      </c>
      <c r="N390" t="s">
        <v>3046</v>
      </c>
      <c r="O390" t="s">
        <v>2401</v>
      </c>
      <c r="P390" t="s">
        <v>2402</v>
      </c>
      <c r="Q390" t="s">
        <v>2403</v>
      </c>
      <c r="R390" t="s">
        <v>14</v>
      </c>
      <c r="S390" t="s">
        <v>2404</v>
      </c>
      <c r="T390" t="s">
        <v>2405</v>
      </c>
      <c r="U390" t="s">
        <v>2390</v>
      </c>
      <c r="V390" t="s">
        <v>14</v>
      </c>
      <c r="W390" t="b">
        <v>1</v>
      </c>
      <c r="X390" t="s">
        <v>3031</v>
      </c>
      <c r="Y390" t="b">
        <v>0</v>
      </c>
      <c r="Z390" t="s">
        <v>2081</v>
      </c>
    </row>
    <row r="391" spans="1:26" x14ac:dyDescent="0.35">
      <c r="A391" t="s">
        <v>53</v>
      </c>
      <c r="B391" t="s">
        <v>54</v>
      </c>
      <c r="C391" t="s">
        <v>2967</v>
      </c>
      <c r="D391" t="s">
        <v>1963</v>
      </c>
      <c r="E391" t="s">
        <v>2020</v>
      </c>
      <c r="F391" t="s">
        <v>2021</v>
      </c>
      <c r="G391" t="s">
        <v>2022</v>
      </c>
      <c r="H391" t="s">
        <v>2023</v>
      </c>
      <c r="I391" t="s">
        <v>3047</v>
      </c>
      <c r="J391" t="s">
        <v>1963</v>
      </c>
      <c r="K391" t="s">
        <v>3024</v>
      </c>
      <c r="L391" t="s">
        <v>2046</v>
      </c>
      <c r="M391" t="s">
        <v>3048</v>
      </c>
      <c r="N391" t="s">
        <v>3049</v>
      </c>
      <c r="O391" t="s">
        <v>3013</v>
      </c>
      <c r="P391" t="s">
        <v>3014</v>
      </c>
      <c r="Q391" t="s">
        <v>3021</v>
      </c>
      <c r="R391" t="s">
        <v>14</v>
      </c>
      <c r="S391" t="s">
        <v>3050</v>
      </c>
      <c r="T391" t="s">
        <v>3051</v>
      </c>
      <c r="U391" t="s">
        <v>3015</v>
      </c>
      <c r="V391" t="s">
        <v>14</v>
      </c>
      <c r="W391" t="b">
        <v>1</v>
      </c>
      <c r="X391" t="s">
        <v>3031</v>
      </c>
      <c r="Y391" t="b">
        <v>1</v>
      </c>
      <c r="Z391" t="s">
        <v>2032</v>
      </c>
    </row>
    <row r="392" spans="1:26" x14ac:dyDescent="0.35">
      <c r="A392" t="s">
        <v>53</v>
      </c>
      <c r="B392" t="s">
        <v>54</v>
      </c>
      <c r="C392" t="s">
        <v>2967</v>
      </c>
      <c r="D392" t="s">
        <v>1963</v>
      </c>
      <c r="E392" t="s">
        <v>2020</v>
      </c>
      <c r="F392" t="s">
        <v>2021</v>
      </c>
      <c r="G392" t="s">
        <v>2022</v>
      </c>
      <c r="H392" t="s">
        <v>2023</v>
      </c>
      <c r="I392" t="s">
        <v>3052</v>
      </c>
      <c r="J392" t="s">
        <v>1963</v>
      </c>
      <c r="K392" t="s">
        <v>3024</v>
      </c>
      <c r="L392" t="s">
        <v>2046</v>
      </c>
      <c r="M392" t="s">
        <v>3038</v>
      </c>
      <c r="N392" t="s">
        <v>3039</v>
      </c>
      <c r="O392" t="s">
        <v>2401</v>
      </c>
      <c r="P392" t="s">
        <v>2402</v>
      </c>
      <c r="Q392" t="s">
        <v>2403</v>
      </c>
      <c r="R392" t="s">
        <v>14</v>
      </c>
      <c r="S392" t="s">
        <v>2404</v>
      </c>
      <c r="T392" t="s">
        <v>2405</v>
      </c>
      <c r="U392" t="s">
        <v>2390</v>
      </c>
      <c r="V392" t="s">
        <v>14</v>
      </c>
      <c r="W392" t="b">
        <v>1</v>
      </c>
      <c r="X392" t="s">
        <v>3031</v>
      </c>
      <c r="Y392" t="b">
        <v>0</v>
      </c>
      <c r="Z392" t="s">
        <v>2053</v>
      </c>
    </row>
    <row r="393" spans="1:26" x14ac:dyDescent="0.35">
      <c r="A393" t="s">
        <v>53</v>
      </c>
      <c r="B393" t="s">
        <v>54</v>
      </c>
      <c r="C393" t="s">
        <v>2967</v>
      </c>
      <c r="D393" t="s">
        <v>1963</v>
      </c>
      <c r="E393" t="s">
        <v>2020</v>
      </c>
      <c r="F393" t="s">
        <v>2021</v>
      </c>
      <c r="G393" t="s">
        <v>2022</v>
      </c>
      <c r="H393" t="s">
        <v>2023</v>
      </c>
      <c r="I393" t="s">
        <v>3053</v>
      </c>
      <c r="J393" t="s">
        <v>1963</v>
      </c>
      <c r="K393" t="s">
        <v>3024</v>
      </c>
      <c r="L393" t="s">
        <v>2046</v>
      </c>
      <c r="M393" t="s">
        <v>3054</v>
      </c>
      <c r="N393" t="s">
        <v>3055</v>
      </c>
      <c r="O393" t="s">
        <v>3035</v>
      </c>
      <c r="P393" t="s">
        <v>3036</v>
      </c>
      <c r="Q393" t="s">
        <v>14</v>
      </c>
      <c r="R393" t="s">
        <v>14</v>
      </c>
      <c r="S393" t="s">
        <v>14</v>
      </c>
      <c r="T393" t="s">
        <v>14</v>
      </c>
      <c r="U393" t="s">
        <v>3015</v>
      </c>
      <c r="V393" t="s">
        <v>14</v>
      </c>
      <c r="W393" t="b">
        <v>1</v>
      </c>
      <c r="X393" t="s">
        <v>3031</v>
      </c>
      <c r="Y393" t="b">
        <v>0</v>
      </c>
      <c r="Z393" t="s">
        <v>2053</v>
      </c>
    </row>
    <row r="394" spans="1:26" x14ac:dyDescent="0.35">
      <c r="A394" t="s">
        <v>53</v>
      </c>
      <c r="B394" t="s">
        <v>54</v>
      </c>
      <c r="C394" t="s">
        <v>2967</v>
      </c>
      <c r="D394" t="s">
        <v>1963</v>
      </c>
      <c r="E394" t="s">
        <v>2020</v>
      </c>
      <c r="F394" t="s">
        <v>2021</v>
      </c>
      <c r="G394" t="s">
        <v>2022</v>
      </c>
      <c r="H394" t="s">
        <v>2023</v>
      </c>
      <c r="I394" t="s">
        <v>3056</v>
      </c>
      <c r="J394" t="s">
        <v>1963</v>
      </c>
      <c r="K394" t="s">
        <v>3024</v>
      </c>
      <c r="L394" t="s">
        <v>2046</v>
      </c>
      <c r="M394" t="s">
        <v>3057</v>
      </c>
      <c r="N394" t="s">
        <v>3058</v>
      </c>
      <c r="O394" t="s">
        <v>3013</v>
      </c>
      <c r="P394" t="s">
        <v>3014</v>
      </c>
      <c r="Q394" t="s">
        <v>14</v>
      </c>
      <c r="R394" t="s">
        <v>14</v>
      </c>
      <c r="S394" t="s">
        <v>14</v>
      </c>
      <c r="T394" t="s">
        <v>14</v>
      </c>
      <c r="U394" t="s">
        <v>3015</v>
      </c>
      <c r="V394" t="s">
        <v>14</v>
      </c>
      <c r="W394" t="b">
        <v>1</v>
      </c>
      <c r="X394" t="s">
        <v>3031</v>
      </c>
      <c r="Y394" t="b">
        <v>0</v>
      </c>
      <c r="Z394" t="s">
        <v>2053</v>
      </c>
    </row>
    <row r="395" spans="1:26" x14ac:dyDescent="0.35">
      <c r="A395" t="s">
        <v>53</v>
      </c>
      <c r="B395" t="s">
        <v>54</v>
      </c>
      <c r="C395" t="s">
        <v>2967</v>
      </c>
      <c r="D395" t="s">
        <v>1963</v>
      </c>
      <c r="E395" t="s">
        <v>2020</v>
      </c>
      <c r="F395" t="s">
        <v>2021</v>
      </c>
      <c r="G395" t="s">
        <v>2022</v>
      </c>
      <c r="H395" t="s">
        <v>2023</v>
      </c>
      <c r="I395" t="s">
        <v>3059</v>
      </c>
      <c r="J395" t="s">
        <v>1963</v>
      </c>
      <c r="K395" t="s">
        <v>3024</v>
      </c>
      <c r="L395" t="s">
        <v>2046</v>
      </c>
      <c r="M395" t="s">
        <v>3060</v>
      </c>
      <c r="N395" t="s">
        <v>3061</v>
      </c>
      <c r="O395" t="s">
        <v>3035</v>
      </c>
      <c r="P395" t="s">
        <v>3036</v>
      </c>
      <c r="Q395" t="s">
        <v>14</v>
      </c>
      <c r="R395" t="s">
        <v>14</v>
      </c>
      <c r="S395" t="s">
        <v>14</v>
      </c>
      <c r="T395" t="s">
        <v>14</v>
      </c>
      <c r="U395" t="s">
        <v>2390</v>
      </c>
      <c r="V395" t="s">
        <v>14</v>
      </c>
      <c r="W395" t="b">
        <v>1</v>
      </c>
      <c r="X395" t="s">
        <v>3031</v>
      </c>
      <c r="Y395" t="b">
        <v>0</v>
      </c>
      <c r="Z395" t="s">
        <v>2081</v>
      </c>
    </row>
    <row r="396" spans="1:26" x14ac:dyDescent="0.35">
      <c r="A396" t="s">
        <v>53</v>
      </c>
      <c r="B396" t="s">
        <v>54</v>
      </c>
      <c r="C396" t="s">
        <v>2967</v>
      </c>
      <c r="D396" t="s">
        <v>1963</v>
      </c>
      <c r="E396" t="s">
        <v>2020</v>
      </c>
      <c r="F396" t="s">
        <v>2021</v>
      </c>
      <c r="G396" t="s">
        <v>2022</v>
      </c>
      <c r="H396" t="s">
        <v>2023</v>
      </c>
      <c r="I396" t="s">
        <v>2225</v>
      </c>
      <c r="J396" t="s">
        <v>1963</v>
      </c>
      <c r="K396" t="s">
        <v>3024</v>
      </c>
      <c r="L396" t="s">
        <v>2046</v>
      </c>
      <c r="M396" t="s">
        <v>2226</v>
      </c>
      <c r="N396" t="s">
        <v>2227</v>
      </c>
      <c r="O396" t="s">
        <v>2205</v>
      </c>
      <c r="P396" t="s">
        <v>2206</v>
      </c>
      <c r="Q396" t="s">
        <v>14</v>
      </c>
      <c r="R396" t="s">
        <v>14</v>
      </c>
      <c r="S396" t="s">
        <v>14</v>
      </c>
      <c r="T396" t="s">
        <v>14</v>
      </c>
      <c r="U396" t="s">
        <v>2052</v>
      </c>
      <c r="V396" t="s">
        <v>14</v>
      </c>
      <c r="W396" t="b">
        <v>1</v>
      </c>
      <c r="X396" t="s">
        <v>3031</v>
      </c>
      <c r="Y396" t="b">
        <v>0</v>
      </c>
      <c r="Z396" t="s">
        <v>2053</v>
      </c>
    </row>
    <row r="397" spans="1:26" x14ac:dyDescent="0.35">
      <c r="A397" t="s">
        <v>53</v>
      </c>
      <c r="B397" t="s">
        <v>54</v>
      </c>
      <c r="C397" t="s">
        <v>2967</v>
      </c>
      <c r="D397" t="s">
        <v>1963</v>
      </c>
      <c r="E397" t="s">
        <v>2020</v>
      </c>
      <c r="F397" t="s">
        <v>2021</v>
      </c>
      <c r="G397" t="s">
        <v>2022</v>
      </c>
      <c r="H397" t="s">
        <v>2023</v>
      </c>
      <c r="I397" t="s">
        <v>3062</v>
      </c>
      <c r="J397" t="s">
        <v>1963</v>
      </c>
      <c r="K397" t="s">
        <v>3024</v>
      </c>
      <c r="L397" t="s">
        <v>2046</v>
      </c>
      <c r="M397" t="s">
        <v>3041</v>
      </c>
      <c r="N397" t="s">
        <v>3042</v>
      </c>
      <c r="O397" t="s">
        <v>3013</v>
      </c>
      <c r="P397" t="s">
        <v>3014</v>
      </c>
      <c r="Q397" t="s">
        <v>14</v>
      </c>
      <c r="R397" t="s">
        <v>14</v>
      </c>
      <c r="S397" t="s">
        <v>14</v>
      </c>
      <c r="T397" t="s">
        <v>14</v>
      </c>
      <c r="U397" t="s">
        <v>3015</v>
      </c>
      <c r="V397" t="s">
        <v>14</v>
      </c>
      <c r="W397" t="b">
        <v>1</v>
      </c>
      <c r="X397" t="s">
        <v>3031</v>
      </c>
      <c r="Y397" t="b">
        <v>0</v>
      </c>
      <c r="Z397" t="s">
        <v>2081</v>
      </c>
    </row>
    <row r="398" spans="1:26" x14ac:dyDescent="0.35">
      <c r="A398" t="s">
        <v>53</v>
      </c>
      <c r="B398" t="s">
        <v>54</v>
      </c>
      <c r="C398" t="s">
        <v>2967</v>
      </c>
      <c r="D398" t="s">
        <v>1963</v>
      </c>
      <c r="E398" t="s">
        <v>2020</v>
      </c>
      <c r="F398" t="s">
        <v>2021</v>
      </c>
      <c r="G398" t="s">
        <v>2022</v>
      </c>
      <c r="H398" t="s">
        <v>2023</v>
      </c>
      <c r="I398" t="s">
        <v>3063</v>
      </c>
      <c r="J398" t="s">
        <v>1963</v>
      </c>
      <c r="K398" t="s">
        <v>3024</v>
      </c>
      <c r="L398" t="s">
        <v>2046</v>
      </c>
      <c r="M398" t="s">
        <v>3064</v>
      </c>
      <c r="N398" t="s">
        <v>3065</v>
      </c>
      <c r="O398" t="s">
        <v>2211</v>
      </c>
      <c r="P398" t="s">
        <v>2212</v>
      </c>
      <c r="Q398" t="s">
        <v>3066</v>
      </c>
      <c r="R398" t="s">
        <v>14</v>
      </c>
      <c r="S398" t="s">
        <v>2231</v>
      </c>
      <c r="T398" t="s">
        <v>2232</v>
      </c>
      <c r="U398" t="s">
        <v>2052</v>
      </c>
      <c r="V398" t="s">
        <v>14</v>
      </c>
      <c r="W398" t="b">
        <v>1</v>
      </c>
      <c r="X398" t="s">
        <v>3031</v>
      </c>
      <c r="Y398" t="b">
        <v>0</v>
      </c>
      <c r="Z398" t="s">
        <v>2053</v>
      </c>
    </row>
    <row r="399" spans="1:26" x14ac:dyDescent="0.35">
      <c r="A399" t="s">
        <v>55</v>
      </c>
      <c r="B399" t="s">
        <v>56</v>
      </c>
      <c r="C399" t="s">
        <v>2967</v>
      </c>
      <c r="D399" t="s">
        <v>1963</v>
      </c>
      <c r="E399" t="s">
        <v>2020</v>
      </c>
      <c r="F399" t="s">
        <v>2021</v>
      </c>
      <c r="G399" t="s">
        <v>2022</v>
      </c>
      <c r="H399" t="s">
        <v>2023</v>
      </c>
      <c r="I399" t="s">
        <v>3040</v>
      </c>
      <c r="J399" t="s">
        <v>1963</v>
      </c>
      <c r="K399" t="s">
        <v>3067</v>
      </c>
      <c r="L399" t="s">
        <v>2046</v>
      </c>
      <c r="M399" t="s">
        <v>3041</v>
      </c>
      <c r="N399" t="s">
        <v>3042</v>
      </c>
      <c r="O399" t="s">
        <v>3013</v>
      </c>
      <c r="P399" t="s">
        <v>3014</v>
      </c>
      <c r="Q399" t="s">
        <v>3021</v>
      </c>
      <c r="R399" t="s">
        <v>14</v>
      </c>
      <c r="S399" t="s">
        <v>14</v>
      </c>
      <c r="T399" t="s">
        <v>14</v>
      </c>
      <c r="U399" t="s">
        <v>3015</v>
      </c>
      <c r="V399" t="s">
        <v>14</v>
      </c>
      <c r="W399" t="b">
        <v>1</v>
      </c>
      <c r="X399" t="s">
        <v>3068</v>
      </c>
      <c r="Y399" t="b">
        <v>0</v>
      </c>
      <c r="Z399" t="s">
        <v>2081</v>
      </c>
    </row>
    <row r="400" spans="1:26" x14ac:dyDescent="0.35">
      <c r="A400" t="s">
        <v>55</v>
      </c>
      <c r="B400" t="s">
        <v>56</v>
      </c>
      <c r="C400" t="s">
        <v>2967</v>
      </c>
      <c r="D400" t="s">
        <v>1963</v>
      </c>
      <c r="E400" t="s">
        <v>2020</v>
      </c>
      <c r="F400" t="s">
        <v>2021</v>
      </c>
      <c r="G400" t="s">
        <v>2022</v>
      </c>
      <c r="H400" t="s">
        <v>2023</v>
      </c>
      <c r="I400" t="s">
        <v>3056</v>
      </c>
      <c r="J400" t="s">
        <v>1963</v>
      </c>
      <c r="K400" t="s">
        <v>3067</v>
      </c>
      <c r="L400" t="s">
        <v>2046</v>
      </c>
      <c r="M400" t="s">
        <v>3057</v>
      </c>
      <c r="N400" t="s">
        <v>3058</v>
      </c>
      <c r="O400" t="s">
        <v>3013</v>
      </c>
      <c r="P400" t="s">
        <v>3014</v>
      </c>
      <c r="Q400" t="s">
        <v>14</v>
      </c>
      <c r="R400" t="s">
        <v>14</v>
      </c>
      <c r="S400" t="s">
        <v>14</v>
      </c>
      <c r="T400" t="s">
        <v>14</v>
      </c>
      <c r="U400" t="s">
        <v>3015</v>
      </c>
      <c r="V400" t="s">
        <v>14</v>
      </c>
      <c r="W400" t="b">
        <v>1</v>
      </c>
      <c r="X400" t="s">
        <v>3068</v>
      </c>
      <c r="Y400" t="b">
        <v>0</v>
      </c>
      <c r="Z400" t="s">
        <v>2053</v>
      </c>
    </row>
    <row r="401" spans="1:26" x14ac:dyDescent="0.35">
      <c r="A401" t="s">
        <v>55</v>
      </c>
      <c r="B401" t="s">
        <v>56</v>
      </c>
      <c r="C401" t="s">
        <v>2967</v>
      </c>
      <c r="D401" t="s">
        <v>1963</v>
      </c>
      <c r="E401" t="s">
        <v>2020</v>
      </c>
      <c r="F401" t="s">
        <v>2021</v>
      </c>
      <c r="G401" t="s">
        <v>2022</v>
      </c>
      <c r="H401" t="s">
        <v>2023</v>
      </c>
      <c r="I401" t="s">
        <v>3062</v>
      </c>
      <c r="J401" t="s">
        <v>1963</v>
      </c>
      <c r="K401" t="s">
        <v>3067</v>
      </c>
      <c r="L401" t="s">
        <v>2046</v>
      </c>
      <c r="M401" t="s">
        <v>3041</v>
      </c>
      <c r="N401" t="s">
        <v>3042</v>
      </c>
      <c r="O401" t="s">
        <v>3013</v>
      </c>
      <c r="P401" t="s">
        <v>3014</v>
      </c>
      <c r="Q401" t="s">
        <v>14</v>
      </c>
      <c r="R401" t="s">
        <v>14</v>
      </c>
      <c r="S401" t="s">
        <v>14</v>
      </c>
      <c r="T401" t="s">
        <v>14</v>
      </c>
      <c r="U401" t="s">
        <v>3015</v>
      </c>
      <c r="V401" t="s">
        <v>14</v>
      </c>
      <c r="W401" t="b">
        <v>1</v>
      </c>
      <c r="X401" t="s">
        <v>3068</v>
      </c>
      <c r="Y401" t="b">
        <v>0</v>
      </c>
      <c r="Z401" t="s">
        <v>2081</v>
      </c>
    </row>
    <row r="402" spans="1:26" x14ac:dyDescent="0.35">
      <c r="A402" t="s">
        <v>55</v>
      </c>
      <c r="B402" t="s">
        <v>56</v>
      </c>
      <c r="C402" t="s">
        <v>2967</v>
      </c>
      <c r="D402" t="s">
        <v>1963</v>
      </c>
      <c r="E402" t="s">
        <v>2020</v>
      </c>
      <c r="F402" t="s">
        <v>2021</v>
      </c>
      <c r="G402" t="s">
        <v>2022</v>
      </c>
      <c r="H402" t="s">
        <v>2023</v>
      </c>
      <c r="I402" t="s">
        <v>3023</v>
      </c>
      <c r="J402" t="s">
        <v>1963</v>
      </c>
      <c r="K402" t="s">
        <v>3067</v>
      </c>
      <c r="L402" t="s">
        <v>2046</v>
      </c>
      <c r="M402" t="s">
        <v>3025</v>
      </c>
      <c r="N402" t="s">
        <v>3026</v>
      </c>
      <c r="O402" t="s">
        <v>3027</v>
      </c>
      <c r="P402" t="s">
        <v>3028</v>
      </c>
      <c r="Q402" t="s">
        <v>14</v>
      </c>
      <c r="R402" t="s">
        <v>14</v>
      </c>
      <c r="S402" t="s">
        <v>3029</v>
      </c>
      <c r="T402" t="s">
        <v>3030</v>
      </c>
      <c r="U402" t="s">
        <v>2390</v>
      </c>
      <c r="V402" t="s">
        <v>14</v>
      </c>
      <c r="W402" t="b">
        <v>1</v>
      </c>
      <c r="X402" t="s">
        <v>3068</v>
      </c>
      <c r="Y402" t="b">
        <v>0</v>
      </c>
      <c r="Z402" t="s">
        <v>2053</v>
      </c>
    </row>
    <row r="403" spans="1:26" x14ac:dyDescent="0.35">
      <c r="A403" t="s">
        <v>57</v>
      </c>
      <c r="B403" t="s">
        <v>58</v>
      </c>
      <c r="C403" t="s">
        <v>2967</v>
      </c>
      <c r="D403" t="s">
        <v>1963</v>
      </c>
      <c r="E403" t="s">
        <v>2020</v>
      </c>
      <c r="F403" t="s">
        <v>2021</v>
      </c>
      <c r="G403" t="s">
        <v>2022</v>
      </c>
      <c r="H403" t="s">
        <v>2023</v>
      </c>
      <c r="I403" t="s">
        <v>3047</v>
      </c>
      <c r="J403" t="s">
        <v>1963</v>
      </c>
      <c r="K403" t="s">
        <v>3069</v>
      </c>
      <c r="L403" t="s">
        <v>2046</v>
      </c>
      <c r="M403" t="s">
        <v>3048</v>
      </c>
      <c r="N403" t="s">
        <v>3049</v>
      </c>
      <c r="O403" t="s">
        <v>3013</v>
      </c>
      <c r="P403" t="s">
        <v>3014</v>
      </c>
      <c r="Q403" t="s">
        <v>3021</v>
      </c>
      <c r="R403" t="s">
        <v>14</v>
      </c>
      <c r="S403" t="s">
        <v>3050</v>
      </c>
      <c r="T403" t="s">
        <v>3051</v>
      </c>
      <c r="U403" t="s">
        <v>3015</v>
      </c>
      <c r="V403" t="s">
        <v>14</v>
      </c>
      <c r="W403" t="b">
        <v>1</v>
      </c>
      <c r="X403" t="s">
        <v>3070</v>
      </c>
      <c r="Y403" t="b">
        <v>1</v>
      </c>
      <c r="Z403" t="s">
        <v>2032</v>
      </c>
    </row>
    <row r="404" spans="1:26" x14ac:dyDescent="0.35">
      <c r="A404" t="s">
        <v>62</v>
      </c>
      <c r="B404" t="s">
        <v>3071</v>
      </c>
      <c r="C404" t="s">
        <v>2335</v>
      </c>
      <c r="D404" t="s">
        <v>1963</v>
      </c>
      <c r="E404" t="s">
        <v>3072</v>
      </c>
      <c r="F404" t="s">
        <v>3073</v>
      </c>
      <c r="G404" t="s">
        <v>3074</v>
      </c>
      <c r="H404" t="s">
        <v>2023</v>
      </c>
      <c r="I404" t="s">
        <v>2994</v>
      </c>
      <c r="J404" t="s">
        <v>1963</v>
      </c>
      <c r="K404" t="s">
        <v>3075</v>
      </c>
      <c r="L404" t="s">
        <v>2812</v>
      </c>
      <c r="M404" t="s">
        <v>2996</v>
      </c>
      <c r="N404" t="s">
        <v>2997</v>
      </c>
      <c r="O404" t="s">
        <v>2996</v>
      </c>
      <c r="P404" t="s">
        <v>2997</v>
      </c>
      <c r="Q404" t="s">
        <v>2998</v>
      </c>
      <c r="R404" t="s">
        <v>14</v>
      </c>
      <c r="S404" t="s">
        <v>14</v>
      </c>
      <c r="T404" t="s">
        <v>14</v>
      </c>
      <c r="U404" t="s">
        <v>2030</v>
      </c>
      <c r="V404" t="s">
        <v>14</v>
      </c>
      <c r="W404" t="b">
        <v>1</v>
      </c>
      <c r="X404" t="s">
        <v>3076</v>
      </c>
      <c r="Y404" t="b">
        <v>0</v>
      </c>
      <c r="Z404" t="s">
        <v>2053</v>
      </c>
    </row>
    <row r="405" spans="1:26" x14ac:dyDescent="0.35">
      <c r="A405" t="s">
        <v>63</v>
      </c>
      <c r="B405" t="s">
        <v>64</v>
      </c>
      <c r="C405" t="s">
        <v>2335</v>
      </c>
      <c r="D405" t="s">
        <v>1963</v>
      </c>
      <c r="E405" t="s">
        <v>3072</v>
      </c>
      <c r="F405" t="s">
        <v>3073</v>
      </c>
      <c r="G405" t="s">
        <v>3074</v>
      </c>
      <c r="H405" t="s">
        <v>2023</v>
      </c>
      <c r="I405" t="s">
        <v>2994</v>
      </c>
      <c r="J405" t="s">
        <v>1963</v>
      </c>
      <c r="K405" t="s">
        <v>3077</v>
      </c>
      <c r="L405" t="s">
        <v>2046</v>
      </c>
      <c r="M405" t="s">
        <v>2996</v>
      </c>
      <c r="N405" t="s">
        <v>2997</v>
      </c>
      <c r="O405" t="s">
        <v>2996</v>
      </c>
      <c r="P405" t="s">
        <v>2997</v>
      </c>
      <c r="Q405" t="s">
        <v>2998</v>
      </c>
      <c r="R405" t="s">
        <v>14</v>
      </c>
      <c r="S405" t="s">
        <v>14</v>
      </c>
      <c r="T405" t="s">
        <v>14</v>
      </c>
      <c r="U405" t="s">
        <v>2030</v>
      </c>
      <c r="V405" t="s">
        <v>14</v>
      </c>
      <c r="W405" t="b">
        <v>1</v>
      </c>
      <c r="X405" t="s">
        <v>65</v>
      </c>
      <c r="Y405" t="b">
        <v>0</v>
      </c>
      <c r="Z405" t="s">
        <v>2053</v>
      </c>
    </row>
    <row r="406" spans="1:26" x14ac:dyDescent="0.35">
      <c r="A406" t="s">
        <v>67</v>
      </c>
      <c r="B406" t="s">
        <v>68</v>
      </c>
      <c r="C406" t="s">
        <v>2967</v>
      </c>
      <c r="D406" t="s">
        <v>1963</v>
      </c>
      <c r="E406" t="s">
        <v>2020</v>
      </c>
      <c r="F406" t="s">
        <v>2021</v>
      </c>
      <c r="G406" t="s">
        <v>2022</v>
      </c>
      <c r="H406" t="s">
        <v>2023</v>
      </c>
      <c r="I406" t="s">
        <v>3053</v>
      </c>
      <c r="J406" t="s">
        <v>1963</v>
      </c>
      <c r="K406" t="s">
        <v>3078</v>
      </c>
      <c r="L406" t="s">
        <v>2046</v>
      </c>
      <c r="M406" t="s">
        <v>3054</v>
      </c>
      <c r="N406" t="s">
        <v>3055</v>
      </c>
      <c r="O406" t="s">
        <v>3035</v>
      </c>
      <c r="P406" t="s">
        <v>3036</v>
      </c>
      <c r="Q406" t="s">
        <v>14</v>
      </c>
      <c r="R406" t="s">
        <v>14</v>
      </c>
      <c r="S406" t="s">
        <v>14</v>
      </c>
      <c r="T406" t="s">
        <v>14</v>
      </c>
      <c r="U406" t="s">
        <v>3015</v>
      </c>
      <c r="V406" t="s">
        <v>14</v>
      </c>
      <c r="W406" t="b">
        <v>1</v>
      </c>
      <c r="X406" t="s">
        <v>3079</v>
      </c>
      <c r="Y406" t="b">
        <v>0</v>
      </c>
      <c r="Z406" t="s">
        <v>2053</v>
      </c>
    </row>
    <row r="407" spans="1:26" x14ac:dyDescent="0.35">
      <c r="A407" t="s">
        <v>67</v>
      </c>
      <c r="B407" t="s">
        <v>68</v>
      </c>
      <c r="C407" t="s">
        <v>2967</v>
      </c>
      <c r="D407" t="s">
        <v>1963</v>
      </c>
      <c r="E407" t="s">
        <v>2020</v>
      </c>
      <c r="F407" t="s">
        <v>2021</v>
      </c>
      <c r="G407" t="s">
        <v>2022</v>
      </c>
      <c r="H407" t="s">
        <v>2023</v>
      </c>
      <c r="I407" t="s">
        <v>3032</v>
      </c>
      <c r="J407" t="s">
        <v>1963</v>
      </c>
      <c r="K407" t="s">
        <v>3078</v>
      </c>
      <c r="L407" t="s">
        <v>2046</v>
      </c>
      <c r="M407" t="s">
        <v>3033</v>
      </c>
      <c r="N407" t="s">
        <v>3034</v>
      </c>
      <c r="O407" t="s">
        <v>3035</v>
      </c>
      <c r="P407" t="s">
        <v>3036</v>
      </c>
      <c r="Q407" t="s">
        <v>14</v>
      </c>
      <c r="R407" t="s">
        <v>14</v>
      </c>
      <c r="S407" t="s">
        <v>14</v>
      </c>
      <c r="T407" t="s">
        <v>14</v>
      </c>
      <c r="U407" t="s">
        <v>3015</v>
      </c>
      <c r="V407" t="s">
        <v>14</v>
      </c>
      <c r="W407" t="b">
        <v>1</v>
      </c>
      <c r="X407" t="s">
        <v>3079</v>
      </c>
      <c r="Y407" t="b">
        <v>0</v>
      </c>
      <c r="Z407" t="s">
        <v>2081</v>
      </c>
    </row>
    <row r="408" spans="1:26" x14ac:dyDescent="0.35">
      <c r="A408" t="s">
        <v>74</v>
      </c>
      <c r="B408" t="s">
        <v>75</v>
      </c>
      <c r="C408" t="s">
        <v>2967</v>
      </c>
      <c r="D408" t="s">
        <v>1963</v>
      </c>
      <c r="E408" t="s">
        <v>2020</v>
      </c>
      <c r="F408" t="s">
        <v>2055</v>
      </c>
      <c r="G408" t="s">
        <v>2056</v>
      </c>
      <c r="H408" t="s">
        <v>2023</v>
      </c>
      <c r="I408" t="s">
        <v>2994</v>
      </c>
      <c r="J408" t="s">
        <v>1963</v>
      </c>
      <c r="K408" t="s">
        <v>3080</v>
      </c>
      <c r="L408" t="s">
        <v>2046</v>
      </c>
      <c r="M408" t="s">
        <v>2996</v>
      </c>
      <c r="N408" t="s">
        <v>2997</v>
      </c>
      <c r="O408" t="s">
        <v>2996</v>
      </c>
      <c r="P408" t="s">
        <v>2997</v>
      </c>
      <c r="Q408" t="s">
        <v>2998</v>
      </c>
      <c r="R408" t="s">
        <v>14</v>
      </c>
      <c r="S408" t="s">
        <v>14</v>
      </c>
      <c r="T408" t="s">
        <v>14</v>
      </c>
      <c r="U408" t="s">
        <v>2030</v>
      </c>
      <c r="V408" t="s">
        <v>14</v>
      </c>
      <c r="W408" t="b">
        <v>1</v>
      </c>
      <c r="X408" t="s">
        <v>3081</v>
      </c>
      <c r="Y408" t="b">
        <v>0</v>
      </c>
      <c r="Z408" t="s">
        <v>2053</v>
      </c>
    </row>
    <row r="409" spans="1:26" x14ac:dyDescent="0.35">
      <c r="A409" t="s">
        <v>81</v>
      </c>
      <c r="B409" t="s">
        <v>82</v>
      </c>
      <c r="C409" t="s">
        <v>2967</v>
      </c>
      <c r="D409" t="s">
        <v>1963</v>
      </c>
      <c r="E409" t="s">
        <v>2020</v>
      </c>
      <c r="F409" t="s">
        <v>2161</v>
      </c>
      <c r="G409" t="s">
        <v>2162</v>
      </c>
      <c r="H409" t="s">
        <v>2023</v>
      </c>
      <c r="I409" t="s">
        <v>80</v>
      </c>
      <c r="J409" t="s">
        <v>1963</v>
      </c>
      <c r="K409" t="s">
        <v>3082</v>
      </c>
      <c r="L409" t="s">
        <v>2046</v>
      </c>
      <c r="M409" t="s">
        <v>2026</v>
      </c>
      <c r="N409" t="s">
        <v>2027</v>
      </c>
      <c r="O409" t="s">
        <v>2650</v>
      </c>
      <c r="P409" t="s">
        <v>2651</v>
      </c>
      <c r="Q409" t="s">
        <v>14</v>
      </c>
      <c r="R409" t="s">
        <v>14</v>
      </c>
      <c r="S409" t="s">
        <v>3083</v>
      </c>
      <c r="T409" t="s">
        <v>3084</v>
      </c>
      <c r="U409" t="s">
        <v>2030</v>
      </c>
      <c r="V409" t="s">
        <v>14</v>
      </c>
      <c r="W409" t="b">
        <v>1</v>
      </c>
      <c r="X409" t="s">
        <v>3085</v>
      </c>
      <c r="Y409" t="b">
        <v>0</v>
      </c>
      <c r="Z409" t="s">
        <v>2032</v>
      </c>
    </row>
    <row r="410" spans="1:26" x14ac:dyDescent="0.35">
      <c r="A410" t="s">
        <v>81</v>
      </c>
      <c r="B410" t="s">
        <v>82</v>
      </c>
      <c r="C410" t="s">
        <v>2967</v>
      </c>
      <c r="D410" t="s">
        <v>1963</v>
      </c>
      <c r="E410" t="s">
        <v>2020</v>
      </c>
      <c r="F410" t="s">
        <v>2161</v>
      </c>
      <c r="G410" t="s">
        <v>2162</v>
      </c>
      <c r="H410" t="s">
        <v>2023</v>
      </c>
      <c r="I410" t="s">
        <v>3086</v>
      </c>
      <c r="J410" t="s">
        <v>1963</v>
      </c>
      <c r="K410" t="s">
        <v>3082</v>
      </c>
      <c r="L410" t="s">
        <v>2046</v>
      </c>
      <c r="M410" t="s">
        <v>2026</v>
      </c>
      <c r="N410" t="s">
        <v>2027</v>
      </c>
      <c r="O410" t="s">
        <v>2650</v>
      </c>
      <c r="P410" t="s">
        <v>2651</v>
      </c>
      <c r="Q410" t="s">
        <v>14</v>
      </c>
      <c r="R410" t="s">
        <v>14</v>
      </c>
      <c r="S410" t="s">
        <v>14</v>
      </c>
      <c r="T410" t="s">
        <v>14</v>
      </c>
      <c r="U410" t="s">
        <v>2030</v>
      </c>
      <c r="V410" t="s">
        <v>14</v>
      </c>
      <c r="W410" t="b">
        <v>1</v>
      </c>
      <c r="X410" t="s">
        <v>3085</v>
      </c>
      <c r="Y410" t="b">
        <v>0</v>
      </c>
      <c r="Z410" t="s">
        <v>2053</v>
      </c>
    </row>
    <row r="411" spans="1:26" x14ac:dyDescent="0.35">
      <c r="A411" t="s">
        <v>83</v>
      </c>
      <c r="B411" t="s">
        <v>84</v>
      </c>
      <c r="C411" t="s">
        <v>2967</v>
      </c>
      <c r="D411" t="s">
        <v>1963</v>
      </c>
      <c r="E411" t="s">
        <v>2020</v>
      </c>
      <c r="F411" t="s">
        <v>2161</v>
      </c>
      <c r="G411" t="s">
        <v>2162</v>
      </c>
      <c r="H411" t="s">
        <v>2023</v>
      </c>
      <c r="I411" t="s">
        <v>80</v>
      </c>
      <c r="J411" t="s">
        <v>1963</v>
      </c>
      <c r="K411" t="s">
        <v>3087</v>
      </c>
      <c r="L411" t="s">
        <v>3088</v>
      </c>
      <c r="M411" t="s">
        <v>2026</v>
      </c>
      <c r="N411" t="s">
        <v>2027</v>
      </c>
      <c r="O411" t="s">
        <v>2650</v>
      </c>
      <c r="P411" t="s">
        <v>2651</v>
      </c>
      <c r="Q411" t="s">
        <v>14</v>
      </c>
      <c r="R411" t="s">
        <v>14</v>
      </c>
      <c r="S411" t="s">
        <v>3083</v>
      </c>
      <c r="T411" t="s">
        <v>3084</v>
      </c>
      <c r="U411" t="s">
        <v>2030</v>
      </c>
      <c r="V411" t="s">
        <v>14</v>
      </c>
      <c r="W411" t="b">
        <v>1</v>
      </c>
      <c r="X411" t="s">
        <v>3089</v>
      </c>
      <c r="Y411" t="b">
        <v>0</v>
      </c>
      <c r="Z411" t="s">
        <v>2032</v>
      </c>
    </row>
    <row r="412" spans="1:26" x14ac:dyDescent="0.35">
      <c r="A412" t="s">
        <v>85</v>
      </c>
      <c r="B412" t="s">
        <v>86</v>
      </c>
      <c r="C412" t="s">
        <v>2967</v>
      </c>
      <c r="D412" t="s">
        <v>1963</v>
      </c>
      <c r="E412" t="s">
        <v>2020</v>
      </c>
      <c r="F412" t="s">
        <v>2161</v>
      </c>
      <c r="G412" t="s">
        <v>2162</v>
      </c>
      <c r="H412" t="s">
        <v>2023</v>
      </c>
      <c r="I412" t="s">
        <v>80</v>
      </c>
      <c r="J412" t="s">
        <v>1963</v>
      </c>
      <c r="K412" t="s">
        <v>3090</v>
      </c>
      <c r="L412" t="s">
        <v>3088</v>
      </c>
      <c r="M412" t="s">
        <v>2026</v>
      </c>
      <c r="N412" t="s">
        <v>2027</v>
      </c>
      <c r="O412" t="s">
        <v>2650</v>
      </c>
      <c r="P412" t="s">
        <v>2651</v>
      </c>
      <c r="Q412" t="s">
        <v>14</v>
      </c>
      <c r="R412" t="s">
        <v>14</v>
      </c>
      <c r="S412" t="s">
        <v>3083</v>
      </c>
      <c r="T412" t="s">
        <v>3084</v>
      </c>
      <c r="U412" t="s">
        <v>2030</v>
      </c>
      <c r="V412" t="s">
        <v>14</v>
      </c>
      <c r="W412" t="b">
        <v>1</v>
      </c>
      <c r="X412" t="s">
        <v>3091</v>
      </c>
      <c r="Y412" t="b">
        <v>0</v>
      </c>
      <c r="Z412" t="s">
        <v>2032</v>
      </c>
    </row>
    <row r="413" spans="1:26" x14ac:dyDescent="0.35">
      <c r="A413" t="s">
        <v>87</v>
      </c>
      <c r="B413" t="s">
        <v>88</v>
      </c>
      <c r="C413" t="s">
        <v>2967</v>
      </c>
      <c r="D413" t="s">
        <v>1963</v>
      </c>
      <c r="E413" t="s">
        <v>2020</v>
      </c>
      <c r="F413" t="s">
        <v>2021</v>
      </c>
      <c r="G413" t="s">
        <v>2022</v>
      </c>
      <c r="H413" t="s">
        <v>2023</v>
      </c>
      <c r="I413" t="s">
        <v>80</v>
      </c>
      <c r="J413" t="s">
        <v>1963</v>
      </c>
      <c r="K413" t="s">
        <v>3092</v>
      </c>
      <c r="L413" t="s">
        <v>2046</v>
      </c>
      <c r="M413" t="s">
        <v>2026</v>
      </c>
      <c r="N413" t="s">
        <v>2027</v>
      </c>
      <c r="O413" t="s">
        <v>2650</v>
      </c>
      <c r="P413" t="s">
        <v>2651</v>
      </c>
      <c r="Q413" t="s">
        <v>14</v>
      </c>
      <c r="R413" t="s">
        <v>14</v>
      </c>
      <c r="S413" t="s">
        <v>3083</v>
      </c>
      <c r="T413" t="s">
        <v>3084</v>
      </c>
      <c r="U413" t="s">
        <v>2030</v>
      </c>
      <c r="V413" t="s">
        <v>14</v>
      </c>
      <c r="W413" t="b">
        <v>1</v>
      </c>
      <c r="X413" t="s">
        <v>3093</v>
      </c>
      <c r="Y413" t="b">
        <v>0</v>
      </c>
      <c r="Z413" t="s">
        <v>2032</v>
      </c>
    </row>
    <row r="414" spans="1:26" x14ac:dyDescent="0.35">
      <c r="A414" t="s">
        <v>89</v>
      </c>
      <c r="B414" t="s">
        <v>90</v>
      </c>
      <c r="C414" t="s">
        <v>2967</v>
      </c>
      <c r="D414" t="s">
        <v>1963</v>
      </c>
      <c r="E414" t="s">
        <v>2020</v>
      </c>
      <c r="F414" t="s">
        <v>2161</v>
      </c>
      <c r="G414" t="s">
        <v>2162</v>
      </c>
      <c r="H414" t="s">
        <v>2023</v>
      </c>
      <c r="I414" t="s">
        <v>80</v>
      </c>
      <c r="J414" t="s">
        <v>1963</v>
      </c>
      <c r="K414" t="s">
        <v>3094</v>
      </c>
      <c r="L414" t="s">
        <v>2046</v>
      </c>
      <c r="M414" t="s">
        <v>2026</v>
      </c>
      <c r="N414" t="s">
        <v>2027</v>
      </c>
      <c r="O414" t="s">
        <v>2650</v>
      </c>
      <c r="P414" t="s">
        <v>2651</v>
      </c>
      <c r="Q414" t="s">
        <v>14</v>
      </c>
      <c r="R414" t="s">
        <v>14</v>
      </c>
      <c r="S414" t="s">
        <v>3083</v>
      </c>
      <c r="T414" t="s">
        <v>3084</v>
      </c>
      <c r="U414" t="s">
        <v>2030</v>
      </c>
      <c r="V414" t="s">
        <v>14</v>
      </c>
      <c r="W414" t="b">
        <v>1</v>
      </c>
      <c r="X414" t="s">
        <v>3095</v>
      </c>
      <c r="Y414" t="b">
        <v>0</v>
      </c>
      <c r="Z414" t="s">
        <v>2032</v>
      </c>
    </row>
    <row r="415" spans="1:26" x14ac:dyDescent="0.35">
      <c r="A415" t="s">
        <v>91</v>
      </c>
      <c r="B415" t="s">
        <v>92</v>
      </c>
      <c r="C415" t="s">
        <v>2967</v>
      </c>
      <c r="D415" t="s">
        <v>1963</v>
      </c>
      <c r="E415" t="s">
        <v>2020</v>
      </c>
      <c r="F415" t="s">
        <v>2161</v>
      </c>
      <c r="G415" t="s">
        <v>2162</v>
      </c>
      <c r="H415" t="s">
        <v>2023</v>
      </c>
      <c r="I415" t="s">
        <v>80</v>
      </c>
      <c r="J415" t="s">
        <v>1963</v>
      </c>
      <c r="K415" t="s">
        <v>3096</v>
      </c>
      <c r="L415" t="s">
        <v>2046</v>
      </c>
      <c r="M415" t="s">
        <v>2026</v>
      </c>
      <c r="N415" t="s">
        <v>2027</v>
      </c>
      <c r="O415" t="s">
        <v>2650</v>
      </c>
      <c r="P415" t="s">
        <v>2651</v>
      </c>
      <c r="Q415" t="s">
        <v>14</v>
      </c>
      <c r="R415" t="s">
        <v>14</v>
      </c>
      <c r="S415" t="s">
        <v>3083</v>
      </c>
      <c r="T415" t="s">
        <v>3084</v>
      </c>
      <c r="U415" t="s">
        <v>2030</v>
      </c>
      <c r="V415" t="s">
        <v>14</v>
      </c>
      <c r="W415" t="b">
        <v>1</v>
      </c>
      <c r="X415" t="s">
        <v>3097</v>
      </c>
      <c r="Y415" t="b">
        <v>0</v>
      </c>
      <c r="Z415" t="s">
        <v>2032</v>
      </c>
    </row>
    <row r="416" spans="1:26" x14ac:dyDescent="0.35">
      <c r="A416" t="s">
        <v>93</v>
      </c>
      <c r="B416" t="s">
        <v>94</v>
      </c>
      <c r="C416" t="s">
        <v>2967</v>
      </c>
      <c r="D416" t="s">
        <v>1963</v>
      </c>
      <c r="E416" t="s">
        <v>2020</v>
      </c>
      <c r="F416" t="s">
        <v>2161</v>
      </c>
      <c r="G416" t="s">
        <v>2162</v>
      </c>
      <c r="H416" t="s">
        <v>2023</v>
      </c>
      <c r="I416" t="s">
        <v>80</v>
      </c>
      <c r="J416" t="s">
        <v>1963</v>
      </c>
      <c r="K416" t="s">
        <v>3098</v>
      </c>
      <c r="L416" t="s">
        <v>2046</v>
      </c>
      <c r="M416" t="s">
        <v>2026</v>
      </c>
      <c r="N416" t="s">
        <v>2027</v>
      </c>
      <c r="O416" t="s">
        <v>2650</v>
      </c>
      <c r="P416" t="s">
        <v>2651</v>
      </c>
      <c r="Q416" t="s">
        <v>14</v>
      </c>
      <c r="R416" t="s">
        <v>14</v>
      </c>
      <c r="S416" t="s">
        <v>3083</v>
      </c>
      <c r="T416" t="s">
        <v>3084</v>
      </c>
      <c r="U416" t="s">
        <v>2030</v>
      </c>
      <c r="V416" t="s">
        <v>14</v>
      </c>
      <c r="W416" t="b">
        <v>1</v>
      </c>
      <c r="X416" t="s">
        <v>3099</v>
      </c>
      <c r="Y416" t="b">
        <v>0</v>
      </c>
      <c r="Z416" t="s">
        <v>2032</v>
      </c>
    </row>
    <row r="417" spans="1:26" x14ac:dyDescent="0.35">
      <c r="A417" t="s">
        <v>95</v>
      </c>
      <c r="B417" t="s">
        <v>96</v>
      </c>
      <c r="C417" t="s">
        <v>2967</v>
      </c>
      <c r="D417" t="s">
        <v>1963</v>
      </c>
      <c r="E417" t="s">
        <v>2020</v>
      </c>
      <c r="F417" t="s">
        <v>2021</v>
      </c>
      <c r="G417" t="s">
        <v>2022</v>
      </c>
      <c r="H417" t="s">
        <v>2023</v>
      </c>
      <c r="I417" t="s">
        <v>80</v>
      </c>
      <c r="J417" t="s">
        <v>1963</v>
      </c>
      <c r="K417" t="s">
        <v>3100</v>
      </c>
      <c r="L417" t="s">
        <v>2046</v>
      </c>
      <c r="M417" t="s">
        <v>2026</v>
      </c>
      <c r="N417" t="s">
        <v>2027</v>
      </c>
      <c r="O417" t="s">
        <v>2650</v>
      </c>
      <c r="P417" t="s">
        <v>2651</v>
      </c>
      <c r="Q417" t="s">
        <v>14</v>
      </c>
      <c r="R417" t="s">
        <v>14</v>
      </c>
      <c r="S417" t="s">
        <v>3083</v>
      </c>
      <c r="T417" t="s">
        <v>3084</v>
      </c>
      <c r="U417" t="s">
        <v>2030</v>
      </c>
      <c r="V417" t="s">
        <v>14</v>
      </c>
      <c r="W417" t="b">
        <v>1</v>
      </c>
      <c r="X417" t="s">
        <v>3101</v>
      </c>
      <c r="Y417" t="b">
        <v>0</v>
      </c>
      <c r="Z417" t="s">
        <v>2032</v>
      </c>
    </row>
    <row r="418" spans="1:26" x14ac:dyDescent="0.35">
      <c r="A418" t="s">
        <v>97</v>
      </c>
      <c r="B418" t="s">
        <v>98</v>
      </c>
      <c r="C418" t="s">
        <v>2967</v>
      </c>
      <c r="D418" t="s">
        <v>1963</v>
      </c>
      <c r="E418" t="s">
        <v>2020</v>
      </c>
      <c r="F418" t="s">
        <v>2021</v>
      </c>
      <c r="G418" t="s">
        <v>2022</v>
      </c>
      <c r="H418" t="s">
        <v>2023</v>
      </c>
      <c r="I418" t="s">
        <v>80</v>
      </c>
      <c r="J418" t="s">
        <v>1963</v>
      </c>
      <c r="K418" t="s">
        <v>3102</v>
      </c>
      <c r="L418" t="s">
        <v>2046</v>
      </c>
      <c r="M418" t="s">
        <v>2026</v>
      </c>
      <c r="N418" t="s">
        <v>2027</v>
      </c>
      <c r="O418" t="s">
        <v>2650</v>
      </c>
      <c r="P418" t="s">
        <v>2651</v>
      </c>
      <c r="Q418" t="s">
        <v>14</v>
      </c>
      <c r="R418" t="s">
        <v>14</v>
      </c>
      <c r="S418" t="s">
        <v>3083</v>
      </c>
      <c r="T418" t="s">
        <v>3084</v>
      </c>
      <c r="U418" t="s">
        <v>2030</v>
      </c>
      <c r="V418" t="s">
        <v>14</v>
      </c>
      <c r="W418" t="b">
        <v>1</v>
      </c>
      <c r="X418" t="s">
        <v>3103</v>
      </c>
      <c r="Y418" t="b">
        <v>0</v>
      </c>
      <c r="Z418" t="s">
        <v>2032</v>
      </c>
    </row>
    <row r="419" spans="1:26" x14ac:dyDescent="0.35">
      <c r="A419" t="s">
        <v>99</v>
      </c>
      <c r="B419" t="s">
        <v>100</v>
      </c>
      <c r="C419" t="s">
        <v>2967</v>
      </c>
      <c r="D419" t="s">
        <v>1963</v>
      </c>
      <c r="E419" t="s">
        <v>2020</v>
      </c>
      <c r="F419" t="s">
        <v>2021</v>
      </c>
      <c r="G419" t="s">
        <v>2022</v>
      </c>
      <c r="H419" t="s">
        <v>2023</v>
      </c>
      <c r="I419" t="s">
        <v>80</v>
      </c>
      <c r="J419" t="s">
        <v>1963</v>
      </c>
      <c r="K419" t="s">
        <v>3104</v>
      </c>
      <c r="L419" t="s">
        <v>2046</v>
      </c>
      <c r="M419" t="s">
        <v>2026</v>
      </c>
      <c r="N419" t="s">
        <v>2027</v>
      </c>
      <c r="O419" t="s">
        <v>2650</v>
      </c>
      <c r="P419" t="s">
        <v>2651</v>
      </c>
      <c r="Q419" t="s">
        <v>14</v>
      </c>
      <c r="R419" t="s">
        <v>14</v>
      </c>
      <c r="S419" t="s">
        <v>3083</v>
      </c>
      <c r="T419" t="s">
        <v>3084</v>
      </c>
      <c r="U419" t="s">
        <v>2030</v>
      </c>
      <c r="V419" t="s">
        <v>14</v>
      </c>
      <c r="W419" t="b">
        <v>1</v>
      </c>
      <c r="X419" t="s">
        <v>3105</v>
      </c>
      <c r="Y419" t="b">
        <v>0</v>
      </c>
      <c r="Z419" t="s">
        <v>2032</v>
      </c>
    </row>
    <row r="420" spans="1:26" x14ac:dyDescent="0.35">
      <c r="A420" t="s">
        <v>101</v>
      </c>
      <c r="B420" t="s">
        <v>102</v>
      </c>
      <c r="C420" t="s">
        <v>2967</v>
      </c>
      <c r="D420" t="s">
        <v>1963</v>
      </c>
      <c r="E420" t="s">
        <v>2020</v>
      </c>
      <c r="F420" t="s">
        <v>2161</v>
      </c>
      <c r="G420" t="s">
        <v>2162</v>
      </c>
      <c r="H420" t="s">
        <v>2023</v>
      </c>
      <c r="I420" t="s">
        <v>80</v>
      </c>
      <c r="J420" t="s">
        <v>1963</v>
      </c>
      <c r="K420" t="s">
        <v>3106</v>
      </c>
      <c r="L420" t="s">
        <v>2046</v>
      </c>
      <c r="M420" t="s">
        <v>2026</v>
      </c>
      <c r="N420" t="s">
        <v>2027</v>
      </c>
      <c r="O420" t="s">
        <v>2650</v>
      </c>
      <c r="P420" t="s">
        <v>2651</v>
      </c>
      <c r="Q420" t="s">
        <v>14</v>
      </c>
      <c r="R420" t="s">
        <v>14</v>
      </c>
      <c r="S420" t="s">
        <v>3083</v>
      </c>
      <c r="T420" t="s">
        <v>3084</v>
      </c>
      <c r="U420" t="s">
        <v>2030</v>
      </c>
      <c r="V420" t="s">
        <v>14</v>
      </c>
      <c r="W420" t="b">
        <v>1</v>
      </c>
      <c r="X420" t="s">
        <v>3107</v>
      </c>
      <c r="Y420" t="b">
        <v>0</v>
      </c>
      <c r="Z420" t="s">
        <v>2032</v>
      </c>
    </row>
    <row r="421" spans="1:26" x14ac:dyDescent="0.35">
      <c r="A421" t="s">
        <v>103</v>
      </c>
      <c r="B421" t="s">
        <v>104</v>
      </c>
      <c r="C421" t="s">
        <v>2967</v>
      </c>
      <c r="D421" t="s">
        <v>1963</v>
      </c>
      <c r="E421" t="s">
        <v>2020</v>
      </c>
      <c r="F421" t="s">
        <v>2161</v>
      </c>
      <c r="G421" t="s">
        <v>2162</v>
      </c>
      <c r="H421" t="s">
        <v>2023</v>
      </c>
      <c r="I421" t="s">
        <v>80</v>
      </c>
      <c r="J421" t="s">
        <v>1963</v>
      </c>
      <c r="K421" t="s">
        <v>3108</v>
      </c>
      <c r="L421" t="s">
        <v>2046</v>
      </c>
      <c r="M421" t="s">
        <v>2026</v>
      </c>
      <c r="N421" t="s">
        <v>2027</v>
      </c>
      <c r="O421" t="s">
        <v>2650</v>
      </c>
      <c r="P421" t="s">
        <v>2651</v>
      </c>
      <c r="Q421" t="s">
        <v>14</v>
      </c>
      <c r="R421" t="s">
        <v>14</v>
      </c>
      <c r="S421" t="s">
        <v>3083</v>
      </c>
      <c r="T421" t="s">
        <v>3084</v>
      </c>
      <c r="U421" t="s">
        <v>2030</v>
      </c>
      <c r="V421" t="s">
        <v>14</v>
      </c>
      <c r="W421" t="b">
        <v>1</v>
      </c>
      <c r="X421" t="s">
        <v>3109</v>
      </c>
      <c r="Y421" t="b">
        <v>0</v>
      </c>
      <c r="Z421" t="s">
        <v>2032</v>
      </c>
    </row>
    <row r="422" spans="1:26" x14ac:dyDescent="0.35">
      <c r="A422" t="s">
        <v>105</v>
      </c>
      <c r="B422" t="s">
        <v>106</v>
      </c>
      <c r="C422" t="s">
        <v>2967</v>
      </c>
      <c r="D422" t="s">
        <v>1963</v>
      </c>
      <c r="E422" t="s">
        <v>2020</v>
      </c>
      <c r="F422" t="s">
        <v>2021</v>
      </c>
      <c r="G422" t="s">
        <v>2022</v>
      </c>
      <c r="H422" t="s">
        <v>2023</v>
      </c>
      <c r="I422" t="s">
        <v>1431</v>
      </c>
      <c r="J422" t="s">
        <v>1963</v>
      </c>
      <c r="K422" t="s">
        <v>3110</v>
      </c>
      <c r="L422" t="s">
        <v>2046</v>
      </c>
      <c r="M422" t="s">
        <v>2026</v>
      </c>
      <c r="N422" t="s">
        <v>2027</v>
      </c>
      <c r="O422" t="s">
        <v>2650</v>
      </c>
      <c r="P422" t="s">
        <v>2651</v>
      </c>
      <c r="Q422" t="s">
        <v>14</v>
      </c>
      <c r="R422" t="s">
        <v>14</v>
      </c>
      <c r="S422" t="s">
        <v>14</v>
      </c>
      <c r="T422" t="s">
        <v>14</v>
      </c>
      <c r="U422" t="s">
        <v>2030</v>
      </c>
      <c r="V422" t="s">
        <v>14</v>
      </c>
      <c r="W422" t="b">
        <v>1</v>
      </c>
      <c r="X422" t="s">
        <v>3111</v>
      </c>
      <c r="Y422" t="b">
        <v>0</v>
      </c>
      <c r="Z422" t="s">
        <v>2053</v>
      </c>
    </row>
    <row r="423" spans="1:26" x14ac:dyDescent="0.35">
      <c r="A423" t="s">
        <v>107</v>
      </c>
      <c r="B423" t="s">
        <v>108</v>
      </c>
      <c r="C423" t="s">
        <v>2967</v>
      </c>
      <c r="D423" t="s">
        <v>1963</v>
      </c>
      <c r="E423" t="s">
        <v>2020</v>
      </c>
      <c r="F423" t="s">
        <v>2021</v>
      </c>
      <c r="G423" t="s">
        <v>2022</v>
      </c>
      <c r="H423" t="s">
        <v>2023</v>
      </c>
      <c r="I423" t="s">
        <v>1431</v>
      </c>
      <c r="J423" t="s">
        <v>1963</v>
      </c>
      <c r="K423" t="s">
        <v>3112</v>
      </c>
      <c r="L423" t="s">
        <v>2046</v>
      </c>
      <c r="M423" t="s">
        <v>2026</v>
      </c>
      <c r="N423" t="s">
        <v>2027</v>
      </c>
      <c r="O423" t="s">
        <v>2650</v>
      </c>
      <c r="P423" t="s">
        <v>2651</v>
      </c>
      <c r="Q423" t="s">
        <v>14</v>
      </c>
      <c r="R423" t="s">
        <v>14</v>
      </c>
      <c r="S423" t="s">
        <v>14</v>
      </c>
      <c r="T423" t="s">
        <v>14</v>
      </c>
      <c r="U423" t="s">
        <v>2030</v>
      </c>
      <c r="V423" t="s">
        <v>14</v>
      </c>
      <c r="W423" t="b">
        <v>1</v>
      </c>
      <c r="X423" t="s">
        <v>3113</v>
      </c>
      <c r="Y423" t="b">
        <v>0</v>
      </c>
      <c r="Z423" t="s">
        <v>2053</v>
      </c>
    </row>
    <row r="424" spans="1:26" x14ac:dyDescent="0.35">
      <c r="A424" t="s">
        <v>109</v>
      </c>
      <c r="B424" t="s">
        <v>110</v>
      </c>
      <c r="C424" t="s">
        <v>2967</v>
      </c>
      <c r="D424" t="s">
        <v>1963</v>
      </c>
      <c r="E424" t="s">
        <v>2020</v>
      </c>
      <c r="F424" t="s">
        <v>2021</v>
      </c>
      <c r="G424" t="s">
        <v>2022</v>
      </c>
      <c r="H424" t="s">
        <v>2023</v>
      </c>
      <c r="I424" t="s">
        <v>3114</v>
      </c>
      <c r="J424" t="s">
        <v>1963</v>
      </c>
      <c r="K424" t="s">
        <v>3115</v>
      </c>
      <c r="L424" t="s">
        <v>2046</v>
      </c>
      <c r="M424" t="s">
        <v>2026</v>
      </c>
      <c r="N424" t="s">
        <v>2027</v>
      </c>
      <c r="O424" t="s">
        <v>2650</v>
      </c>
      <c r="P424" t="s">
        <v>2651</v>
      </c>
      <c r="Q424" t="s">
        <v>14</v>
      </c>
      <c r="R424" t="s">
        <v>14</v>
      </c>
      <c r="S424" t="s">
        <v>14</v>
      </c>
      <c r="T424" t="s">
        <v>14</v>
      </c>
      <c r="U424" t="s">
        <v>2030</v>
      </c>
      <c r="V424" t="s">
        <v>14</v>
      </c>
      <c r="W424" t="b">
        <v>1</v>
      </c>
      <c r="X424" t="s">
        <v>3116</v>
      </c>
      <c r="Y424" t="b">
        <v>0</v>
      </c>
      <c r="Z424" t="s">
        <v>2032</v>
      </c>
    </row>
    <row r="425" spans="1:26" x14ac:dyDescent="0.35">
      <c r="A425" t="s">
        <v>111</v>
      </c>
      <c r="B425" t="s">
        <v>112</v>
      </c>
      <c r="C425" t="s">
        <v>2967</v>
      </c>
      <c r="D425" t="s">
        <v>1963</v>
      </c>
      <c r="E425" t="s">
        <v>2020</v>
      </c>
      <c r="F425" t="s">
        <v>2021</v>
      </c>
      <c r="G425" t="s">
        <v>2022</v>
      </c>
      <c r="H425" t="s">
        <v>2023</v>
      </c>
      <c r="I425" t="s">
        <v>1431</v>
      </c>
      <c r="J425" t="s">
        <v>1963</v>
      </c>
      <c r="K425" t="s">
        <v>3117</v>
      </c>
      <c r="L425" t="s">
        <v>2046</v>
      </c>
      <c r="M425" t="s">
        <v>2026</v>
      </c>
      <c r="N425" t="s">
        <v>2027</v>
      </c>
      <c r="O425" t="s">
        <v>2650</v>
      </c>
      <c r="P425" t="s">
        <v>2651</v>
      </c>
      <c r="Q425" t="s">
        <v>14</v>
      </c>
      <c r="R425" t="s">
        <v>14</v>
      </c>
      <c r="S425" t="s">
        <v>14</v>
      </c>
      <c r="T425" t="s">
        <v>14</v>
      </c>
      <c r="U425" t="s">
        <v>2030</v>
      </c>
      <c r="V425" t="s">
        <v>14</v>
      </c>
      <c r="W425" t="b">
        <v>1</v>
      </c>
      <c r="X425" t="s">
        <v>3118</v>
      </c>
      <c r="Y425" t="b">
        <v>0</v>
      </c>
      <c r="Z425" t="s">
        <v>2053</v>
      </c>
    </row>
    <row r="426" spans="1:26" x14ac:dyDescent="0.35">
      <c r="A426" t="s">
        <v>113</v>
      </c>
      <c r="B426" t="s">
        <v>114</v>
      </c>
      <c r="C426" t="s">
        <v>2967</v>
      </c>
      <c r="D426" t="s">
        <v>1963</v>
      </c>
      <c r="E426" t="s">
        <v>2020</v>
      </c>
      <c r="F426" t="s">
        <v>2021</v>
      </c>
      <c r="G426" t="s">
        <v>2022</v>
      </c>
      <c r="H426" t="s">
        <v>2023</v>
      </c>
      <c r="I426" t="s">
        <v>1431</v>
      </c>
      <c r="J426" t="s">
        <v>1963</v>
      </c>
      <c r="K426" t="s">
        <v>3119</v>
      </c>
      <c r="L426" t="s">
        <v>2046</v>
      </c>
      <c r="M426" t="s">
        <v>2026</v>
      </c>
      <c r="N426" t="s">
        <v>2027</v>
      </c>
      <c r="O426" t="s">
        <v>2650</v>
      </c>
      <c r="P426" t="s">
        <v>2651</v>
      </c>
      <c r="Q426" t="s">
        <v>14</v>
      </c>
      <c r="R426" t="s">
        <v>14</v>
      </c>
      <c r="S426" t="s">
        <v>14</v>
      </c>
      <c r="T426" t="s">
        <v>14</v>
      </c>
      <c r="U426" t="s">
        <v>2030</v>
      </c>
      <c r="V426" t="s">
        <v>14</v>
      </c>
      <c r="W426" t="b">
        <v>1</v>
      </c>
      <c r="X426" t="s">
        <v>3120</v>
      </c>
      <c r="Y426" t="b">
        <v>0</v>
      </c>
      <c r="Z426" t="s">
        <v>2053</v>
      </c>
    </row>
    <row r="427" spans="1:26" x14ac:dyDescent="0.35">
      <c r="A427" t="s">
        <v>115</v>
      </c>
      <c r="B427" t="s">
        <v>116</v>
      </c>
      <c r="C427" t="s">
        <v>2967</v>
      </c>
      <c r="D427" t="s">
        <v>1963</v>
      </c>
      <c r="E427" t="s">
        <v>2020</v>
      </c>
      <c r="F427" t="s">
        <v>2021</v>
      </c>
      <c r="G427" t="s">
        <v>2022</v>
      </c>
      <c r="H427" t="s">
        <v>2023</v>
      </c>
      <c r="I427" t="s">
        <v>1431</v>
      </c>
      <c r="J427" t="s">
        <v>1963</v>
      </c>
      <c r="K427" t="s">
        <v>3121</v>
      </c>
      <c r="L427" t="s">
        <v>2046</v>
      </c>
      <c r="M427" t="s">
        <v>2026</v>
      </c>
      <c r="N427" t="s">
        <v>2027</v>
      </c>
      <c r="O427" t="s">
        <v>2650</v>
      </c>
      <c r="P427" t="s">
        <v>2651</v>
      </c>
      <c r="Q427" t="s">
        <v>14</v>
      </c>
      <c r="R427" t="s">
        <v>14</v>
      </c>
      <c r="S427" t="s">
        <v>14</v>
      </c>
      <c r="T427" t="s">
        <v>14</v>
      </c>
      <c r="U427" t="s">
        <v>2030</v>
      </c>
      <c r="V427" t="s">
        <v>14</v>
      </c>
      <c r="W427" t="b">
        <v>1</v>
      </c>
      <c r="X427" t="s">
        <v>3122</v>
      </c>
      <c r="Y427" t="b">
        <v>0</v>
      </c>
      <c r="Z427" t="s">
        <v>2053</v>
      </c>
    </row>
    <row r="428" spans="1:26" x14ac:dyDescent="0.35">
      <c r="A428" t="s">
        <v>117</v>
      </c>
      <c r="B428" t="s">
        <v>118</v>
      </c>
      <c r="C428" t="s">
        <v>2967</v>
      </c>
      <c r="D428" t="s">
        <v>1963</v>
      </c>
      <c r="E428" t="s">
        <v>2020</v>
      </c>
      <c r="F428" t="s">
        <v>2021</v>
      </c>
      <c r="G428" t="s">
        <v>2022</v>
      </c>
      <c r="H428" t="s">
        <v>2023</v>
      </c>
      <c r="I428" t="s">
        <v>1431</v>
      </c>
      <c r="J428" t="s">
        <v>1963</v>
      </c>
      <c r="K428" t="s">
        <v>3123</v>
      </c>
      <c r="L428" t="s">
        <v>2046</v>
      </c>
      <c r="M428" t="s">
        <v>2026</v>
      </c>
      <c r="N428" t="s">
        <v>2027</v>
      </c>
      <c r="O428" t="s">
        <v>2650</v>
      </c>
      <c r="P428" t="s">
        <v>2651</v>
      </c>
      <c r="Q428" t="s">
        <v>14</v>
      </c>
      <c r="R428" t="s">
        <v>14</v>
      </c>
      <c r="S428" t="s">
        <v>14</v>
      </c>
      <c r="T428" t="s">
        <v>14</v>
      </c>
      <c r="U428" t="s">
        <v>2030</v>
      </c>
      <c r="V428" t="s">
        <v>14</v>
      </c>
      <c r="W428" t="b">
        <v>1</v>
      </c>
      <c r="X428" t="s">
        <v>3124</v>
      </c>
      <c r="Y428" t="b">
        <v>0</v>
      </c>
      <c r="Z428" t="s">
        <v>2053</v>
      </c>
    </row>
    <row r="429" spans="1:26" x14ac:dyDescent="0.35">
      <c r="A429" t="s">
        <v>119</v>
      </c>
      <c r="B429" t="s">
        <v>120</v>
      </c>
      <c r="C429" t="s">
        <v>2967</v>
      </c>
      <c r="D429" t="s">
        <v>1963</v>
      </c>
      <c r="E429" t="s">
        <v>2020</v>
      </c>
      <c r="F429" t="s">
        <v>2021</v>
      </c>
      <c r="G429" t="s">
        <v>2022</v>
      </c>
      <c r="H429" t="s">
        <v>2023</v>
      </c>
      <c r="I429" t="s">
        <v>1431</v>
      </c>
      <c r="J429" t="s">
        <v>1963</v>
      </c>
      <c r="K429" t="s">
        <v>3125</v>
      </c>
      <c r="L429" t="s">
        <v>2046</v>
      </c>
      <c r="M429" t="s">
        <v>2026</v>
      </c>
      <c r="N429" t="s">
        <v>2027</v>
      </c>
      <c r="O429" t="s">
        <v>2650</v>
      </c>
      <c r="P429" t="s">
        <v>2651</v>
      </c>
      <c r="Q429" t="s">
        <v>14</v>
      </c>
      <c r="R429" t="s">
        <v>14</v>
      </c>
      <c r="S429" t="s">
        <v>14</v>
      </c>
      <c r="T429" t="s">
        <v>14</v>
      </c>
      <c r="U429" t="s">
        <v>2030</v>
      </c>
      <c r="V429" t="s">
        <v>14</v>
      </c>
      <c r="W429" t="b">
        <v>1</v>
      </c>
      <c r="X429" t="s">
        <v>3126</v>
      </c>
      <c r="Y429" t="b">
        <v>0</v>
      </c>
      <c r="Z429" t="s">
        <v>2053</v>
      </c>
    </row>
    <row r="430" spans="1:26" x14ac:dyDescent="0.35">
      <c r="A430" t="s">
        <v>121</v>
      </c>
      <c r="B430" t="s">
        <v>122</v>
      </c>
      <c r="C430" t="s">
        <v>2967</v>
      </c>
      <c r="D430" t="s">
        <v>1963</v>
      </c>
      <c r="E430" t="s">
        <v>2020</v>
      </c>
      <c r="F430" t="s">
        <v>2021</v>
      </c>
      <c r="G430" t="s">
        <v>2022</v>
      </c>
      <c r="H430" t="s">
        <v>2023</v>
      </c>
      <c r="I430" t="s">
        <v>1431</v>
      </c>
      <c r="J430" t="s">
        <v>1963</v>
      </c>
      <c r="K430" t="s">
        <v>3127</v>
      </c>
      <c r="L430" t="s">
        <v>2046</v>
      </c>
      <c r="M430" t="s">
        <v>2026</v>
      </c>
      <c r="N430" t="s">
        <v>2027</v>
      </c>
      <c r="O430" t="s">
        <v>2650</v>
      </c>
      <c r="P430" t="s">
        <v>2651</v>
      </c>
      <c r="Q430" t="s">
        <v>14</v>
      </c>
      <c r="R430" t="s">
        <v>14</v>
      </c>
      <c r="S430" t="s">
        <v>14</v>
      </c>
      <c r="T430" t="s">
        <v>14</v>
      </c>
      <c r="U430" t="s">
        <v>2030</v>
      </c>
      <c r="V430" t="s">
        <v>14</v>
      </c>
      <c r="W430" t="b">
        <v>1</v>
      </c>
      <c r="X430" t="s">
        <v>3128</v>
      </c>
      <c r="Y430" t="b">
        <v>0</v>
      </c>
      <c r="Z430" t="s">
        <v>2053</v>
      </c>
    </row>
    <row r="431" spans="1:26" x14ac:dyDescent="0.35">
      <c r="A431" t="s">
        <v>123</v>
      </c>
      <c r="B431" t="s">
        <v>124</v>
      </c>
      <c r="C431" t="s">
        <v>2967</v>
      </c>
      <c r="D431" t="s">
        <v>1963</v>
      </c>
      <c r="E431" t="s">
        <v>2020</v>
      </c>
      <c r="F431" t="s">
        <v>2021</v>
      </c>
      <c r="G431" t="s">
        <v>2022</v>
      </c>
      <c r="H431" t="s">
        <v>2023</v>
      </c>
      <c r="I431" t="s">
        <v>1431</v>
      </c>
      <c r="J431" t="s">
        <v>1963</v>
      </c>
      <c r="K431" t="s">
        <v>3129</v>
      </c>
      <c r="L431" t="s">
        <v>2046</v>
      </c>
      <c r="M431" t="s">
        <v>2026</v>
      </c>
      <c r="N431" t="s">
        <v>2027</v>
      </c>
      <c r="O431" t="s">
        <v>2650</v>
      </c>
      <c r="P431" t="s">
        <v>2651</v>
      </c>
      <c r="Q431" t="s">
        <v>14</v>
      </c>
      <c r="R431" t="s">
        <v>14</v>
      </c>
      <c r="S431" t="s">
        <v>14</v>
      </c>
      <c r="T431" t="s">
        <v>14</v>
      </c>
      <c r="U431" t="s">
        <v>2030</v>
      </c>
      <c r="V431" t="s">
        <v>14</v>
      </c>
      <c r="W431" t="b">
        <v>1</v>
      </c>
      <c r="X431" t="s">
        <v>3130</v>
      </c>
      <c r="Y431" t="b">
        <v>0</v>
      </c>
      <c r="Z431" t="s">
        <v>2053</v>
      </c>
    </row>
    <row r="432" spans="1:26" x14ac:dyDescent="0.35">
      <c r="A432" t="s">
        <v>125</v>
      </c>
      <c r="B432" t="s">
        <v>126</v>
      </c>
      <c r="C432" t="s">
        <v>2967</v>
      </c>
      <c r="D432" t="s">
        <v>1963</v>
      </c>
      <c r="E432" t="s">
        <v>2020</v>
      </c>
      <c r="F432" t="s">
        <v>2021</v>
      </c>
      <c r="G432" t="s">
        <v>2022</v>
      </c>
      <c r="H432" t="s">
        <v>2023</v>
      </c>
      <c r="I432" t="s">
        <v>1431</v>
      </c>
      <c r="J432" t="s">
        <v>1963</v>
      </c>
      <c r="K432" t="s">
        <v>3131</v>
      </c>
      <c r="L432" t="s">
        <v>2046</v>
      </c>
      <c r="M432" t="s">
        <v>2026</v>
      </c>
      <c r="N432" t="s">
        <v>2027</v>
      </c>
      <c r="O432" t="s">
        <v>2650</v>
      </c>
      <c r="P432" t="s">
        <v>2651</v>
      </c>
      <c r="Q432" t="s">
        <v>14</v>
      </c>
      <c r="R432" t="s">
        <v>14</v>
      </c>
      <c r="S432" t="s">
        <v>14</v>
      </c>
      <c r="T432" t="s">
        <v>14</v>
      </c>
      <c r="U432" t="s">
        <v>2030</v>
      </c>
      <c r="V432" t="s">
        <v>14</v>
      </c>
      <c r="W432" t="b">
        <v>1</v>
      </c>
      <c r="X432" t="s">
        <v>3132</v>
      </c>
      <c r="Y432" t="b">
        <v>0</v>
      </c>
      <c r="Z432" t="s">
        <v>2053</v>
      </c>
    </row>
    <row r="433" spans="1:26" x14ac:dyDescent="0.35">
      <c r="A433" t="s">
        <v>127</v>
      </c>
      <c r="B433" t="s">
        <v>128</v>
      </c>
      <c r="C433" t="s">
        <v>2967</v>
      </c>
      <c r="D433" t="s">
        <v>1963</v>
      </c>
      <c r="E433" t="s">
        <v>2020</v>
      </c>
      <c r="F433" t="s">
        <v>2021</v>
      </c>
      <c r="G433" t="s">
        <v>2022</v>
      </c>
      <c r="H433" t="s">
        <v>2023</v>
      </c>
      <c r="I433" t="s">
        <v>1431</v>
      </c>
      <c r="J433" t="s">
        <v>1963</v>
      </c>
      <c r="K433" t="s">
        <v>3133</v>
      </c>
      <c r="L433" t="s">
        <v>2046</v>
      </c>
      <c r="M433" t="s">
        <v>2026</v>
      </c>
      <c r="N433" t="s">
        <v>2027</v>
      </c>
      <c r="O433" t="s">
        <v>2650</v>
      </c>
      <c r="P433" t="s">
        <v>2651</v>
      </c>
      <c r="Q433" t="s">
        <v>14</v>
      </c>
      <c r="R433" t="s">
        <v>14</v>
      </c>
      <c r="S433" t="s">
        <v>14</v>
      </c>
      <c r="T433" t="s">
        <v>14</v>
      </c>
      <c r="U433" t="s">
        <v>2030</v>
      </c>
      <c r="V433" t="s">
        <v>14</v>
      </c>
      <c r="W433" t="b">
        <v>1</v>
      </c>
      <c r="X433" t="s">
        <v>3134</v>
      </c>
      <c r="Y433" t="b">
        <v>0</v>
      </c>
      <c r="Z433" t="s">
        <v>2053</v>
      </c>
    </row>
    <row r="434" spans="1:26" x14ac:dyDescent="0.35">
      <c r="A434" t="s">
        <v>129</v>
      </c>
      <c r="B434" t="s">
        <v>130</v>
      </c>
      <c r="C434" t="s">
        <v>2967</v>
      </c>
      <c r="D434" t="s">
        <v>1963</v>
      </c>
      <c r="E434" t="s">
        <v>2020</v>
      </c>
      <c r="F434" t="s">
        <v>2021</v>
      </c>
      <c r="G434" t="s">
        <v>2022</v>
      </c>
      <c r="H434" t="s">
        <v>2023</v>
      </c>
      <c r="I434" t="s">
        <v>1431</v>
      </c>
      <c r="J434" t="s">
        <v>1963</v>
      </c>
      <c r="K434" t="s">
        <v>3135</v>
      </c>
      <c r="L434" t="s">
        <v>2046</v>
      </c>
      <c r="M434" t="s">
        <v>2026</v>
      </c>
      <c r="N434" t="s">
        <v>2027</v>
      </c>
      <c r="O434" t="s">
        <v>2650</v>
      </c>
      <c r="P434" t="s">
        <v>2651</v>
      </c>
      <c r="Q434" t="s">
        <v>14</v>
      </c>
      <c r="R434" t="s">
        <v>14</v>
      </c>
      <c r="S434" t="s">
        <v>14</v>
      </c>
      <c r="T434" t="s">
        <v>14</v>
      </c>
      <c r="U434" t="s">
        <v>2030</v>
      </c>
      <c r="V434" t="s">
        <v>14</v>
      </c>
      <c r="W434" t="b">
        <v>1</v>
      </c>
      <c r="X434" t="s">
        <v>3136</v>
      </c>
      <c r="Y434" t="b">
        <v>0</v>
      </c>
      <c r="Z434" t="s">
        <v>2053</v>
      </c>
    </row>
    <row r="435" spans="1:26" x14ac:dyDescent="0.35">
      <c r="A435" t="s">
        <v>131</v>
      </c>
      <c r="B435" t="s">
        <v>132</v>
      </c>
      <c r="C435" t="s">
        <v>2967</v>
      </c>
      <c r="D435" t="s">
        <v>1963</v>
      </c>
      <c r="E435" t="s">
        <v>2020</v>
      </c>
      <c r="F435" t="s">
        <v>2021</v>
      </c>
      <c r="G435" t="s">
        <v>2022</v>
      </c>
      <c r="H435" t="s">
        <v>2023</v>
      </c>
      <c r="I435" t="s">
        <v>1431</v>
      </c>
      <c r="J435" t="s">
        <v>1963</v>
      </c>
      <c r="K435" t="s">
        <v>3137</v>
      </c>
      <c r="L435" t="s">
        <v>2046</v>
      </c>
      <c r="M435" t="s">
        <v>2026</v>
      </c>
      <c r="N435" t="s">
        <v>2027</v>
      </c>
      <c r="O435" t="s">
        <v>2650</v>
      </c>
      <c r="P435" t="s">
        <v>2651</v>
      </c>
      <c r="Q435" t="s">
        <v>14</v>
      </c>
      <c r="R435" t="s">
        <v>14</v>
      </c>
      <c r="S435" t="s">
        <v>14</v>
      </c>
      <c r="T435" t="s">
        <v>14</v>
      </c>
      <c r="U435" t="s">
        <v>2030</v>
      </c>
      <c r="V435" t="s">
        <v>14</v>
      </c>
      <c r="W435" t="b">
        <v>1</v>
      </c>
      <c r="X435" t="s">
        <v>3138</v>
      </c>
      <c r="Y435" t="b">
        <v>0</v>
      </c>
      <c r="Z435" t="s">
        <v>2053</v>
      </c>
    </row>
    <row r="436" spans="1:26" x14ac:dyDescent="0.35">
      <c r="A436" t="s">
        <v>133</v>
      </c>
      <c r="B436" t="s">
        <v>134</v>
      </c>
      <c r="C436" t="s">
        <v>2967</v>
      </c>
      <c r="D436" t="s">
        <v>1963</v>
      </c>
      <c r="E436" t="s">
        <v>2020</v>
      </c>
      <c r="F436" t="s">
        <v>2021</v>
      </c>
      <c r="G436" t="s">
        <v>2022</v>
      </c>
      <c r="H436" t="s">
        <v>2023</v>
      </c>
      <c r="I436" t="s">
        <v>3139</v>
      </c>
      <c r="J436" t="s">
        <v>1963</v>
      </c>
      <c r="K436" t="s">
        <v>3140</v>
      </c>
      <c r="L436" t="s">
        <v>2046</v>
      </c>
      <c r="M436" t="s">
        <v>2026</v>
      </c>
      <c r="N436" t="s">
        <v>2027</v>
      </c>
      <c r="O436" t="s">
        <v>2650</v>
      </c>
      <c r="P436" t="s">
        <v>2651</v>
      </c>
      <c r="Q436" t="s">
        <v>14</v>
      </c>
      <c r="R436" t="s">
        <v>14</v>
      </c>
      <c r="S436" t="s">
        <v>14</v>
      </c>
      <c r="T436" t="s">
        <v>14</v>
      </c>
      <c r="U436" t="s">
        <v>2052</v>
      </c>
      <c r="V436" t="s">
        <v>14</v>
      </c>
      <c r="W436" t="b">
        <v>1</v>
      </c>
      <c r="X436" t="s">
        <v>3141</v>
      </c>
      <c r="Y436" t="b">
        <v>0</v>
      </c>
      <c r="Z436" t="s">
        <v>2053</v>
      </c>
    </row>
    <row r="437" spans="1:26" x14ac:dyDescent="0.35">
      <c r="A437" t="s">
        <v>135</v>
      </c>
      <c r="B437" t="s">
        <v>136</v>
      </c>
      <c r="C437" t="s">
        <v>2967</v>
      </c>
      <c r="D437" t="s">
        <v>1963</v>
      </c>
      <c r="E437" t="s">
        <v>2020</v>
      </c>
      <c r="F437" t="s">
        <v>2021</v>
      </c>
      <c r="G437" t="s">
        <v>2022</v>
      </c>
      <c r="H437" t="s">
        <v>2023</v>
      </c>
      <c r="I437" t="s">
        <v>1431</v>
      </c>
      <c r="J437" t="s">
        <v>1963</v>
      </c>
      <c r="K437" t="s">
        <v>3142</v>
      </c>
      <c r="L437" t="s">
        <v>14</v>
      </c>
      <c r="M437" t="s">
        <v>2026</v>
      </c>
      <c r="N437" t="s">
        <v>2027</v>
      </c>
      <c r="O437" t="s">
        <v>2650</v>
      </c>
      <c r="P437" t="s">
        <v>2651</v>
      </c>
      <c r="Q437" t="s">
        <v>14</v>
      </c>
      <c r="R437" t="s">
        <v>14</v>
      </c>
      <c r="S437" t="s">
        <v>14</v>
      </c>
      <c r="T437" t="s">
        <v>14</v>
      </c>
      <c r="U437" t="s">
        <v>2030</v>
      </c>
      <c r="V437" t="s">
        <v>14</v>
      </c>
      <c r="W437" t="b">
        <v>1</v>
      </c>
      <c r="X437" t="s">
        <v>3143</v>
      </c>
      <c r="Y437" t="b">
        <v>0</v>
      </c>
      <c r="Z437" t="s">
        <v>2053</v>
      </c>
    </row>
    <row r="438" spans="1:26" x14ac:dyDescent="0.35">
      <c r="A438" t="s">
        <v>137</v>
      </c>
      <c r="B438" t="s">
        <v>138</v>
      </c>
      <c r="C438" t="s">
        <v>2967</v>
      </c>
      <c r="D438" t="s">
        <v>1963</v>
      </c>
      <c r="E438" t="s">
        <v>2020</v>
      </c>
      <c r="F438" t="s">
        <v>2021</v>
      </c>
      <c r="G438" t="s">
        <v>2022</v>
      </c>
      <c r="H438" t="s">
        <v>2023</v>
      </c>
      <c r="I438" t="s">
        <v>1431</v>
      </c>
      <c r="J438" t="s">
        <v>1963</v>
      </c>
      <c r="K438" t="s">
        <v>3144</v>
      </c>
      <c r="L438" t="s">
        <v>14</v>
      </c>
      <c r="M438" t="s">
        <v>2026</v>
      </c>
      <c r="N438" t="s">
        <v>2027</v>
      </c>
      <c r="O438" t="s">
        <v>2650</v>
      </c>
      <c r="P438" t="s">
        <v>2651</v>
      </c>
      <c r="Q438" t="s">
        <v>14</v>
      </c>
      <c r="R438" t="s">
        <v>14</v>
      </c>
      <c r="S438" t="s">
        <v>14</v>
      </c>
      <c r="T438" t="s">
        <v>14</v>
      </c>
      <c r="U438" t="s">
        <v>2030</v>
      </c>
      <c r="V438" t="s">
        <v>14</v>
      </c>
      <c r="W438" t="b">
        <v>1</v>
      </c>
      <c r="X438" t="s">
        <v>3145</v>
      </c>
      <c r="Y438" t="b">
        <v>0</v>
      </c>
      <c r="Z438" t="s">
        <v>2053</v>
      </c>
    </row>
    <row r="439" spans="1:26" x14ac:dyDescent="0.35">
      <c r="A439" t="s">
        <v>139</v>
      </c>
      <c r="B439" t="s">
        <v>140</v>
      </c>
      <c r="C439" t="s">
        <v>2967</v>
      </c>
      <c r="D439" t="s">
        <v>1963</v>
      </c>
      <c r="E439" t="s">
        <v>2020</v>
      </c>
      <c r="F439" t="s">
        <v>2021</v>
      </c>
      <c r="G439" t="s">
        <v>2022</v>
      </c>
      <c r="H439" t="s">
        <v>2023</v>
      </c>
      <c r="I439" t="s">
        <v>1431</v>
      </c>
      <c r="J439" t="s">
        <v>1963</v>
      </c>
      <c r="K439" t="s">
        <v>3146</v>
      </c>
      <c r="L439" t="s">
        <v>2046</v>
      </c>
      <c r="M439" t="s">
        <v>2026</v>
      </c>
      <c r="N439" t="s">
        <v>2027</v>
      </c>
      <c r="O439" t="s">
        <v>2650</v>
      </c>
      <c r="P439" t="s">
        <v>2651</v>
      </c>
      <c r="Q439" t="s">
        <v>14</v>
      </c>
      <c r="R439" t="s">
        <v>14</v>
      </c>
      <c r="S439" t="s">
        <v>14</v>
      </c>
      <c r="T439" t="s">
        <v>14</v>
      </c>
      <c r="U439" t="s">
        <v>2030</v>
      </c>
      <c r="V439" t="s">
        <v>14</v>
      </c>
      <c r="W439" t="b">
        <v>1</v>
      </c>
      <c r="X439" t="s">
        <v>3147</v>
      </c>
      <c r="Y439" t="b">
        <v>0</v>
      </c>
      <c r="Z439" t="s">
        <v>2053</v>
      </c>
    </row>
    <row r="440" spans="1:26" x14ac:dyDescent="0.35">
      <c r="A440" t="s">
        <v>1869</v>
      </c>
      <c r="B440" t="s">
        <v>3148</v>
      </c>
      <c r="C440" t="s">
        <v>3149</v>
      </c>
      <c r="D440" t="s">
        <v>1963</v>
      </c>
      <c r="E440" t="s">
        <v>2020</v>
      </c>
      <c r="F440" t="s">
        <v>3150</v>
      </c>
      <c r="G440" t="s">
        <v>2162</v>
      </c>
      <c r="H440" t="s">
        <v>2023</v>
      </c>
      <c r="I440" t="s">
        <v>73</v>
      </c>
      <c r="J440" t="s">
        <v>1963</v>
      </c>
      <c r="K440" t="s">
        <v>3151</v>
      </c>
      <c r="L440" t="s">
        <v>2046</v>
      </c>
      <c r="M440" t="s">
        <v>3152</v>
      </c>
      <c r="N440" t="s">
        <v>3153</v>
      </c>
      <c r="O440" t="s">
        <v>3154</v>
      </c>
      <c r="P440" t="s">
        <v>3155</v>
      </c>
      <c r="Q440" t="s">
        <v>3156</v>
      </c>
      <c r="R440" t="s">
        <v>14</v>
      </c>
      <c r="S440" t="s">
        <v>3157</v>
      </c>
      <c r="T440" t="s">
        <v>3158</v>
      </c>
      <c r="U440" t="s">
        <v>3015</v>
      </c>
      <c r="V440" t="s">
        <v>14</v>
      </c>
      <c r="W440" t="b">
        <v>1</v>
      </c>
      <c r="X440" t="s">
        <v>3159</v>
      </c>
      <c r="Y440" t="b">
        <v>1</v>
      </c>
      <c r="Z440" t="s">
        <v>2032</v>
      </c>
    </row>
    <row r="441" spans="1:26" x14ac:dyDescent="0.35">
      <c r="A441" t="s">
        <v>141</v>
      </c>
      <c r="B441" t="s">
        <v>142</v>
      </c>
      <c r="C441" t="s">
        <v>2967</v>
      </c>
      <c r="D441" t="s">
        <v>1963</v>
      </c>
      <c r="E441" t="s">
        <v>2020</v>
      </c>
      <c r="F441" t="s">
        <v>2021</v>
      </c>
      <c r="G441" t="s">
        <v>2022</v>
      </c>
      <c r="H441" t="s">
        <v>2023</v>
      </c>
      <c r="I441" t="s">
        <v>3160</v>
      </c>
      <c r="J441" t="s">
        <v>1963</v>
      </c>
      <c r="K441" t="s">
        <v>3161</v>
      </c>
      <c r="L441" t="s">
        <v>2046</v>
      </c>
      <c r="M441" t="s">
        <v>2026</v>
      </c>
      <c r="N441" t="s">
        <v>2027</v>
      </c>
      <c r="O441" t="s">
        <v>2028</v>
      </c>
      <c r="P441" t="s">
        <v>2029</v>
      </c>
      <c r="Q441" t="s">
        <v>14</v>
      </c>
      <c r="R441" t="s">
        <v>14</v>
      </c>
      <c r="S441" t="s">
        <v>14</v>
      </c>
      <c r="T441" t="s">
        <v>14</v>
      </c>
      <c r="U441" t="s">
        <v>2030</v>
      </c>
      <c r="V441" t="s">
        <v>14</v>
      </c>
      <c r="W441" t="b">
        <v>1</v>
      </c>
      <c r="X441" t="s">
        <v>3162</v>
      </c>
      <c r="Y441" t="b">
        <v>0</v>
      </c>
      <c r="Z441" t="s">
        <v>2081</v>
      </c>
    </row>
    <row r="442" spans="1:26" x14ac:dyDescent="0.35">
      <c r="A442" t="s">
        <v>143</v>
      </c>
      <c r="B442" t="s">
        <v>144</v>
      </c>
      <c r="C442" t="s">
        <v>2967</v>
      </c>
      <c r="D442" t="s">
        <v>1963</v>
      </c>
      <c r="E442" t="s">
        <v>2020</v>
      </c>
      <c r="F442" t="s">
        <v>2021</v>
      </c>
      <c r="G442" t="s">
        <v>2022</v>
      </c>
      <c r="H442" t="s">
        <v>2023</v>
      </c>
      <c r="I442" t="s">
        <v>3160</v>
      </c>
      <c r="J442" t="s">
        <v>1963</v>
      </c>
      <c r="K442" t="s">
        <v>3163</v>
      </c>
      <c r="L442" t="s">
        <v>2046</v>
      </c>
      <c r="M442" t="s">
        <v>2026</v>
      </c>
      <c r="N442" t="s">
        <v>2027</v>
      </c>
      <c r="O442" t="s">
        <v>2028</v>
      </c>
      <c r="P442" t="s">
        <v>2029</v>
      </c>
      <c r="Q442" t="s">
        <v>14</v>
      </c>
      <c r="R442" t="s">
        <v>14</v>
      </c>
      <c r="S442" t="s">
        <v>14</v>
      </c>
      <c r="T442" t="s">
        <v>14</v>
      </c>
      <c r="U442" t="s">
        <v>2030</v>
      </c>
      <c r="V442" t="s">
        <v>14</v>
      </c>
      <c r="W442" t="b">
        <v>1</v>
      </c>
      <c r="X442" t="s">
        <v>3164</v>
      </c>
      <c r="Y442" t="b">
        <v>0</v>
      </c>
      <c r="Z442" t="s">
        <v>2081</v>
      </c>
    </row>
    <row r="443" spans="1:26" x14ac:dyDescent="0.35">
      <c r="A443" t="s">
        <v>145</v>
      </c>
      <c r="B443" t="s">
        <v>146</v>
      </c>
      <c r="C443" t="s">
        <v>2967</v>
      </c>
      <c r="D443" t="s">
        <v>1963</v>
      </c>
      <c r="E443" t="s">
        <v>2020</v>
      </c>
      <c r="F443" t="s">
        <v>2021</v>
      </c>
      <c r="G443" t="s">
        <v>2022</v>
      </c>
      <c r="H443" t="s">
        <v>2023</v>
      </c>
      <c r="I443" t="s">
        <v>3160</v>
      </c>
      <c r="J443" t="s">
        <v>1963</v>
      </c>
      <c r="K443" t="s">
        <v>3165</v>
      </c>
      <c r="L443" t="s">
        <v>2046</v>
      </c>
      <c r="M443" t="s">
        <v>2026</v>
      </c>
      <c r="N443" t="s">
        <v>2027</v>
      </c>
      <c r="O443" t="s">
        <v>2028</v>
      </c>
      <c r="P443" t="s">
        <v>2029</v>
      </c>
      <c r="Q443" t="s">
        <v>14</v>
      </c>
      <c r="R443" t="s">
        <v>14</v>
      </c>
      <c r="S443" t="s">
        <v>14</v>
      </c>
      <c r="T443" t="s">
        <v>14</v>
      </c>
      <c r="U443" t="s">
        <v>2030</v>
      </c>
      <c r="V443" t="s">
        <v>14</v>
      </c>
      <c r="W443" t="b">
        <v>1</v>
      </c>
      <c r="X443" t="s">
        <v>3166</v>
      </c>
      <c r="Y443" t="b">
        <v>0</v>
      </c>
      <c r="Z443" t="s">
        <v>2081</v>
      </c>
    </row>
    <row r="444" spans="1:26" x14ac:dyDescent="0.35">
      <c r="A444" t="s">
        <v>147</v>
      </c>
      <c r="B444" t="s">
        <v>148</v>
      </c>
      <c r="C444" t="s">
        <v>3167</v>
      </c>
      <c r="D444" t="s">
        <v>1963</v>
      </c>
      <c r="E444" t="s">
        <v>2020</v>
      </c>
      <c r="F444" t="s">
        <v>2021</v>
      </c>
      <c r="G444" t="s">
        <v>2022</v>
      </c>
      <c r="H444" t="s">
        <v>2023</v>
      </c>
      <c r="I444" t="s">
        <v>3160</v>
      </c>
      <c r="J444" t="s">
        <v>1963</v>
      </c>
      <c r="K444" t="s">
        <v>3168</v>
      </c>
      <c r="L444" t="s">
        <v>2046</v>
      </c>
      <c r="M444" t="s">
        <v>2026</v>
      </c>
      <c r="N444" t="s">
        <v>2027</v>
      </c>
      <c r="O444" t="s">
        <v>2028</v>
      </c>
      <c r="P444" t="s">
        <v>2029</v>
      </c>
      <c r="Q444" t="s">
        <v>14</v>
      </c>
      <c r="R444" t="s">
        <v>14</v>
      </c>
      <c r="S444" t="s">
        <v>14</v>
      </c>
      <c r="T444" t="s">
        <v>14</v>
      </c>
      <c r="U444" t="s">
        <v>2030</v>
      </c>
      <c r="V444" t="s">
        <v>14</v>
      </c>
      <c r="W444" t="b">
        <v>1</v>
      </c>
      <c r="X444" t="s">
        <v>3169</v>
      </c>
      <c r="Y444" t="b">
        <v>0</v>
      </c>
      <c r="Z444" t="s">
        <v>2081</v>
      </c>
    </row>
    <row r="445" spans="1:26" x14ac:dyDescent="0.35">
      <c r="A445" t="s">
        <v>149</v>
      </c>
      <c r="B445" t="s">
        <v>150</v>
      </c>
      <c r="C445" t="s">
        <v>3167</v>
      </c>
      <c r="D445" t="s">
        <v>1963</v>
      </c>
      <c r="E445" t="s">
        <v>2020</v>
      </c>
      <c r="F445" t="s">
        <v>2021</v>
      </c>
      <c r="G445" t="s">
        <v>2022</v>
      </c>
      <c r="H445" t="s">
        <v>2023</v>
      </c>
      <c r="I445" t="s">
        <v>3160</v>
      </c>
      <c r="J445" t="s">
        <v>1963</v>
      </c>
      <c r="K445" t="s">
        <v>3170</v>
      </c>
      <c r="L445" t="s">
        <v>2046</v>
      </c>
      <c r="M445" t="s">
        <v>2026</v>
      </c>
      <c r="N445" t="s">
        <v>2027</v>
      </c>
      <c r="O445" t="s">
        <v>2028</v>
      </c>
      <c r="P445" t="s">
        <v>2029</v>
      </c>
      <c r="Q445" t="s">
        <v>14</v>
      </c>
      <c r="R445" t="s">
        <v>14</v>
      </c>
      <c r="S445" t="s">
        <v>14</v>
      </c>
      <c r="T445" t="s">
        <v>14</v>
      </c>
      <c r="U445" t="s">
        <v>2030</v>
      </c>
      <c r="V445" t="s">
        <v>14</v>
      </c>
      <c r="W445" t="b">
        <v>1</v>
      </c>
      <c r="X445" t="s">
        <v>3171</v>
      </c>
      <c r="Y445" t="b">
        <v>0</v>
      </c>
      <c r="Z445" t="s">
        <v>2081</v>
      </c>
    </row>
    <row r="446" spans="1:26" x14ac:dyDescent="0.35">
      <c r="A446" t="s">
        <v>151</v>
      </c>
      <c r="B446" t="s">
        <v>152</v>
      </c>
      <c r="C446" t="s">
        <v>3167</v>
      </c>
      <c r="D446" t="s">
        <v>1963</v>
      </c>
      <c r="E446" t="s">
        <v>2020</v>
      </c>
      <c r="F446" t="s">
        <v>2021</v>
      </c>
      <c r="G446" t="s">
        <v>2022</v>
      </c>
      <c r="H446" t="s">
        <v>2023</v>
      </c>
      <c r="I446" t="s">
        <v>3160</v>
      </c>
      <c r="J446" t="s">
        <v>1963</v>
      </c>
      <c r="K446" t="s">
        <v>3172</v>
      </c>
      <c r="L446" t="s">
        <v>2046</v>
      </c>
      <c r="M446" t="s">
        <v>2026</v>
      </c>
      <c r="N446" t="s">
        <v>2027</v>
      </c>
      <c r="O446" t="s">
        <v>2028</v>
      </c>
      <c r="P446" t="s">
        <v>2029</v>
      </c>
      <c r="Q446" t="s">
        <v>14</v>
      </c>
      <c r="R446" t="s">
        <v>14</v>
      </c>
      <c r="S446" t="s">
        <v>14</v>
      </c>
      <c r="T446" t="s">
        <v>14</v>
      </c>
      <c r="U446" t="s">
        <v>2030</v>
      </c>
      <c r="V446" t="s">
        <v>14</v>
      </c>
      <c r="W446" t="b">
        <v>1</v>
      </c>
      <c r="X446" t="s">
        <v>3173</v>
      </c>
      <c r="Y446" t="b">
        <v>0</v>
      </c>
      <c r="Z446" t="s">
        <v>2081</v>
      </c>
    </row>
    <row r="447" spans="1:26" x14ac:dyDescent="0.35">
      <c r="A447" t="s">
        <v>153</v>
      </c>
      <c r="B447" t="s">
        <v>154</v>
      </c>
      <c r="C447" t="s">
        <v>3167</v>
      </c>
      <c r="D447" t="s">
        <v>1963</v>
      </c>
      <c r="E447" t="s">
        <v>2020</v>
      </c>
      <c r="F447" t="s">
        <v>2055</v>
      </c>
      <c r="G447" t="s">
        <v>2056</v>
      </c>
      <c r="H447" t="s">
        <v>2023</v>
      </c>
      <c r="I447" t="s">
        <v>3174</v>
      </c>
      <c r="J447" t="s">
        <v>1963</v>
      </c>
      <c r="K447" t="s">
        <v>3175</v>
      </c>
      <c r="L447" t="s">
        <v>2046</v>
      </c>
      <c r="M447" t="s">
        <v>3176</v>
      </c>
      <c r="N447" t="s">
        <v>3177</v>
      </c>
      <c r="O447" t="s">
        <v>3154</v>
      </c>
      <c r="P447" t="s">
        <v>3155</v>
      </c>
      <c r="Q447" t="s">
        <v>3178</v>
      </c>
      <c r="R447" t="s">
        <v>14</v>
      </c>
      <c r="S447" t="s">
        <v>3179</v>
      </c>
      <c r="T447" t="s">
        <v>3180</v>
      </c>
      <c r="U447" t="s">
        <v>3015</v>
      </c>
      <c r="V447" t="s">
        <v>14</v>
      </c>
      <c r="W447" t="b">
        <v>1</v>
      </c>
      <c r="X447" t="s">
        <v>3181</v>
      </c>
      <c r="Y447" t="b">
        <v>0</v>
      </c>
      <c r="Z447" t="s">
        <v>2032</v>
      </c>
    </row>
    <row r="448" spans="1:26" x14ac:dyDescent="0.35">
      <c r="A448" t="s">
        <v>153</v>
      </c>
      <c r="B448" t="s">
        <v>154</v>
      </c>
      <c r="C448" t="s">
        <v>3167</v>
      </c>
      <c r="D448" t="s">
        <v>1963</v>
      </c>
      <c r="E448" t="s">
        <v>2020</v>
      </c>
      <c r="F448" t="s">
        <v>2055</v>
      </c>
      <c r="G448" t="s">
        <v>2056</v>
      </c>
      <c r="H448" t="s">
        <v>2023</v>
      </c>
      <c r="I448" t="s">
        <v>73</v>
      </c>
      <c r="J448" t="s">
        <v>1963</v>
      </c>
      <c r="K448" t="s">
        <v>3175</v>
      </c>
      <c r="L448" t="s">
        <v>2046</v>
      </c>
      <c r="M448" t="s">
        <v>3152</v>
      </c>
      <c r="N448" t="s">
        <v>3153</v>
      </c>
      <c r="O448" t="s">
        <v>3154</v>
      </c>
      <c r="P448" t="s">
        <v>3155</v>
      </c>
      <c r="Q448" t="s">
        <v>3156</v>
      </c>
      <c r="R448" t="s">
        <v>14</v>
      </c>
      <c r="S448" t="s">
        <v>3157</v>
      </c>
      <c r="T448" t="s">
        <v>3158</v>
      </c>
      <c r="U448" t="s">
        <v>3015</v>
      </c>
      <c r="V448" t="s">
        <v>14</v>
      </c>
      <c r="W448" t="b">
        <v>1</v>
      </c>
      <c r="X448" t="s">
        <v>3181</v>
      </c>
      <c r="Y448" t="b">
        <v>1</v>
      </c>
      <c r="Z448" t="s">
        <v>2032</v>
      </c>
    </row>
    <row r="449" spans="1:26" x14ac:dyDescent="0.35">
      <c r="A449" t="s">
        <v>155</v>
      </c>
      <c r="B449" t="s">
        <v>156</v>
      </c>
      <c r="C449" t="s">
        <v>3167</v>
      </c>
      <c r="D449" t="s">
        <v>1963</v>
      </c>
      <c r="E449" t="s">
        <v>2020</v>
      </c>
      <c r="F449" t="s">
        <v>2055</v>
      </c>
      <c r="G449" t="s">
        <v>2056</v>
      </c>
      <c r="H449" t="s">
        <v>2023</v>
      </c>
      <c r="I449" t="s">
        <v>73</v>
      </c>
      <c r="J449" t="s">
        <v>1963</v>
      </c>
      <c r="K449" t="s">
        <v>3182</v>
      </c>
      <c r="L449" t="s">
        <v>2046</v>
      </c>
      <c r="M449" t="s">
        <v>3152</v>
      </c>
      <c r="N449" t="s">
        <v>3153</v>
      </c>
      <c r="O449" t="s">
        <v>3154</v>
      </c>
      <c r="P449" t="s">
        <v>3155</v>
      </c>
      <c r="Q449" t="s">
        <v>3156</v>
      </c>
      <c r="R449" t="s">
        <v>14</v>
      </c>
      <c r="S449" t="s">
        <v>3157</v>
      </c>
      <c r="T449" t="s">
        <v>3158</v>
      </c>
      <c r="U449" t="s">
        <v>3015</v>
      </c>
      <c r="V449" t="s">
        <v>14</v>
      </c>
      <c r="W449" t="b">
        <v>1</v>
      </c>
      <c r="X449" t="s">
        <v>3183</v>
      </c>
      <c r="Y449" t="b">
        <v>1</v>
      </c>
      <c r="Z449" t="s">
        <v>2032</v>
      </c>
    </row>
    <row r="450" spans="1:26" x14ac:dyDescent="0.35">
      <c r="A450" t="s">
        <v>155</v>
      </c>
      <c r="B450" t="s">
        <v>156</v>
      </c>
      <c r="C450" t="s">
        <v>3167</v>
      </c>
      <c r="D450" t="s">
        <v>1963</v>
      </c>
      <c r="E450" t="s">
        <v>2020</v>
      </c>
      <c r="F450" t="s">
        <v>2055</v>
      </c>
      <c r="G450" t="s">
        <v>2056</v>
      </c>
      <c r="H450" t="s">
        <v>2023</v>
      </c>
      <c r="I450" t="s">
        <v>3174</v>
      </c>
      <c r="J450" t="s">
        <v>1963</v>
      </c>
      <c r="K450" t="s">
        <v>3182</v>
      </c>
      <c r="L450" t="s">
        <v>2046</v>
      </c>
      <c r="M450" t="s">
        <v>3176</v>
      </c>
      <c r="N450" t="s">
        <v>3177</v>
      </c>
      <c r="O450" t="s">
        <v>3154</v>
      </c>
      <c r="P450" t="s">
        <v>3155</v>
      </c>
      <c r="Q450" t="s">
        <v>3178</v>
      </c>
      <c r="R450" t="s">
        <v>14</v>
      </c>
      <c r="S450" t="s">
        <v>3179</v>
      </c>
      <c r="T450" t="s">
        <v>3180</v>
      </c>
      <c r="U450" t="s">
        <v>3015</v>
      </c>
      <c r="V450" t="s">
        <v>14</v>
      </c>
      <c r="W450" t="b">
        <v>1</v>
      </c>
      <c r="X450" t="s">
        <v>3183</v>
      </c>
      <c r="Y450" t="b">
        <v>0</v>
      </c>
      <c r="Z450" t="s">
        <v>2032</v>
      </c>
    </row>
    <row r="451" spans="1:26" x14ac:dyDescent="0.35">
      <c r="A451" t="s">
        <v>157</v>
      </c>
      <c r="B451" t="s">
        <v>158</v>
      </c>
      <c r="C451" t="s">
        <v>3167</v>
      </c>
      <c r="D451" t="s">
        <v>1963</v>
      </c>
      <c r="E451" t="s">
        <v>2020</v>
      </c>
      <c r="F451" t="s">
        <v>2055</v>
      </c>
      <c r="G451" t="s">
        <v>2056</v>
      </c>
      <c r="H451" t="s">
        <v>2023</v>
      </c>
      <c r="I451" t="s">
        <v>73</v>
      </c>
      <c r="J451" t="s">
        <v>1963</v>
      </c>
      <c r="K451" t="s">
        <v>3184</v>
      </c>
      <c r="L451" t="s">
        <v>2046</v>
      </c>
      <c r="M451" t="s">
        <v>3152</v>
      </c>
      <c r="N451" t="s">
        <v>3153</v>
      </c>
      <c r="O451" t="s">
        <v>3154</v>
      </c>
      <c r="P451" t="s">
        <v>3155</v>
      </c>
      <c r="Q451" t="s">
        <v>3156</v>
      </c>
      <c r="R451" t="s">
        <v>14</v>
      </c>
      <c r="S451" t="s">
        <v>3157</v>
      </c>
      <c r="T451" t="s">
        <v>3158</v>
      </c>
      <c r="U451" t="s">
        <v>3015</v>
      </c>
      <c r="V451" t="s">
        <v>14</v>
      </c>
      <c r="W451" t="b">
        <v>1</v>
      </c>
      <c r="X451" t="s">
        <v>3185</v>
      </c>
      <c r="Y451" t="b">
        <v>1</v>
      </c>
      <c r="Z451" t="s">
        <v>2032</v>
      </c>
    </row>
    <row r="452" spans="1:26" x14ac:dyDescent="0.35">
      <c r="A452" t="s">
        <v>157</v>
      </c>
      <c r="B452" t="s">
        <v>158</v>
      </c>
      <c r="C452" t="s">
        <v>3167</v>
      </c>
      <c r="D452" t="s">
        <v>1963</v>
      </c>
      <c r="E452" t="s">
        <v>2020</v>
      </c>
      <c r="F452" t="s">
        <v>2055</v>
      </c>
      <c r="G452" t="s">
        <v>2056</v>
      </c>
      <c r="H452" t="s">
        <v>2023</v>
      </c>
      <c r="I452" t="s">
        <v>3174</v>
      </c>
      <c r="J452" t="s">
        <v>1963</v>
      </c>
      <c r="K452" t="s">
        <v>3184</v>
      </c>
      <c r="L452" t="s">
        <v>2046</v>
      </c>
      <c r="M452" t="s">
        <v>3176</v>
      </c>
      <c r="N452" t="s">
        <v>3177</v>
      </c>
      <c r="O452" t="s">
        <v>3154</v>
      </c>
      <c r="P452" t="s">
        <v>3155</v>
      </c>
      <c r="Q452" t="s">
        <v>3178</v>
      </c>
      <c r="R452" t="s">
        <v>14</v>
      </c>
      <c r="S452" t="s">
        <v>3179</v>
      </c>
      <c r="T452" t="s">
        <v>3180</v>
      </c>
      <c r="U452" t="s">
        <v>3015</v>
      </c>
      <c r="V452" t="s">
        <v>14</v>
      </c>
      <c r="W452" t="b">
        <v>1</v>
      </c>
      <c r="X452" t="s">
        <v>3185</v>
      </c>
      <c r="Y452" t="b">
        <v>0</v>
      </c>
      <c r="Z452" t="s">
        <v>2032</v>
      </c>
    </row>
    <row r="453" spans="1:26" x14ac:dyDescent="0.35">
      <c r="A453" t="s">
        <v>159</v>
      </c>
      <c r="B453" t="s">
        <v>160</v>
      </c>
      <c r="C453" t="s">
        <v>3167</v>
      </c>
      <c r="D453" t="s">
        <v>1963</v>
      </c>
      <c r="E453" t="s">
        <v>2020</v>
      </c>
      <c r="F453" t="s">
        <v>2055</v>
      </c>
      <c r="G453" t="s">
        <v>2056</v>
      </c>
      <c r="H453" t="s">
        <v>2023</v>
      </c>
      <c r="I453" t="s">
        <v>73</v>
      </c>
      <c r="J453" t="s">
        <v>1963</v>
      </c>
      <c r="K453" t="s">
        <v>3186</v>
      </c>
      <c r="L453" t="s">
        <v>2046</v>
      </c>
      <c r="M453" t="s">
        <v>3152</v>
      </c>
      <c r="N453" t="s">
        <v>3153</v>
      </c>
      <c r="O453" t="s">
        <v>3154</v>
      </c>
      <c r="P453" t="s">
        <v>3155</v>
      </c>
      <c r="Q453" t="s">
        <v>3156</v>
      </c>
      <c r="R453" t="s">
        <v>14</v>
      </c>
      <c r="S453" t="s">
        <v>3157</v>
      </c>
      <c r="T453" t="s">
        <v>3158</v>
      </c>
      <c r="U453" t="s">
        <v>3015</v>
      </c>
      <c r="V453" t="s">
        <v>14</v>
      </c>
      <c r="W453" t="b">
        <v>1</v>
      </c>
      <c r="X453" t="s">
        <v>3187</v>
      </c>
      <c r="Y453" t="b">
        <v>1</v>
      </c>
      <c r="Z453" t="s">
        <v>2032</v>
      </c>
    </row>
    <row r="454" spans="1:26" x14ac:dyDescent="0.35">
      <c r="A454" t="s">
        <v>159</v>
      </c>
      <c r="B454" t="s">
        <v>160</v>
      </c>
      <c r="C454" t="s">
        <v>3167</v>
      </c>
      <c r="D454" t="s">
        <v>1963</v>
      </c>
      <c r="E454" t="s">
        <v>2020</v>
      </c>
      <c r="F454" t="s">
        <v>2055</v>
      </c>
      <c r="G454" t="s">
        <v>2056</v>
      </c>
      <c r="H454" t="s">
        <v>2023</v>
      </c>
      <c r="I454" t="s">
        <v>3174</v>
      </c>
      <c r="J454" t="s">
        <v>1963</v>
      </c>
      <c r="K454" t="s">
        <v>3186</v>
      </c>
      <c r="L454" t="s">
        <v>2046</v>
      </c>
      <c r="M454" t="s">
        <v>3176</v>
      </c>
      <c r="N454" t="s">
        <v>3177</v>
      </c>
      <c r="O454" t="s">
        <v>3154</v>
      </c>
      <c r="P454" t="s">
        <v>3155</v>
      </c>
      <c r="Q454" t="s">
        <v>3178</v>
      </c>
      <c r="R454" t="s">
        <v>14</v>
      </c>
      <c r="S454" t="s">
        <v>3179</v>
      </c>
      <c r="T454" t="s">
        <v>3180</v>
      </c>
      <c r="U454" t="s">
        <v>3015</v>
      </c>
      <c r="V454" t="s">
        <v>14</v>
      </c>
      <c r="W454" t="b">
        <v>1</v>
      </c>
      <c r="X454" t="s">
        <v>3187</v>
      </c>
      <c r="Y454" t="b">
        <v>0</v>
      </c>
      <c r="Z454" t="s">
        <v>2032</v>
      </c>
    </row>
    <row r="455" spans="1:26" x14ac:dyDescent="0.35">
      <c r="A455" t="s">
        <v>161</v>
      </c>
      <c r="B455" t="s">
        <v>162</v>
      </c>
      <c r="C455" t="s">
        <v>3167</v>
      </c>
      <c r="D455" t="s">
        <v>1963</v>
      </c>
      <c r="E455" t="s">
        <v>2020</v>
      </c>
      <c r="F455" t="s">
        <v>2055</v>
      </c>
      <c r="G455" t="s">
        <v>2056</v>
      </c>
      <c r="H455" t="s">
        <v>2023</v>
      </c>
      <c r="I455" t="s">
        <v>73</v>
      </c>
      <c r="J455" t="s">
        <v>1963</v>
      </c>
      <c r="K455" t="s">
        <v>3188</v>
      </c>
      <c r="L455" t="s">
        <v>2046</v>
      </c>
      <c r="M455" t="s">
        <v>3152</v>
      </c>
      <c r="N455" t="s">
        <v>3153</v>
      </c>
      <c r="O455" t="s">
        <v>3154</v>
      </c>
      <c r="P455" t="s">
        <v>3155</v>
      </c>
      <c r="Q455" t="s">
        <v>3156</v>
      </c>
      <c r="R455" t="s">
        <v>14</v>
      </c>
      <c r="S455" t="s">
        <v>3157</v>
      </c>
      <c r="T455" t="s">
        <v>3158</v>
      </c>
      <c r="U455" t="s">
        <v>3015</v>
      </c>
      <c r="V455" t="s">
        <v>14</v>
      </c>
      <c r="W455" t="b">
        <v>1</v>
      </c>
      <c r="X455" t="s">
        <v>3189</v>
      </c>
      <c r="Y455" t="b">
        <v>1</v>
      </c>
      <c r="Z455" t="s">
        <v>2032</v>
      </c>
    </row>
    <row r="456" spans="1:26" x14ac:dyDescent="0.35">
      <c r="A456" t="s">
        <v>161</v>
      </c>
      <c r="B456" t="s">
        <v>162</v>
      </c>
      <c r="C456" t="s">
        <v>3167</v>
      </c>
      <c r="D456" t="s">
        <v>1963</v>
      </c>
      <c r="E456" t="s">
        <v>2020</v>
      </c>
      <c r="F456" t="s">
        <v>2055</v>
      </c>
      <c r="G456" t="s">
        <v>2056</v>
      </c>
      <c r="H456" t="s">
        <v>2023</v>
      </c>
      <c r="I456" t="s">
        <v>3174</v>
      </c>
      <c r="J456" t="s">
        <v>1963</v>
      </c>
      <c r="K456" t="s">
        <v>3188</v>
      </c>
      <c r="L456" t="s">
        <v>2046</v>
      </c>
      <c r="M456" t="s">
        <v>3176</v>
      </c>
      <c r="N456" t="s">
        <v>3177</v>
      </c>
      <c r="O456" t="s">
        <v>3154</v>
      </c>
      <c r="P456" t="s">
        <v>3155</v>
      </c>
      <c r="Q456" t="s">
        <v>3178</v>
      </c>
      <c r="R456" t="s">
        <v>14</v>
      </c>
      <c r="S456" t="s">
        <v>3179</v>
      </c>
      <c r="T456" t="s">
        <v>3180</v>
      </c>
      <c r="U456" t="s">
        <v>3015</v>
      </c>
      <c r="V456" t="s">
        <v>14</v>
      </c>
      <c r="W456" t="b">
        <v>1</v>
      </c>
      <c r="X456" t="s">
        <v>3189</v>
      </c>
      <c r="Y456" t="b">
        <v>0</v>
      </c>
      <c r="Z456" t="s">
        <v>2032</v>
      </c>
    </row>
    <row r="457" spans="1:26" x14ac:dyDescent="0.35">
      <c r="A457" t="s">
        <v>163</v>
      </c>
      <c r="B457" t="s">
        <v>164</v>
      </c>
      <c r="C457" t="s">
        <v>3167</v>
      </c>
      <c r="D457" t="s">
        <v>1963</v>
      </c>
      <c r="E457" t="s">
        <v>2020</v>
      </c>
      <c r="F457" t="s">
        <v>2055</v>
      </c>
      <c r="G457" t="s">
        <v>2056</v>
      </c>
      <c r="H457" t="s">
        <v>2023</v>
      </c>
      <c r="I457" t="s">
        <v>73</v>
      </c>
      <c r="J457" t="s">
        <v>1963</v>
      </c>
      <c r="K457" t="s">
        <v>3190</v>
      </c>
      <c r="L457" t="s">
        <v>2046</v>
      </c>
      <c r="M457" t="s">
        <v>3152</v>
      </c>
      <c r="N457" t="s">
        <v>3153</v>
      </c>
      <c r="O457" t="s">
        <v>3154</v>
      </c>
      <c r="P457" t="s">
        <v>3155</v>
      </c>
      <c r="Q457" t="s">
        <v>3156</v>
      </c>
      <c r="R457" t="s">
        <v>14</v>
      </c>
      <c r="S457" t="s">
        <v>3157</v>
      </c>
      <c r="T457" t="s">
        <v>3158</v>
      </c>
      <c r="U457" t="s">
        <v>3015</v>
      </c>
      <c r="V457" t="s">
        <v>14</v>
      </c>
      <c r="W457" t="b">
        <v>1</v>
      </c>
      <c r="X457" t="s">
        <v>3191</v>
      </c>
      <c r="Y457" t="b">
        <v>1</v>
      </c>
      <c r="Z457" t="s">
        <v>2032</v>
      </c>
    </row>
    <row r="458" spans="1:26" x14ac:dyDescent="0.35">
      <c r="A458" t="s">
        <v>165</v>
      </c>
      <c r="B458" t="s">
        <v>166</v>
      </c>
      <c r="C458" t="s">
        <v>3167</v>
      </c>
      <c r="D458" t="s">
        <v>1963</v>
      </c>
      <c r="E458" t="s">
        <v>2020</v>
      </c>
      <c r="F458" t="s">
        <v>2055</v>
      </c>
      <c r="G458" t="s">
        <v>2056</v>
      </c>
      <c r="H458" t="s">
        <v>2023</v>
      </c>
      <c r="I458" t="s">
        <v>73</v>
      </c>
      <c r="J458" t="s">
        <v>1963</v>
      </c>
      <c r="K458" t="s">
        <v>3192</v>
      </c>
      <c r="L458" t="s">
        <v>2046</v>
      </c>
      <c r="M458" t="s">
        <v>3152</v>
      </c>
      <c r="N458" t="s">
        <v>3153</v>
      </c>
      <c r="O458" t="s">
        <v>3154</v>
      </c>
      <c r="P458" t="s">
        <v>3155</v>
      </c>
      <c r="Q458" t="s">
        <v>3156</v>
      </c>
      <c r="R458" t="s">
        <v>14</v>
      </c>
      <c r="S458" t="s">
        <v>3157</v>
      </c>
      <c r="T458" t="s">
        <v>3158</v>
      </c>
      <c r="U458" t="s">
        <v>3015</v>
      </c>
      <c r="V458" t="s">
        <v>14</v>
      </c>
      <c r="W458" t="b">
        <v>1</v>
      </c>
      <c r="X458" t="s">
        <v>3193</v>
      </c>
      <c r="Y458" t="b">
        <v>1</v>
      </c>
      <c r="Z458" t="s">
        <v>2032</v>
      </c>
    </row>
    <row r="459" spans="1:26" x14ac:dyDescent="0.35">
      <c r="A459" t="s">
        <v>167</v>
      </c>
      <c r="B459" t="s">
        <v>168</v>
      </c>
      <c r="C459" t="s">
        <v>3167</v>
      </c>
      <c r="D459" t="s">
        <v>1963</v>
      </c>
      <c r="E459" t="s">
        <v>2020</v>
      </c>
      <c r="F459" t="s">
        <v>2055</v>
      </c>
      <c r="G459" t="s">
        <v>2056</v>
      </c>
      <c r="H459" t="s">
        <v>2023</v>
      </c>
      <c r="I459" t="s">
        <v>73</v>
      </c>
      <c r="J459" t="s">
        <v>1963</v>
      </c>
      <c r="K459" t="s">
        <v>3194</v>
      </c>
      <c r="L459" t="s">
        <v>2046</v>
      </c>
      <c r="M459" t="s">
        <v>3152</v>
      </c>
      <c r="N459" t="s">
        <v>3153</v>
      </c>
      <c r="O459" t="s">
        <v>3154</v>
      </c>
      <c r="P459" t="s">
        <v>3155</v>
      </c>
      <c r="Q459" t="s">
        <v>3156</v>
      </c>
      <c r="R459" t="s">
        <v>14</v>
      </c>
      <c r="S459" t="s">
        <v>3157</v>
      </c>
      <c r="T459" t="s">
        <v>3158</v>
      </c>
      <c r="U459" t="s">
        <v>3015</v>
      </c>
      <c r="V459" t="s">
        <v>14</v>
      </c>
      <c r="W459" t="b">
        <v>1</v>
      </c>
      <c r="X459" t="s">
        <v>3195</v>
      </c>
      <c r="Y459" t="b">
        <v>1</v>
      </c>
      <c r="Z459" t="s">
        <v>2032</v>
      </c>
    </row>
    <row r="460" spans="1:26" x14ac:dyDescent="0.35">
      <c r="A460" t="s">
        <v>169</v>
      </c>
      <c r="B460" t="s">
        <v>170</v>
      </c>
      <c r="C460" t="s">
        <v>3167</v>
      </c>
      <c r="D460" t="s">
        <v>1963</v>
      </c>
      <c r="E460" t="s">
        <v>2020</v>
      </c>
      <c r="F460" t="s">
        <v>2055</v>
      </c>
      <c r="G460" t="s">
        <v>2056</v>
      </c>
      <c r="H460" t="s">
        <v>2023</v>
      </c>
      <c r="I460" t="s">
        <v>73</v>
      </c>
      <c r="J460" t="s">
        <v>1963</v>
      </c>
      <c r="K460" t="s">
        <v>3196</v>
      </c>
      <c r="L460" t="s">
        <v>2046</v>
      </c>
      <c r="M460" t="s">
        <v>3152</v>
      </c>
      <c r="N460" t="s">
        <v>3153</v>
      </c>
      <c r="O460" t="s">
        <v>3154</v>
      </c>
      <c r="P460" t="s">
        <v>3155</v>
      </c>
      <c r="Q460" t="s">
        <v>3156</v>
      </c>
      <c r="R460" t="s">
        <v>14</v>
      </c>
      <c r="S460" t="s">
        <v>3157</v>
      </c>
      <c r="T460" t="s">
        <v>3158</v>
      </c>
      <c r="U460" t="s">
        <v>3015</v>
      </c>
      <c r="V460" t="s">
        <v>14</v>
      </c>
      <c r="W460" t="b">
        <v>1</v>
      </c>
      <c r="X460" t="s">
        <v>3197</v>
      </c>
      <c r="Y460" t="b">
        <v>1</v>
      </c>
      <c r="Z460" t="s">
        <v>2032</v>
      </c>
    </row>
    <row r="461" spans="1:26" x14ac:dyDescent="0.35">
      <c r="A461" t="s">
        <v>171</v>
      </c>
      <c r="B461" t="s">
        <v>172</v>
      </c>
      <c r="C461" t="s">
        <v>3167</v>
      </c>
      <c r="D461" t="s">
        <v>1963</v>
      </c>
      <c r="E461" t="s">
        <v>2020</v>
      </c>
      <c r="F461" t="s">
        <v>2055</v>
      </c>
      <c r="G461" t="s">
        <v>2056</v>
      </c>
      <c r="H461" t="s">
        <v>2023</v>
      </c>
      <c r="I461" t="s">
        <v>73</v>
      </c>
      <c r="J461" t="s">
        <v>1963</v>
      </c>
      <c r="K461" t="s">
        <v>3198</v>
      </c>
      <c r="L461" t="s">
        <v>2046</v>
      </c>
      <c r="M461" t="s">
        <v>3152</v>
      </c>
      <c r="N461" t="s">
        <v>3153</v>
      </c>
      <c r="O461" t="s">
        <v>3154</v>
      </c>
      <c r="P461" t="s">
        <v>3155</v>
      </c>
      <c r="Q461" t="s">
        <v>3156</v>
      </c>
      <c r="R461" t="s">
        <v>14</v>
      </c>
      <c r="S461" t="s">
        <v>3157</v>
      </c>
      <c r="T461" t="s">
        <v>3158</v>
      </c>
      <c r="U461" t="s">
        <v>3015</v>
      </c>
      <c r="V461" t="s">
        <v>14</v>
      </c>
      <c r="W461" t="b">
        <v>1</v>
      </c>
      <c r="X461" t="s">
        <v>3199</v>
      </c>
      <c r="Y461" t="b">
        <v>1</v>
      </c>
      <c r="Z461" t="s">
        <v>2032</v>
      </c>
    </row>
    <row r="462" spans="1:26" x14ac:dyDescent="0.35">
      <c r="A462" t="s">
        <v>173</v>
      </c>
      <c r="B462" t="s">
        <v>174</v>
      </c>
      <c r="C462" t="s">
        <v>3167</v>
      </c>
      <c r="D462" t="s">
        <v>1963</v>
      </c>
      <c r="E462" t="s">
        <v>2020</v>
      </c>
      <c r="F462" t="s">
        <v>2140</v>
      </c>
      <c r="G462" t="s">
        <v>2141</v>
      </c>
      <c r="H462" t="s">
        <v>2023</v>
      </c>
      <c r="I462" t="s">
        <v>175</v>
      </c>
      <c r="J462" t="s">
        <v>1963</v>
      </c>
      <c r="K462" t="s">
        <v>3200</v>
      </c>
      <c r="L462" t="s">
        <v>2046</v>
      </c>
      <c r="M462" t="s">
        <v>2842</v>
      </c>
      <c r="N462" t="s">
        <v>2843</v>
      </c>
      <c r="O462" t="s">
        <v>2362</v>
      </c>
      <c r="P462" t="s">
        <v>2363</v>
      </c>
      <c r="Q462" t="s">
        <v>2844</v>
      </c>
      <c r="R462" t="s">
        <v>14</v>
      </c>
      <c r="S462" t="s">
        <v>2845</v>
      </c>
      <c r="T462" t="s">
        <v>2846</v>
      </c>
      <c r="U462" t="s">
        <v>2171</v>
      </c>
      <c r="V462" t="s">
        <v>14</v>
      </c>
      <c r="W462" t="b">
        <v>1</v>
      </c>
      <c r="X462" t="s">
        <v>3201</v>
      </c>
      <c r="Y462" t="b">
        <v>0</v>
      </c>
      <c r="Z462" t="s">
        <v>2053</v>
      </c>
    </row>
    <row r="463" spans="1:26" x14ac:dyDescent="0.35">
      <c r="A463" t="s">
        <v>176</v>
      </c>
      <c r="B463" t="s">
        <v>177</v>
      </c>
      <c r="C463" t="s">
        <v>3167</v>
      </c>
      <c r="D463" t="s">
        <v>1963</v>
      </c>
      <c r="E463" t="s">
        <v>3072</v>
      </c>
      <c r="F463" t="s">
        <v>3073</v>
      </c>
      <c r="G463" t="s">
        <v>3202</v>
      </c>
      <c r="H463" t="s">
        <v>2023</v>
      </c>
      <c r="I463" t="s">
        <v>1906</v>
      </c>
      <c r="J463" t="s">
        <v>1963</v>
      </c>
      <c r="K463" t="s">
        <v>3203</v>
      </c>
      <c r="L463" t="s">
        <v>2046</v>
      </c>
      <c r="M463" t="s">
        <v>3204</v>
      </c>
      <c r="N463" t="s">
        <v>3205</v>
      </c>
      <c r="O463" t="s">
        <v>3204</v>
      </c>
      <c r="P463" t="s">
        <v>3205</v>
      </c>
      <c r="Q463" t="s">
        <v>14</v>
      </c>
      <c r="R463" t="s">
        <v>14</v>
      </c>
      <c r="S463" t="s">
        <v>14</v>
      </c>
      <c r="T463" t="s">
        <v>14</v>
      </c>
      <c r="U463" t="s">
        <v>2030</v>
      </c>
      <c r="V463" t="s">
        <v>14</v>
      </c>
      <c r="W463" t="b">
        <v>1</v>
      </c>
      <c r="X463" t="s">
        <v>3206</v>
      </c>
      <c r="Y463" t="b">
        <v>0</v>
      </c>
      <c r="Z463" t="s">
        <v>2053</v>
      </c>
    </row>
    <row r="464" spans="1:26" x14ac:dyDescent="0.35">
      <c r="A464" t="s">
        <v>176</v>
      </c>
      <c r="B464" t="s">
        <v>177</v>
      </c>
      <c r="C464" t="s">
        <v>3167</v>
      </c>
      <c r="D464" t="s">
        <v>1963</v>
      </c>
      <c r="E464" t="s">
        <v>3072</v>
      </c>
      <c r="F464" t="s">
        <v>3073</v>
      </c>
      <c r="G464" t="s">
        <v>3202</v>
      </c>
      <c r="H464" t="s">
        <v>2023</v>
      </c>
      <c r="I464" t="s">
        <v>1423</v>
      </c>
      <c r="J464" t="s">
        <v>1963</v>
      </c>
      <c r="K464" t="s">
        <v>3203</v>
      </c>
      <c r="L464" t="s">
        <v>2046</v>
      </c>
      <c r="M464" t="s">
        <v>3207</v>
      </c>
      <c r="N464" t="s">
        <v>3208</v>
      </c>
      <c r="O464" t="s">
        <v>3207</v>
      </c>
      <c r="P464" t="s">
        <v>3208</v>
      </c>
      <c r="Q464" t="s">
        <v>14</v>
      </c>
      <c r="R464" t="s">
        <v>14</v>
      </c>
      <c r="S464" t="s">
        <v>14</v>
      </c>
      <c r="T464" t="s">
        <v>14</v>
      </c>
      <c r="U464" t="s">
        <v>2030</v>
      </c>
      <c r="V464" t="s">
        <v>14</v>
      </c>
      <c r="W464" t="b">
        <v>1</v>
      </c>
      <c r="X464" t="s">
        <v>3206</v>
      </c>
      <c r="Y464" t="b">
        <v>0</v>
      </c>
      <c r="Z464" t="s">
        <v>2053</v>
      </c>
    </row>
    <row r="465" spans="1:26" x14ac:dyDescent="0.35">
      <c r="A465" t="s">
        <v>178</v>
      </c>
      <c r="B465" t="s">
        <v>179</v>
      </c>
      <c r="C465" t="s">
        <v>3167</v>
      </c>
      <c r="D465" t="s">
        <v>1963</v>
      </c>
      <c r="E465" t="s">
        <v>2020</v>
      </c>
      <c r="F465" t="s">
        <v>2055</v>
      </c>
      <c r="G465" t="s">
        <v>2056</v>
      </c>
      <c r="H465" t="s">
        <v>2023</v>
      </c>
      <c r="I465" t="s">
        <v>1385</v>
      </c>
      <c r="J465" t="s">
        <v>1963</v>
      </c>
      <c r="K465" t="s">
        <v>3209</v>
      </c>
      <c r="L465" t="s">
        <v>2046</v>
      </c>
      <c r="M465" t="s">
        <v>2243</v>
      </c>
      <c r="N465" t="s">
        <v>2244</v>
      </c>
      <c r="O465" t="s">
        <v>2214</v>
      </c>
      <c r="P465" t="s">
        <v>2215</v>
      </c>
      <c r="Q465" t="s">
        <v>2295</v>
      </c>
      <c r="R465" t="s">
        <v>14</v>
      </c>
      <c r="S465" t="s">
        <v>2307</v>
      </c>
      <c r="T465" t="s">
        <v>2308</v>
      </c>
      <c r="U465" t="s">
        <v>2052</v>
      </c>
      <c r="V465" t="s">
        <v>14</v>
      </c>
      <c r="W465" t="b">
        <v>1</v>
      </c>
      <c r="X465" t="s">
        <v>3210</v>
      </c>
      <c r="Y465" t="b">
        <v>0</v>
      </c>
      <c r="Z465" t="s">
        <v>2053</v>
      </c>
    </row>
    <row r="466" spans="1:26" x14ac:dyDescent="0.35">
      <c r="A466" t="s">
        <v>180</v>
      </c>
      <c r="B466" t="s">
        <v>181</v>
      </c>
      <c r="C466" t="s">
        <v>3167</v>
      </c>
      <c r="D466" t="s">
        <v>1963</v>
      </c>
      <c r="E466" t="s">
        <v>2020</v>
      </c>
      <c r="F466" t="s">
        <v>2021</v>
      </c>
      <c r="G466" t="s">
        <v>2022</v>
      </c>
      <c r="H466" t="s">
        <v>2023</v>
      </c>
      <c r="I466" t="s">
        <v>3211</v>
      </c>
      <c r="J466" t="s">
        <v>1963</v>
      </c>
      <c r="K466" t="s">
        <v>3212</v>
      </c>
      <c r="L466" t="s">
        <v>2046</v>
      </c>
      <c r="M466" t="s">
        <v>2633</v>
      </c>
      <c r="N466" t="s">
        <v>2634</v>
      </c>
      <c r="O466" t="s">
        <v>2635</v>
      </c>
      <c r="P466" t="s">
        <v>2636</v>
      </c>
      <c r="Q466" t="s">
        <v>3213</v>
      </c>
      <c r="R466" t="s">
        <v>14</v>
      </c>
      <c r="S466" t="s">
        <v>3214</v>
      </c>
      <c r="T466" t="s">
        <v>3215</v>
      </c>
      <c r="U466" t="s">
        <v>2171</v>
      </c>
      <c r="V466" t="s">
        <v>14</v>
      </c>
      <c r="W466" t="b">
        <v>1</v>
      </c>
      <c r="X466" t="s">
        <v>3216</v>
      </c>
      <c r="Y466" t="b">
        <v>0</v>
      </c>
      <c r="Z466" t="s">
        <v>2081</v>
      </c>
    </row>
    <row r="467" spans="1:26" x14ac:dyDescent="0.35">
      <c r="A467" t="s">
        <v>180</v>
      </c>
      <c r="B467" t="s">
        <v>181</v>
      </c>
      <c r="C467" t="s">
        <v>3167</v>
      </c>
      <c r="D467" t="s">
        <v>1963</v>
      </c>
      <c r="E467" t="s">
        <v>2020</v>
      </c>
      <c r="F467" t="s">
        <v>2021</v>
      </c>
      <c r="G467" t="s">
        <v>2022</v>
      </c>
      <c r="H467" t="s">
        <v>2023</v>
      </c>
      <c r="I467" t="s">
        <v>3217</v>
      </c>
      <c r="J467" t="s">
        <v>1963</v>
      </c>
      <c r="K467" t="s">
        <v>3212</v>
      </c>
      <c r="L467" t="s">
        <v>2046</v>
      </c>
      <c r="M467" t="s">
        <v>2633</v>
      </c>
      <c r="N467" t="s">
        <v>2634</v>
      </c>
      <c r="O467" t="s">
        <v>2635</v>
      </c>
      <c r="P467" t="s">
        <v>2636</v>
      </c>
      <c r="Q467" t="s">
        <v>3213</v>
      </c>
      <c r="R467" t="s">
        <v>14</v>
      </c>
      <c r="S467" t="s">
        <v>3214</v>
      </c>
      <c r="T467" t="s">
        <v>3215</v>
      </c>
      <c r="U467" t="s">
        <v>2171</v>
      </c>
      <c r="V467" t="s">
        <v>14</v>
      </c>
      <c r="W467" t="b">
        <v>1</v>
      </c>
      <c r="X467" t="s">
        <v>3216</v>
      </c>
      <c r="Y467" t="b">
        <v>0</v>
      </c>
      <c r="Z467" t="s">
        <v>2081</v>
      </c>
    </row>
    <row r="468" spans="1:26" x14ac:dyDescent="0.35">
      <c r="A468" t="s">
        <v>180</v>
      </c>
      <c r="B468" t="s">
        <v>181</v>
      </c>
      <c r="C468" t="s">
        <v>3167</v>
      </c>
      <c r="D468" t="s">
        <v>1963</v>
      </c>
      <c r="E468" t="s">
        <v>2020</v>
      </c>
      <c r="F468" t="s">
        <v>2021</v>
      </c>
      <c r="G468" t="s">
        <v>2022</v>
      </c>
      <c r="H468" t="s">
        <v>2023</v>
      </c>
      <c r="I468" t="s">
        <v>3218</v>
      </c>
      <c r="J468" t="s">
        <v>1963</v>
      </c>
      <c r="K468" t="s">
        <v>3212</v>
      </c>
      <c r="L468" t="s">
        <v>2046</v>
      </c>
      <c r="M468" t="s">
        <v>2633</v>
      </c>
      <c r="N468" t="s">
        <v>2634</v>
      </c>
      <c r="O468" t="s">
        <v>2635</v>
      </c>
      <c r="P468" t="s">
        <v>2636</v>
      </c>
      <c r="Q468" t="s">
        <v>3213</v>
      </c>
      <c r="R468" t="s">
        <v>14</v>
      </c>
      <c r="S468" t="s">
        <v>3214</v>
      </c>
      <c r="T468" t="s">
        <v>3215</v>
      </c>
      <c r="U468" t="s">
        <v>2171</v>
      </c>
      <c r="V468" t="s">
        <v>14</v>
      </c>
      <c r="W468" t="b">
        <v>1</v>
      </c>
      <c r="X468" t="s">
        <v>3216</v>
      </c>
      <c r="Y468" t="b">
        <v>0</v>
      </c>
      <c r="Z468" t="s">
        <v>2081</v>
      </c>
    </row>
    <row r="469" spans="1:26" x14ac:dyDescent="0.35">
      <c r="A469" t="s">
        <v>182</v>
      </c>
      <c r="B469" t="s">
        <v>183</v>
      </c>
      <c r="C469" t="s">
        <v>3167</v>
      </c>
      <c r="D469" t="s">
        <v>1963</v>
      </c>
      <c r="E469" t="s">
        <v>2020</v>
      </c>
      <c r="F469" t="s">
        <v>2021</v>
      </c>
      <c r="G469" t="s">
        <v>2022</v>
      </c>
      <c r="H469" t="s">
        <v>2023</v>
      </c>
      <c r="I469" t="s">
        <v>3218</v>
      </c>
      <c r="J469" t="s">
        <v>1963</v>
      </c>
      <c r="K469" t="s">
        <v>3219</v>
      </c>
      <c r="L469" t="s">
        <v>2046</v>
      </c>
      <c r="M469" t="s">
        <v>2633</v>
      </c>
      <c r="N469" t="s">
        <v>2634</v>
      </c>
      <c r="O469" t="s">
        <v>2635</v>
      </c>
      <c r="P469" t="s">
        <v>2636</v>
      </c>
      <c r="Q469" t="s">
        <v>3213</v>
      </c>
      <c r="R469" t="s">
        <v>14</v>
      </c>
      <c r="S469" t="s">
        <v>3214</v>
      </c>
      <c r="T469" t="s">
        <v>3215</v>
      </c>
      <c r="U469" t="s">
        <v>2171</v>
      </c>
      <c r="V469" t="s">
        <v>14</v>
      </c>
      <c r="W469" t="b">
        <v>1</v>
      </c>
      <c r="X469" t="s">
        <v>3220</v>
      </c>
      <c r="Y469" t="b">
        <v>0</v>
      </c>
      <c r="Z469" t="s">
        <v>2081</v>
      </c>
    </row>
    <row r="470" spans="1:26" x14ac:dyDescent="0.35">
      <c r="A470" t="s">
        <v>182</v>
      </c>
      <c r="B470" t="s">
        <v>183</v>
      </c>
      <c r="C470" t="s">
        <v>3167</v>
      </c>
      <c r="D470" t="s">
        <v>1963</v>
      </c>
      <c r="E470" t="s">
        <v>2020</v>
      </c>
      <c r="F470" t="s">
        <v>2021</v>
      </c>
      <c r="G470" t="s">
        <v>2022</v>
      </c>
      <c r="H470" t="s">
        <v>2023</v>
      </c>
      <c r="I470" t="s">
        <v>3211</v>
      </c>
      <c r="J470" t="s">
        <v>1963</v>
      </c>
      <c r="K470" t="s">
        <v>3219</v>
      </c>
      <c r="L470" t="s">
        <v>2046</v>
      </c>
      <c r="M470" t="s">
        <v>2633</v>
      </c>
      <c r="N470" t="s">
        <v>2634</v>
      </c>
      <c r="O470" t="s">
        <v>2635</v>
      </c>
      <c r="P470" t="s">
        <v>2636</v>
      </c>
      <c r="Q470" t="s">
        <v>3213</v>
      </c>
      <c r="R470" t="s">
        <v>14</v>
      </c>
      <c r="S470" t="s">
        <v>3214</v>
      </c>
      <c r="T470" t="s">
        <v>3215</v>
      </c>
      <c r="U470" t="s">
        <v>2171</v>
      </c>
      <c r="V470" t="s">
        <v>14</v>
      </c>
      <c r="W470" t="b">
        <v>1</v>
      </c>
      <c r="X470" t="s">
        <v>3220</v>
      </c>
      <c r="Y470" t="b">
        <v>0</v>
      </c>
      <c r="Z470" t="s">
        <v>2081</v>
      </c>
    </row>
    <row r="471" spans="1:26" x14ac:dyDescent="0.35">
      <c r="A471" t="s">
        <v>182</v>
      </c>
      <c r="B471" t="s">
        <v>183</v>
      </c>
      <c r="C471" t="s">
        <v>3167</v>
      </c>
      <c r="D471" t="s">
        <v>1963</v>
      </c>
      <c r="E471" t="s">
        <v>2020</v>
      </c>
      <c r="F471" t="s">
        <v>2021</v>
      </c>
      <c r="G471" t="s">
        <v>2022</v>
      </c>
      <c r="H471" t="s">
        <v>2023</v>
      </c>
      <c r="I471" t="s">
        <v>3217</v>
      </c>
      <c r="J471" t="s">
        <v>1963</v>
      </c>
      <c r="K471" t="s">
        <v>3219</v>
      </c>
      <c r="L471" t="s">
        <v>2046</v>
      </c>
      <c r="M471" t="s">
        <v>2633</v>
      </c>
      <c r="N471" t="s">
        <v>2634</v>
      </c>
      <c r="O471" t="s">
        <v>2635</v>
      </c>
      <c r="P471" t="s">
        <v>2636</v>
      </c>
      <c r="Q471" t="s">
        <v>3213</v>
      </c>
      <c r="R471" t="s">
        <v>14</v>
      </c>
      <c r="S471" t="s">
        <v>3214</v>
      </c>
      <c r="T471" t="s">
        <v>3215</v>
      </c>
      <c r="U471" t="s">
        <v>2171</v>
      </c>
      <c r="V471" t="s">
        <v>14</v>
      </c>
      <c r="W471" t="b">
        <v>1</v>
      </c>
      <c r="X471" t="s">
        <v>3220</v>
      </c>
      <c r="Y471" t="b">
        <v>0</v>
      </c>
      <c r="Z471" t="s">
        <v>2081</v>
      </c>
    </row>
    <row r="472" spans="1:26" x14ac:dyDescent="0.35">
      <c r="A472" t="s">
        <v>184</v>
      </c>
      <c r="B472" t="s">
        <v>185</v>
      </c>
      <c r="C472" t="s">
        <v>3167</v>
      </c>
      <c r="D472" t="s">
        <v>1963</v>
      </c>
      <c r="E472" t="s">
        <v>2020</v>
      </c>
      <c r="F472" t="s">
        <v>2021</v>
      </c>
      <c r="G472" t="s">
        <v>2022</v>
      </c>
      <c r="H472" t="s">
        <v>2023</v>
      </c>
      <c r="I472" t="s">
        <v>3217</v>
      </c>
      <c r="J472" t="s">
        <v>1963</v>
      </c>
      <c r="K472" t="s">
        <v>3221</v>
      </c>
      <c r="L472" t="s">
        <v>2046</v>
      </c>
      <c r="M472" t="s">
        <v>2633</v>
      </c>
      <c r="N472" t="s">
        <v>2634</v>
      </c>
      <c r="O472" t="s">
        <v>2635</v>
      </c>
      <c r="P472" t="s">
        <v>2636</v>
      </c>
      <c r="Q472" t="s">
        <v>3213</v>
      </c>
      <c r="R472" t="s">
        <v>14</v>
      </c>
      <c r="S472" t="s">
        <v>3214</v>
      </c>
      <c r="T472" t="s">
        <v>3215</v>
      </c>
      <c r="U472" t="s">
        <v>2171</v>
      </c>
      <c r="V472" t="s">
        <v>14</v>
      </c>
      <c r="W472" t="b">
        <v>1</v>
      </c>
      <c r="X472" t="s">
        <v>3222</v>
      </c>
      <c r="Y472" t="b">
        <v>0</v>
      </c>
      <c r="Z472" t="s">
        <v>2081</v>
      </c>
    </row>
    <row r="473" spans="1:26" x14ac:dyDescent="0.35">
      <c r="A473" t="s">
        <v>184</v>
      </c>
      <c r="B473" t="s">
        <v>185</v>
      </c>
      <c r="C473" t="s">
        <v>3167</v>
      </c>
      <c r="D473" t="s">
        <v>1963</v>
      </c>
      <c r="E473" t="s">
        <v>2020</v>
      </c>
      <c r="F473" t="s">
        <v>2021</v>
      </c>
      <c r="G473" t="s">
        <v>2022</v>
      </c>
      <c r="H473" t="s">
        <v>2023</v>
      </c>
      <c r="I473" t="s">
        <v>3211</v>
      </c>
      <c r="J473" t="s">
        <v>1963</v>
      </c>
      <c r="K473" t="s">
        <v>3221</v>
      </c>
      <c r="L473" t="s">
        <v>2046</v>
      </c>
      <c r="M473" t="s">
        <v>2633</v>
      </c>
      <c r="N473" t="s">
        <v>2634</v>
      </c>
      <c r="O473" t="s">
        <v>2635</v>
      </c>
      <c r="P473" t="s">
        <v>2636</v>
      </c>
      <c r="Q473" t="s">
        <v>3213</v>
      </c>
      <c r="R473" t="s">
        <v>14</v>
      </c>
      <c r="S473" t="s">
        <v>3214</v>
      </c>
      <c r="T473" t="s">
        <v>3215</v>
      </c>
      <c r="U473" t="s">
        <v>2171</v>
      </c>
      <c r="V473" t="s">
        <v>14</v>
      </c>
      <c r="W473" t="b">
        <v>1</v>
      </c>
      <c r="X473" t="s">
        <v>3222</v>
      </c>
      <c r="Y473" t="b">
        <v>0</v>
      </c>
      <c r="Z473" t="s">
        <v>2081</v>
      </c>
    </row>
    <row r="474" spans="1:26" x14ac:dyDescent="0.35">
      <c r="A474" t="s">
        <v>184</v>
      </c>
      <c r="B474" t="s">
        <v>185</v>
      </c>
      <c r="C474" t="s">
        <v>3167</v>
      </c>
      <c r="D474" t="s">
        <v>1963</v>
      </c>
      <c r="E474" t="s">
        <v>2020</v>
      </c>
      <c r="F474" t="s">
        <v>2021</v>
      </c>
      <c r="G474" t="s">
        <v>2022</v>
      </c>
      <c r="H474" t="s">
        <v>2023</v>
      </c>
      <c r="I474" t="s">
        <v>3218</v>
      </c>
      <c r="J474" t="s">
        <v>1963</v>
      </c>
      <c r="K474" t="s">
        <v>3221</v>
      </c>
      <c r="L474" t="s">
        <v>2046</v>
      </c>
      <c r="M474" t="s">
        <v>2633</v>
      </c>
      <c r="N474" t="s">
        <v>2634</v>
      </c>
      <c r="O474" t="s">
        <v>2635</v>
      </c>
      <c r="P474" t="s">
        <v>2636</v>
      </c>
      <c r="Q474" t="s">
        <v>3213</v>
      </c>
      <c r="R474" t="s">
        <v>14</v>
      </c>
      <c r="S474" t="s">
        <v>3214</v>
      </c>
      <c r="T474" t="s">
        <v>3215</v>
      </c>
      <c r="U474" t="s">
        <v>2171</v>
      </c>
      <c r="V474" t="s">
        <v>14</v>
      </c>
      <c r="W474" t="b">
        <v>1</v>
      </c>
      <c r="X474" t="s">
        <v>3222</v>
      </c>
      <c r="Y474" t="b">
        <v>0</v>
      </c>
      <c r="Z474" t="s">
        <v>2081</v>
      </c>
    </row>
    <row r="475" spans="1:26" x14ac:dyDescent="0.35">
      <c r="A475" t="s">
        <v>186</v>
      </c>
      <c r="B475" t="s">
        <v>187</v>
      </c>
      <c r="C475" t="s">
        <v>3167</v>
      </c>
      <c r="D475" t="s">
        <v>1963</v>
      </c>
      <c r="E475" t="s">
        <v>2020</v>
      </c>
      <c r="F475" t="s">
        <v>2021</v>
      </c>
      <c r="G475" t="s">
        <v>2022</v>
      </c>
      <c r="H475" t="s">
        <v>2023</v>
      </c>
      <c r="I475" t="s">
        <v>3218</v>
      </c>
      <c r="J475" t="s">
        <v>1963</v>
      </c>
      <c r="K475" t="s">
        <v>3223</v>
      </c>
      <c r="L475" t="s">
        <v>2046</v>
      </c>
      <c r="M475" t="s">
        <v>2633</v>
      </c>
      <c r="N475" t="s">
        <v>2634</v>
      </c>
      <c r="O475" t="s">
        <v>2635</v>
      </c>
      <c r="P475" t="s">
        <v>2636</v>
      </c>
      <c r="Q475" t="s">
        <v>3213</v>
      </c>
      <c r="R475" t="s">
        <v>14</v>
      </c>
      <c r="S475" t="s">
        <v>3214</v>
      </c>
      <c r="T475" t="s">
        <v>3215</v>
      </c>
      <c r="U475" t="s">
        <v>2171</v>
      </c>
      <c r="V475" t="s">
        <v>14</v>
      </c>
      <c r="W475" t="b">
        <v>1</v>
      </c>
      <c r="X475" t="s">
        <v>3224</v>
      </c>
      <c r="Y475" t="b">
        <v>0</v>
      </c>
      <c r="Z475" t="s">
        <v>2081</v>
      </c>
    </row>
    <row r="476" spans="1:26" x14ac:dyDescent="0.35">
      <c r="A476" t="s">
        <v>186</v>
      </c>
      <c r="B476" t="s">
        <v>187</v>
      </c>
      <c r="C476" t="s">
        <v>3167</v>
      </c>
      <c r="D476" t="s">
        <v>1963</v>
      </c>
      <c r="E476" t="s">
        <v>2020</v>
      </c>
      <c r="F476" t="s">
        <v>2021</v>
      </c>
      <c r="G476" t="s">
        <v>2022</v>
      </c>
      <c r="H476" t="s">
        <v>2023</v>
      </c>
      <c r="I476" t="s">
        <v>3217</v>
      </c>
      <c r="J476" t="s">
        <v>1963</v>
      </c>
      <c r="K476" t="s">
        <v>3223</v>
      </c>
      <c r="L476" t="s">
        <v>2046</v>
      </c>
      <c r="M476" t="s">
        <v>2633</v>
      </c>
      <c r="N476" t="s">
        <v>2634</v>
      </c>
      <c r="O476" t="s">
        <v>2635</v>
      </c>
      <c r="P476" t="s">
        <v>2636</v>
      </c>
      <c r="Q476" t="s">
        <v>3213</v>
      </c>
      <c r="R476" t="s">
        <v>14</v>
      </c>
      <c r="S476" t="s">
        <v>3214</v>
      </c>
      <c r="T476" t="s">
        <v>3215</v>
      </c>
      <c r="U476" t="s">
        <v>2171</v>
      </c>
      <c r="V476" t="s">
        <v>14</v>
      </c>
      <c r="W476" t="b">
        <v>1</v>
      </c>
      <c r="X476" t="s">
        <v>3224</v>
      </c>
      <c r="Y476" t="b">
        <v>0</v>
      </c>
      <c r="Z476" t="s">
        <v>2081</v>
      </c>
    </row>
    <row r="477" spans="1:26" x14ac:dyDescent="0.35">
      <c r="A477" t="s">
        <v>186</v>
      </c>
      <c r="B477" t="s">
        <v>187</v>
      </c>
      <c r="C477" t="s">
        <v>3167</v>
      </c>
      <c r="D477" t="s">
        <v>1963</v>
      </c>
      <c r="E477" t="s">
        <v>2020</v>
      </c>
      <c r="F477" t="s">
        <v>2021</v>
      </c>
      <c r="G477" t="s">
        <v>2022</v>
      </c>
      <c r="H477" t="s">
        <v>2023</v>
      </c>
      <c r="I477" t="s">
        <v>3211</v>
      </c>
      <c r="J477" t="s">
        <v>1963</v>
      </c>
      <c r="K477" t="s">
        <v>3223</v>
      </c>
      <c r="L477" t="s">
        <v>2046</v>
      </c>
      <c r="M477" t="s">
        <v>2633</v>
      </c>
      <c r="N477" t="s">
        <v>2634</v>
      </c>
      <c r="O477" t="s">
        <v>2635</v>
      </c>
      <c r="P477" t="s">
        <v>2636</v>
      </c>
      <c r="Q477" t="s">
        <v>3213</v>
      </c>
      <c r="R477" t="s">
        <v>14</v>
      </c>
      <c r="S477" t="s">
        <v>3214</v>
      </c>
      <c r="T477" t="s">
        <v>3215</v>
      </c>
      <c r="U477" t="s">
        <v>2171</v>
      </c>
      <c r="V477" t="s">
        <v>14</v>
      </c>
      <c r="W477" t="b">
        <v>1</v>
      </c>
      <c r="X477" t="s">
        <v>3224</v>
      </c>
      <c r="Y477" t="b">
        <v>0</v>
      </c>
      <c r="Z477" t="s">
        <v>2081</v>
      </c>
    </row>
    <row r="478" spans="1:26" x14ac:dyDescent="0.35">
      <c r="A478" t="s">
        <v>188</v>
      </c>
      <c r="B478" t="s">
        <v>189</v>
      </c>
      <c r="C478" t="s">
        <v>3167</v>
      </c>
      <c r="D478" t="s">
        <v>1963</v>
      </c>
      <c r="E478" t="s">
        <v>2020</v>
      </c>
      <c r="F478" t="s">
        <v>2055</v>
      </c>
      <c r="G478" t="s">
        <v>2056</v>
      </c>
      <c r="H478" t="s">
        <v>2023</v>
      </c>
      <c r="I478" t="s">
        <v>3225</v>
      </c>
      <c r="J478" t="s">
        <v>1963</v>
      </c>
      <c r="K478" t="s">
        <v>3226</v>
      </c>
      <c r="L478" t="s">
        <v>2046</v>
      </c>
      <c r="M478" t="s">
        <v>3227</v>
      </c>
      <c r="N478" t="s">
        <v>3228</v>
      </c>
      <c r="O478" t="s">
        <v>2214</v>
      </c>
      <c r="P478" t="s">
        <v>2215</v>
      </c>
      <c r="Q478" t="s">
        <v>3229</v>
      </c>
      <c r="R478" t="s">
        <v>14</v>
      </c>
      <c r="S478" t="s">
        <v>3230</v>
      </c>
      <c r="T478" t="s">
        <v>3231</v>
      </c>
      <c r="U478" t="s">
        <v>2052</v>
      </c>
      <c r="V478" t="s">
        <v>14</v>
      </c>
      <c r="W478" t="b">
        <v>1</v>
      </c>
      <c r="X478" t="s">
        <v>3232</v>
      </c>
      <c r="Y478" t="b">
        <v>0</v>
      </c>
      <c r="Z478" t="s">
        <v>2081</v>
      </c>
    </row>
    <row r="479" spans="1:26" x14ac:dyDescent="0.35">
      <c r="A479" t="s">
        <v>190</v>
      </c>
      <c r="B479" t="s">
        <v>191</v>
      </c>
      <c r="C479" t="s">
        <v>3167</v>
      </c>
      <c r="D479" t="s">
        <v>1963</v>
      </c>
      <c r="E479" t="s">
        <v>2020</v>
      </c>
      <c r="F479" t="s">
        <v>2140</v>
      </c>
      <c r="G479" t="s">
        <v>2141</v>
      </c>
      <c r="H479" t="s">
        <v>2023</v>
      </c>
      <c r="I479" t="s">
        <v>2968</v>
      </c>
      <c r="J479" t="s">
        <v>1963</v>
      </c>
      <c r="K479" t="s">
        <v>3233</v>
      </c>
      <c r="L479" t="s">
        <v>2046</v>
      </c>
      <c r="M479" t="s">
        <v>2970</v>
      </c>
      <c r="N479" t="s">
        <v>2971</v>
      </c>
      <c r="O479" t="s">
        <v>2401</v>
      </c>
      <c r="P479" t="s">
        <v>2402</v>
      </c>
      <c r="Q479" t="s">
        <v>14</v>
      </c>
      <c r="R479" t="s">
        <v>14</v>
      </c>
      <c r="S479" t="s">
        <v>2972</v>
      </c>
      <c r="T479" t="s">
        <v>2973</v>
      </c>
      <c r="U479" t="s">
        <v>2390</v>
      </c>
      <c r="V479" t="s">
        <v>14</v>
      </c>
      <c r="W479" t="b">
        <v>1</v>
      </c>
      <c r="X479" t="s">
        <v>3234</v>
      </c>
      <c r="Y479" t="b">
        <v>0</v>
      </c>
      <c r="Z479" t="s">
        <v>2032</v>
      </c>
    </row>
    <row r="480" spans="1:26" x14ac:dyDescent="0.35">
      <c r="A480" t="s">
        <v>190</v>
      </c>
      <c r="B480" t="s">
        <v>191</v>
      </c>
      <c r="C480" t="s">
        <v>3167</v>
      </c>
      <c r="D480" t="s">
        <v>1963</v>
      </c>
      <c r="E480" t="s">
        <v>2020</v>
      </c>
      <c r="F480" t="s">
        <v>2140</v>
      </c>
      <c r="G480" t="s">
        <v>2141</v>
      </c>
      <c r="H480" t="s">
        <v>2023</v>
      </c>
      <c r="I480" t="s">
        <v>40</v>
      </c>
      <c r="J480" t="s">
        <v>1963</v>
      </c>
      <c r="K480" t="s">
        <v>3233</v>
      </c>
      <c r="L480" t="s">
        <v>2046</v>
      </c>
      <c r="M480" t="s">
        <v>2214</v>
      </c>
      <c r="N480" t="s">
        <v>2215</v>
      </c>
      <c r="O480" t="s">
        <v>2214</v>
      </c>
      <c r="P480" t="s">
        <v>2215</v>
      </c>
      <c r="Q480" t="s">
        <v>14</v>
      </c>
      <c r="R480" t="s">
        <v>14</v>
      </c>
      <c r="S480" t="s">
        <v>14</v>
      </c>
      <c r="T480" t="s">
        <v>14</v>
      </c>
      <c r="U480" t="s">
        <v>2052</v>
      </c>
      <c r="V480" t="s">
        <v>14</v>
      </c>
      <c r="W480" t="b">
        <v>1</v>
      </c>
      <c r="X480" t="s">
        <v>3234</v>
      </c>
      <c r="Y480" t="b">
        <v>0</v>
      </c>
      <c r="Z480" t="s">
        <v>2053</v>
      </c>
    </row>
    <row r="481" spans="1:26" x14ac:dyDescent="0.35">
      <c r="A481" t="s">
        <v>190</v>
      </c>
      <c r="B481" t="s">
        <v>191</v>
      </c>
      <c r="C481" t="s">
        <v>3167</v>
      </c>
      <c r="D481" t="s">
        <v>1963</v>
      </c>
      <c r="E481" t="s">
        <v>2020</v>
      </c>
      <c r="F481" t="s">
        <v>2140</v>
      </c>
      <c r="G481" t="s">
        <v>2141</v>
      </c>
      <c r="H481" t="s">
        <v>2023</v>
      </c>
      <c r="I481" t="s">
        <v>2975</v>
      </c>
      <c r="J481" t="s">
        <v>1963</v>
      </c>
      <c r="K481" t="s">
        <v>3233</v>
      </c>
      <c r="L481" t="s">
        <v>2046</v>
      </c>
      <c r="M481" t="s">
        <v>2970</v>
      </c>
      <c r="N481" t="s">
        <v>2971</v>
      </c>
      <c r="O481" t="s">
        <v>2401</v>
      </c>
      <c r="P481" t="s">
        <v>2402</v>
      </c>
      <c r="Q481" t="s">
        <v>14</v>
      </c>
      <c r="R481" t="s">
        <v>14</v>
      </c>
      <c r="S481" t="s">
        <v>2972</v>
      </c>
      <c r="T481" t="s">
        <v>2973</v>
      </c>
      <c r="U481" t="s">
        <v>2390</v>
      </c>
      <c r="V481" t="s">
        <v>14</v>
      </c>
      <c r="W481" t="b">
        <v>1</v>
      </c>
      <c r="X481" t="s">
        <v>3234</v>
      </c>
      <c r="Y481" t="b">
        <v>0</v>
      </c>
      <c r="Z481" t="s">
        <v>2032</v>
      </c>
    </row>
    <row r="482" spans="1:26" x14ac:dyDescent="0.35">
      <c r="A482" t="s">
        <v>192</v>
      </c>
      <c r="B482" t="s">
        <v>193</v>
      </c>
      <c r="C482" t="s">
        <v>3167</v>
      </c>
      <c r="D482" t="s">
        <v>1963</v>
      </c>
      <c r="E482" t="s">
        <v>2020</v>
      </c>
      <c r="F482" t="s">
        <v>2140</v>
      </c>
      <c r="G482" t="s">
        <v>2141</v>
      </c>
      <c r="H482" t="s">
        <v>2023</v>
      </c>
      <c r="I482" t="s">
        <v>2975</v>
      </c>
      <c r="J482" t="s">
        <v>1963</v>
      </c>
      <c r="K482" t="s">
        <v>3235</v>
      </c>
      <c r="L482" t="s">
        <v>2046</v>
      </c>
      <c r="M482" t="s">
        <v>2970</v>
      </c>
      <c r="N482" t="s">
        <v>2971</v>
      </c>
      <c r="O482" t="s">
        <v>2401</v>
      </c>
      <c r="P482" t="s">
        <v>2402</v>
      </c>
      <c r="Q482" t="s">
        <v>14</v>
      </c>
      <c r="R482" t="s">
        <v>14</v>
      </c>
      <c r="S482" t="s">
        <v>2972</v>
      </c>
      <c r="T482" t="s">
        <v>2973</v>
      </c>
      <c r="U482" t="s">
        <v>2390</v>
      </c>
      <c r="V482" t="s">
        <v>14</v>
      </c>
      <c r="W482" t="b">
        <v>1</v>
      </c>
      <c r="X482" t="s">
        <v>3236</v>
      </c>
      <c r="Y482" t="b">
        <v>0</v>
      </c>
      <c r="Z482" t="s">
        <v>2032</v>
      </c>
    </row>
    <row r="483" spans="1:26" x14ac:dyDescent="0.35">
      <c r="A483" t="s">
        <v>192</v>
      </c>
      <c r="B483" t="s">
        <v>193</v>
      </c>
      <c r="C483" t="s">
        <v>3167</v>
      </c>
      <c r="D483" t="s">
        <v>1963</v>
      </c>
      <c r="E483" t="s">
        <v>2020</v>
      </c>
      <c r="F483" t="s">
        <v>2140</v>
      </c>
      <c r="G483" t="s">
        <v>2141</v>
      </c>
      <c r="H483" t="s">
        <v>2023</v>
      </c>
      <c r="I483" t="s">
        <v>2968</v>
      </c>
      <c r="J483" t="s">
        <v>1963</v>
      </c>
      <c r="K483" t="s">
        <v>3235</v>
      </c>
      <c r="L483" t="s">
        <v>2046</v>
      </c>
      <c r="M483" t="s">
        <v>2970</v>
      </c>
      <c r="N483" t="s">
        <v>2971</v>
      </c>
      <c r="O483" t="s">
        <v>2401</v>
      </c>
      <c r="P483" t="s">
        <v>2402</v>
      </c>
      <c r="Q483" t="s">
        <v>14</v>
      </c>
      <c r="R483" t="s">
        <v>14</v>
      </c>
      <c r="S483" t="s">
        <v>2972</v>
      </c>
      <c r="T483" t="s">
        <v>2973</v>
      </c>
      <c r="U483" t="s">
        <v>2390</v>
      </c>
      <c r="V483" t="s">
        <v>14</v>
      </c>
      <c r="W483" t="b">
        <v>1</v>
      </c>
      <c r="X483" t="s">
        <v>3236</v>
      </c>
      <c r="Y483" t="b">
        <v>0</v>
      </c>
      <c r="Z483" t="s">
        <v>2032</v>
      </c>
    </row>
    <row r="484" spans="1:26" x14ac:dyDescent="0.35">
      <c r="A484" t="s">
        <v>192</v>
      </c>
      <c r="B484" t="s">
        <v>193</v>
      </c>
      <c r="C484" t="s">
        <v>3167</v>
      </c>
      <c r="D484" t="s">
        <v>1963</v>
      </c>
      <c r="E484" t="s">
        <v>2020</v>
      </c>
      <c r="F484" t="s">
        <v>2140</v>
      </c>
      <c r="G484" t="s">
        <v>2141</v>
      </c>
      <c r="H484" t="s">
        <v>2023</v>
      </c>
      <c r="I484" t="s">
        <v>40</v>
      </c>
      <c r="J484" t="s">
        <v>1963</v>
      </c>
      <c r="K484" t="s">
        <v>3235</v>
      </c>
      <c r="L484" t="s">
        <v>2046</v>
      </c>
      <c r="M484" t="s">
        <v>2214</v>
      </c>
      <c r="N484" t="s">
        <v>2215</v>
      </c>
      <c r="O484" t="s">
        <v>2214</v>
      </c>
      <c r="P484" t="s">
        <v>2215</v>
      </c>
      <c r="Q484" t="s">
        <v>14</v>
      </c>
      <c r="R484" t="s">
        <v>14</v>
      </c>
      <c r="S484" t="s">
        <v>14</v>
      </c>
      <c r="T484" t="s">
        <v>14</v>
      </c>
      <c r="U484" t="s">
        <v>2052</v>
      </c>
      <c r="V484" t="s">
        <v>14</v>
      </c>
      <c r="W484" t="b">
        <v>1</v>
      </c>
      <c r="X484" t="s">
        <v>3236</v>
      </c>
      <c r="Y484" t="b">
        <v>0</v>
      </c>
      <c r="Z484" t="s">
        <v>2053</v>
      </c>
    </row>
    <row r="485" spans="1:26" x14ac:dyDescent="0.35">
      <c r="A485" t="s">
        <v>194</v>
      </c>
      <c r="B485" t="s">
        <v>195</v>
      </c>
      <c r="C485" t="s">
        <v>3167</v>
      </c>
      <c r="D485" t="s">
        <v>1963</v>
      </c>
      <c r="E485" t="s">
        <v>2020</v>
      </c>
      <c r="F485" t="s">
        <v>2140</v>
      </c>
      <c r="G485" t="s">
        <v>2141</v>
      </c>
      <c r="H485" t="s">
        <v>2023</v>
      </c>
      <c r="I485" t="s">
        <v>2968</v>
      </c>
      <c r="J485" t="s">
        <v>1963</v>
      </c>
      <c r="K485" t="s">
        <v>3237</v>
      </c>
      <c r="L485" t="s">
        <v>2046</v>
      </c>
      <c r="M485" t="s">
        <v>2970</v>
      </c>
      <c r="N485" t="s">
        <v>2971</v>
      </c>
      <c r="O485" t="s">
        <v>2401</v>
      </c>
      <c r="P485" t="s">
        <v>2402</v>
      </c>
      <c r="Q485" t="s">
        <v>14</v>
      </c>
      <c r="R485" t="s">
        <v>14</v>
      </c>
      <c r="S485" t="s">
        <v>2972</v>
      </c>
      <c r="T485" t="s">
        <v>2973</v>
      </c>
      <c r="U485" t="s">
        <v>2390</v>
      </c>
      <c r="V485" t="s">
        <v>14</v>
      </c>
      <c r="W485" t="b">
        <v>1</v>
      </c>
      <c r="X485" t="s">
        <v>3238</v>
      </c>
      <c r="Y485" t="b">
        <v>0</v>
      </c>
      <c r="Z485" t="s">
        <v>2032</v>
      </c>
    </row>
    <row r="486" spans="1:26" x14ac:dyDescent="0.35">
      <c r="A486" t="s">
        <v>194</v>
      </c>
      <c r="B486" t="s">
        <v>195</v>
      </c>
      <c r="C486" t="s">
        <v>3167</v>
      </c>
      <c r="D486" t="s">
        <v>1963</v>
      </c>
      <c r="E486" t="s">
        <v>2020</v>
      </c>
      <c r="F486" t="s">
        <v>2140</v>
      </c>
      <c r="G486" t="s">
        <v>2141</v>
      </c>
      <c r="H486" t="s">
        <v>2023</v>
      </c>
      <c r="I486" t="s">
        <v>40</v>
      </c>
      <c r="J486" t="s">
        <v>1963</v>
      </c>
      <c r="K486" t="s">
        <v>3237</v>
      </c>
      <c r="L486" t="s">
        <v>2046</v>
      </c>
      <c r="M486" t="s">
        <v>2214</v>
      </c>
      <c r="N486" t="s">
        <v>2215</v>
      </c>
      <c r="O486" t="s">
        <v>2214</v>
      </c>
      <c r="P486" t="s">
        <v>2215</v>
      </c>
      <c r="Q486" t="s">
        <v>14</v>
      </c>
      <c r="R486" t="s">
        <v>14</v>
      </c>
      <c r="S486" t="s">
        <v>14</v>
      </c>
      <c r="T486" t="s">
        <v>14</v>
      </c>
      <c r="U486" t="s">
        <v>2052</v>
      </c>
      <c r="V486" t="s">
        <v>14</v>
      </c>
      <c r="W486" t="b">
        <v>1</v>
      </c>
      <c r="X486" t="s">
        <v>3238</v>
      </c>
      <c r="Y486" t="b">
        <v>0</v>
      </c>
      <c r="Z486" t="s">
        <v>2053</v>
      </c>
    </row>
    <row r="487" spans="1:26" x14ac:dyDescent="0.35">
      <c r="A487" t="s">
        <v>194</v>
      </c>
      <c r="B487" t="s">
        <v>195</v>
      </c>
      <c r="C487" t="s">
        <v>3167</v>
      </c>
      <c r="D487" t="s">
        <v>1963</v>
      </c>
      <c r="E487" t="s">
        <v>2020</v>
      </c>
      <c r="F487" t="s">
        <v>2140</v>
      </c>
      <c r="G487" t="s">
        <v>2141</v>
      </c>
      <c r="H487" t="s">
        <v>2023</v>
      </c>
      <c r="I487" t="s">
        <v>2975</v>
      </c>
      <c r="J487" t="s">
        <v>1963</v>
      </c>
      <c r="K487" t="s">
        <v>3237</v>
      </c>
      <c r="L487" t="s">
        <v>2046</v>
      </c>
      <c r="M487" t="s">
        <v>2970</v>
      </c>
      <c r="N487" t="s">
        <v>2971</v>
      </c>
      <c r="O487" t="s">
        <v>2401</v>
      </c>
      <c r="P487" t="s">
        <v>2402</v>
      </c>
      <c r="Q487" t="s">
        <v>14</v>
      </c>
      <c r="R487" t="s">
        <v>14</v>
      </c>
      <c r="S487" t="s">
        <v>2972</v>
      </c>
      <c r="T487" t="s">
        <v>2973</v>
      </c>
      <c r="U487" t="s">
        <v>2390</v>
      </c>
      <c r="V487" t="s">
        <v>14</v>
      </c>
      <c r="W487" t="b">
        <v>1</v>
      </c>
      <c r="X487" t="s">
        <v>3238</v>
      </c>
      <c r="Y487" t="b">
        <v>0</v>
      </c>
      <c r="Z487" t="s">
        <v>2032</v>
      </c>
    </row>
    <row r="488" spans="1:26" x14ac:dyDescent="0.35">
      <c r="A488" t="s">
        <v>196</v>
      </c>
      <c r="B488" t="s">
        <v>197</v>
      </c>
      <c r="C488" t="s">
        <v>3167</v>
      </c>
      <c r="D488" t="s">
        <v>1963</v>
      </c>
      <c r="E488" t="s">
        <v>2020</v>
      </c>
      <c r="F488" t="s">
        <v>2140</v>
      </c>
      <c r="G488" t="s">
        <v>2141</v>
      </c>
      <c r="H488" t="s">
        <v>2023</v>
      </c>
      <c r="I488" t="s">
        <v>2968</v>
      </c>
      <c r="J488" t="s">
        <v>1963</v>
      </c>
      <c r="K488" t="s">
        <v>3239</v>
      </c>
      <c r="L488" t="s">
        <v>2046</v>
      </c>
      <c r="M488" t="s">
        <v>2970</v>
      </c>
      <c r="N488" t="s">
        <v>2971</v>
      </c>
      <c r="O488" t="s">
        <v>2401</v>
      </c>
      <c r="P488" t="s">
        <v>2402</v>
      </c>
      <c r="Q488" t="s">
        <v>14</v>
      </c>
      <c r="R488" t="s">
        <v>14</v>
      </c>
      <c r="S488" t="s">
        <v>2972</v>
      </c>
      <c r="T488" t="s">
        <v>2973</v>
      </c>
      <c r="U488" t="s">
        <v>2390</v>
      </c>
      <c r="V488" t="s">
        <v>14</v>
      </c>
      <c r="W488" t="b">
        <v>1</v>
      </c>
      <c r="X488" t="s">
        <v>3240</v>
      </c>
      <c r="Y488" t="b">
        <v>0</v>
      </c>
      <c r="Z488" t="s">
        <v>2032</v>
      </c>
    </row>
    <row r="489" spans="1:26" x14ac:dyDescent="0.35">
      <c r="A489" t="s">
        <v>196</v>
      </c>
      <c r="B489" t="s">
        <v>197</v>
      </c>
      <c r="C489" t="s">
        <v>3167</v>
      </c>
      <c r="D489" t="s">
        <v>1963</v>
      </c>
      <c r="E489" t="s">
        <v>2020</v>
      </c>
      <c r="F489" t="s">
        <v>2140</v>
      </c>
      <c r="G489" t="s">
        <v>2141</v>
      </c>
      <c r="H489" t="s">
        <v>2023</v>
      </c>
      <c r="I489" t="s">
        <v>40</v>
      </c>
      <c r="J489" t="s">
        <v>1963</v>
      </c>
      <c r="K489" t="s">
        <v>3239</v>
      </c>
      <c r="L489" t="s">
        <v>2046</v>
      </c>
      <c r="M489" t="s">
        <v>2214</v>
      </c>
      <c r="N489" t="s">
        <v>2215</v>
      </c>
      <c r="O489" t="s">
        <v>2214</v>
      </c>
      <c r="P489" t="s">
        <v>2215</v>
      </c>
      <c r="Q489" t="s">
        <v>14</v>
      </c>
      <c r="R489" t="s">
        <v>14</v>
      </c>
      <c r="S489" t="s">
        <v>14</v>
      </c>
      <c r="T489" t="s">
        <v>14</v>
      </c>
      <c r="U489" t="s">
        <v>2052</v>
      </c>
      <c r="V489" t="s">
        <v>14</v>
      </c>
      <c r="W489" t="b">
        <v>1</v>
      </c>
      <c r="X489" t="s">
        <v>3240</v>
      </c>
      <c r="Y489" t="b">
        <v>0</v>
      </c>
      <c r="Z489" t="s">
        <v>2053</v>
      </c>
    </row>
    <row r="490" spans="1:26" x14ac:dyDescent="0.35">
      <c r="A490" t="s">
        <v>196</v>
      </c>
      <c r="B490" t="s">
        <v>197</v>
      </c>
      <c r="C490" t="s">
        <v>3167</v>
      </c>
      <c r="D490" t="s">
        <v>1963</v>
      </c>
      <c r="E490" t="s">
        <v>2020</v>
      </c>
      <c r="F490" t="s">
        <v>2140</v>
      </c>
      <c r="G490" t="s">
        <v>2141</v>
      </c>
      <c r="H490" t="s">
        <v>2023</v>
      </c>
      <c r="I490" t="s">
        <v>2975</v>
      </c>
      <c r="J490" t="s">
        <v>1963</v>
      </c>
      <c r="K490" t="s">
        <v>3239</v>
      </c>
      <c r="L490" t="s">
        <v>2046</v>
      </c>
      <c r="M490" t="s">
        <v>2970</v>
      </c>
      <c r="N490" t="s">
        <v>2971</v>
      </c>
      <c r="O490" t="s">
        <v>2401</v>
      </c>
      <c r="P490" t="s">
        <v>2402</v>
      </c>
      <c r="Q490" t="s">
        <v>14</v>
      </c>
      <c r="R490" t="s">
        <v>14</v>
      </c>
      <c r="S490" t="s">
        <v>2972</v>
      </c>
      <c r="T490" t="s">
        <v>2973</v>
      </c>
      <c r="U490" t="s">
        <v>2390</v>
      </c>
      <c r="V490" t="s">
        <v>14</v>
      </c>
      <c r="W490" t="b">
        <v>1</v>
      </c>
      <c r="X490" t="s">
        <v>3240</v>
      </c>
      <c r="Y490" t="b">
        <v>0</v>
      </c>
      <c r="Z490" t="s">
        <v>2032</v>
      </c>
    </row>
    <row r="491" spans="1:26" x14ac:dyDescent="0.35">
      <c r="A491" t="s">
        <v>198</v>
      </c>
      <c r="B491" t="s">
        <v>199</v>
      </c>
      <c r="C491" t="s">
        <v>3167</v>
      </c>
      <c r="D491" t="s">
        <v>1963</v>
      </c>
      <c r="E491" t="s">
        <v>2020</v>
      </c>
      <c r="F491" t="s">
        <v>2140</v>
      </c>
      <c r="G491" t="s">
        <v>2141</v>
      </c>
      <c r="H491" t="s">
        <v>2023</v>
      </c>
      <c r="I491" t="s">
        <v>2975</v>
      </c>
      <c r="J491" t="s">
        <v>1963</v>
      </c>
      <c r="K491" t="s">
        <v>3241</v>
      </c>
      <c r="L491" t="s">
        <v>2046</v>
      </c>
      <c r="M491" t="s">
        <v>2970</v>
      </c>
      <c r="N491" t="s">
        <v>2971</v>
      </c>
      <c r="O491" t="s">
        <v>2401</v>
      </c>
      <c r="P491" t="s">
        <v>2402</v>
      </c>
      <c r="Q491" t="s">
        <v>14</v>
      </c>
      <c r="R491" t="s">
        <v>14</v>
      </c>
      <c r="S491" t="s">
        <v>2972</v>
      </c>
      <c r="T491" t="s">
        <v>2973</v>
      </c>
      <c r="U491" t="s">
        <v>2390</v>
      </c>
      <c r="V491" t="s">
        <v>14</v>
      </c>
      <c r="W491" t="b">
        <v>1</v>
      </c>
      <c r="X491" t="s">
        <v>3242</v>
      </c>
      <c r="Y491" t="b">
        <v>0</v>
      </c>
      <c r="Z491" t="s">
        <v>2032</v>
      </c>
    </row>
    <row r="492" spans="1:26" x14ac:dyDescent="0.35">
      <c r="A492" t="s">
        <v>198</v>
      </c>
      <c r="B492" t="s">
        <v>199</v>
      </c>
      <c r="C492" t="s">
        <v>3167</v>
      </c>
      <c r="D492" t="s">
        <v>1963</v>
      </c>
      <c r="E492" t="s">
        <v>2020</v>
      </c>
      <c r="F492" t="s">
        <v>2140</v>
      </c>
      <c r="G492" t="s">
        <v>2141</v>
      </c>
      <c r="H492" t="s">
        <v>2023</v>
      </c>
      <c r="I492" t="s">
        <v>2968</v>
      </c>
      <c r="J492" t="s">
        <v>1963</v>
      </c>
      <c r="K492" t="s">
        <v>3241</v>
      </c>
      <c r="L492" t="s">
        <v>2046</v>
      </c>
      <c r="M492" t="s">
        <v>2970</v>
      </c>
      <c r="N492" t="s">
        <v>2971</v>
      </c>
      <c r="O492" t="s">
        <v>2401</v>
      </c>
      <c r="P492" t="s">
        <v>2402</v>
      </c>
      <c r="Q492" t="s">
        <v>14</v>
      </c>
      <c r="R492" t="s">
        <v>14</v>
      </c>
      <c r="S492" t="s">
        <v>2972</v>
      </c>
      <c r="T492" t="s">
        <v>2973</v>
      </c>
      <c r="U492" t="s">
        <v>2390</v>
      </c>
      <c r="V492" t="s">
        <v>14</v>
      </c>
      <c r="W492" t="b">
        <v>1</v>
      </c>
      <c r="X492" t="s">
        <v>3242</v>
      </c>
      <c r="Y492" t="b">
        <v>0</v>
      </c>
      <c r="Z492" t="s">
        <v>2032</v>
      </c>
    </row>
    <row r="493" spans="1:26" x14ac:dyDescent="0.35">
      <c r="A493" t="s">
        <v>198</v>
      </c>
      <c r="B493" t="s">
        <v>199</v>
      </c>
      <c r="C493" t="s">
        <v>3167</v>
      </c>
      <c r="D493" t="s">
        <v>1963</v>
      </c>
      <c r="E493" t="s">
        <v>2020</v>
      </c>
      <c r="F493" t="s">
        <v>2140</v>
      </c>
      <c r="G493" t="s">
        <v>2141</v>
      </c>
      <c r="H493" t="s">
        <v>2023</v>
      </c>
      <c r="I493" t="s">
        <v>40</v>
      </c>
      <c r="J493" t="s">
        <v>1963</v>
      </c>
      <c r="K493" t="s">
        <v>3241</v>
      </c>
      <c r="L493" t="s">
        <v>2046</v>
      </c>
      <c r="M493" t="s">
        <v>2214</v>
      </c>
      <c r="N493" t="s">
        <v>2215</v>
      </c>
      <c r="O493" t="s">
        <v>2214</v>
      </c>
      <c r="P493" t="s">
        <v>2215</v>
      </c>
      <c r="Q493" t="s">
        <v>14</v>
      </c>
      <c r="R493" t="s">
        <v>14</v>
      </c>
      <c r="S493" t="s">
        <v>14</v>
      </c>
      <c r="T493" t="s">
        <v>14</v>
      </c>
      <c r="U493" t="s">
        <v>2052</v>
      </c>
      <c r="V493" t="s">
        <v>14</v>
      </c>
      <c r="W493" t="b">
        <v>1</v>
      </c>
      <c r="X493" t="s">
        <v>3242</v>
      </c>
      <c r="Y493" t="b">
        <v>0</v>
      </c>
      <c r="Z493" t="s">
        <v>2053</v>
      </c>
    </row>
    <row r="494" spans="1:26" x14ac:dyDescent="0.35">
      <c r="A494" t="s">
        <v>200</v>
      </c>
      <c r="B494" t="s">
        <v>201</v>
      </c>
      <c r="C494" t="s">
        <v>3167</v>
      </c>
      <c r="D494" t="s">
        <v>1963</v>
      </c>
      <c r="E494" t="s">
        <v>2020</v>
      </c>
      <c r="F494" t="s">
        <v>2140</v>
      </c>
      <c r="G494" t="s">
        <v>2141</v>
      </c>
      <c r="H494" t="s">
        <v>2023</v>
      </c>
      <c r="I494" t="s">
        <v>2968</v>
      </c>
      <c r="J494" t="s">
        <v>1963</v>
      </c>
      <c r="K494" t="s">
        <v>3243</v>
      </c>
      <c r="L494" t="s">
        <v>2046</v>
      </c>
      <c r="M494" t="s">
        <v>2970</v>
      </c>
      <c r="N494" t="s">
        <v>2971</v>
      </c>
      <c r="O494" t="s">
        <v>2401</v>
      </c>
      <c r="P494" t="s">
        <v>2402</v>
      </c>
      <c r="Q494" t="s">
        <v>14</v>
      </c>
      <c r="R494" t="s">
        <v>14</v>
      </c>
      <c r="S494" t="s">
        <v>2972</v>
      </c>
      <c r="T494" t="s">
        <v>2973</v>
      </c>
      <c r="U494" t="s">
        <v>2390</v>
      </c>
      <c r="V494" t="s">
        <v>14</v>
      </c>
      <c r="W494" t="b">
        <v>1</v>
      </c>
      <c r="X494" t="s">
        <v>3244</v>
      </c>
      <c r="Y494" t="b">
        <v>0</v>
      </c>
      <c r="Z494" t="s">
        <v>2032</v>
      </c>
    </row>
    <row r="495" spans="1:26" x14ac:dyDescent="0.35">
      <c r="A495" t="s">
        <v>200</v>
      </c>
      <c r="B495" t="s">
        <v>201</v>
      </c>
      <c r="C495" t="s">
        <v>3167</v>
      </c>
      <c r="D495" t="s">
        <v>1963</v>
      </c>
      <c r="E495" t="s">
        <v>2020</v>
      </c>
      <c r="F495" t="s">
        <v>2140</v>
      </c>
      <c r="G495" t="s">
        <v>2141</v>
      </c>
      <c r="H495" t="s">
        <v>2023</v>
      </c>
      <c r="I495" t="s">
        <v>40</v>
      </c>
      <c r="J495" t="s">
        <v>1963</v>
      </c>
      <c r="K495" t="s">
        <v>3243</v>
      </c>
      <c r="L495" t="s">
        <v>2046</v>
      </c>
      <c r="M495" t="s">
        <v>2214</v>
      </c>
      <c r="N495" t="s">
        <v>2215</v>
      </c>
      <c r="O495" t="s">
        <v>2214</v>
      </c>
      <c r="P495" t="s">
        <v>2215</v>
      </c>
      <c r="Q495" t="s">
        <v>14</v>
      </c>
      <c r="R495" t="s">
        <v>14</v>
      </c>
      <c r="S495" t="s">
        <v>14</v>
      </c>
      <c r="T495" t="s">
        <v>14</v>
      </c>
      <c r="U495" t="s">
        <v>2052</v>
      </c>
      <c r="V495" t="s">
        <v>14</v>
      </c>
      <c r="W495" t="b">
        <v>1</v>
      </c>
      <c r="X495" t="s">
        <v>3244</v>
      </c>
      <c r="Y495" t="b">
        <v>0</v>
      </c>
      <c r="Z495" t="s">
        <v>2053</v>
      </c>
    </row>
    <row r="496" spans="1:26" x14ac:dyDescent="0.35">
      <c r="A496" t="s">
        <v>200</v>
      </c>
      <c r="B496" t="s">
        <v>201</v>
      </c>
      <c r="C496" t="s">
        <v>3167</v>
      </c>
      <c r="D496" t="s">
        <v>1963</v>
      </c>
      <c r="E496" t="s">
        <v>2020</v>
      </c>
      <c r="F496" t="s">
        <v>2140</v>
      </c>
      <c r="G496" t="s">
        <v>2141</v>
      </c>
      <c r="H496" t="s">
        <v>2023</v>
      </c>
      <c r="I496" t="s">
        <v>2975</v>
      </c>
      <c r="J496" t="s">
        <v>1963</v>
      </c>
      <c r="K496" t="s">
        <v>3243</v>
      </c>
      <c r="L496" t="s">
        <v>2046</v>
      </c>
      <c r="M496" t="s">
        <v>2970</v>
      </c>
      <c r="N496" t="s">
        <v>2971</v>
      </c>
      <c r="O496" t="s">
        <v>2401</v>
      </c>
      <c r="P496" t="s">
        <v>2402</v>
      </c>
      <c r="Q496" t="s">
        <v>14</v>
      </c>
      <c r="R496" t="s">
        <v>14</v>
      </c>
      <c r="S496" t="s">
        <v>2972</v>
      </c>
      <c r="T496" t="s">
        <v>2973</v>
      </c>
      <c r="U496" t="s">
        <v>2390</v>
      </c>
      <c r="V496" t="s">
        <v>14</v>
      </c>
      <c r="W496" t="b">
        <v>1</v>
      </c>
      <c r="X496" t="s">
        <v>3244</v>
      </c>
      <c r="Y496" t="b">
        <v>0</v>
      </c>
      <c r="Z496" t="s">
        <v>2032</v>
      </c>
    </row>
    <row r="497" spans="1:26" x14ac:dyDescent="0.35">
      <c r="A497" t="s">
        <v>202</v>
      </c>
      <c r="B497" t="s">
        <v>203</v>
      </c>
      <c r="C497" t="s">
        <v>3167</v>
      </c>
      <c r="D497" t="s">
        <v>1963</v>
      </c>
      <c r="E497" t="s">
        <v>2020</v>
      </c>
      <c r="F497" t="s">
        <v>2140</v>
      </c>
      <c r="G497" t="s">
        <v>2141</v>
      </c>
      <c r="H497" t="s">
        <v>2023</v>
      </c>
      <c r="I497" t="s">
        <v>2968</v>
      </c>
      <c r="J497" t="s">
        <v>1963</v>
      </c>
      <c r="K497" t="s">
        <v>3245</v>
      </c>
      <c r="L497" t="s">
        <v>2046</v>
      </c>
      <c r="M497" t="s">
        <v>2970</v>
      </c>
      <c r="N497" t="s">
        <v>2971</v>
      </c>
      <c r="O497" t="s">
        <v>2401</v>
      </c>
      <c r="P497" t="s">
        <v>2402</v>
      </c>
      <c r="Q497" t="s">
        <v>14</v>
      </c>
      <c r="R497" t="s">
        <v>14</v>
      </c>
      <c r="S497" t="s">
        <v>2972</v>
      </c>
      <c r="T497" t="s">
        <v>2973</v>
      </c>
      <c r="U497" t="s">
        <v>2390</v>
      </c>
      <c r="V497" t="s">
        <v>14</v>
      </c>
      <c r="W497" t="b">
        <v>1</v>
      </c>
      <c r="X497" t="s">
        <v>3246</v>
      </c>
      <c r="Y497" t="b">
        <v>0</v>
      </c>
      <c r="Z497" t="s">
        <v>2032</v>
      </c>
    </row>
    <row r="498" spans="1:26" x14ac:dyDescent="0.35">
      <c r="A498" t="s">
        <v>202</v>
      </c>
      <c r="B498" t="s">
        <v>203</v>
      </c>
      <c r="C498" t="s">
        <v>3167</v>
      </c>
      <c r="D498" t="s">
        <v>1963</v>
      </c>
      <c r="E498" t="s">
        <v>2020</v>
      </c>
      <c r="F498" t="s">
        <v>2140</v>
      </c>
      <c r="G498" t="s">
        <v>2141</v>
      </c>
      <c r="H498" t="s">
        <v>2023</v>
      </c>
      <c r="I498" t="s">
        <v>40</v>
      </c>
      <c r="J498" t="s">
        <v>1963</v>
      </c>
      <c r="K498" t="s">
        <v>3245</v>
      </c>
      <c r="L498" t="s">
        <v>2046</v>
      </c>
      <c r="M498" t="s">
        <v>2214</v>
      </c>
      <c r="N498" t="s">
        <v>2215</v>
      </c>
      <c r="O498" t="s">
        <v>2214</v>
      </c>
      <c r="P498" t="s">
        <v>2215</v>
      </c>
      <c r="Q498" t="s">
        <v>14</v>
      </c>
      <c r="R498" t="s">
        <v>14</v>
      </c>
      <c r="S498" t="s">
        <v>14</v>
      </c>
      <c r="T498" t="s">
        <v>14</v>
      </c>
      <c r="U498" t="s">
        <v>2052</v>
      </c>
      <c r="V498" t="s">
        <v>14</v>
      </c>
      <c r="W498" t="b">
        <v>1</v>
      </c>
      <c r="X498" t="s">
        <v>3246</v>
      </c>
      <c r="Y498" t="b">
        <v>0</v>
      </c>
      <c r="Z498" t="s">
        <v>2053</v>
      </c>
    </row>
    <row r="499" spans="1:26" x14ac:dyDescent="0.35">
      <c r="A499" t="s">
        <v>202</v>
      </c>
      <c r="B499" t="s">
        <v>203</v>
      </c>
      <c r="C499" t="s">
        <v>3167</v>
      </c>
      <c r="D499" t="s">
        <v>1963</v>
      </c>
      <c r="E499" t="s">
        <v>2020</v>
      </c>
      <c r="F499" t="s">
        <v>2140</v>
      </c>
      <c r="G499" t="s">
        <v>2141</v>
      </c>
      <c r="H499" t="s">
        <v>2023</v>
      </c>
      <c r="I499" t="s">
        <v>2975</v>
      </c>
      <c r="J499" t="s">
        <v>1963</v>
      </c>
      <c r="K499" t="s">
        <v>3245</v>
      </c>
      <c r="L499" t="s">
        <v>2046</v>
      </c>
      <c r="M499" t="s">
        <v>2970</v>
      </c>
      <c r="N499" t="s">
        <v>2971</v>
      </c>
      <c r="O499" t="s">
        <v>2401</v>
      </c>
      <c r="P499" t="s">
        <v>2402</v>
      </c>
      <c r="Q499" t="s">
        <v>14</v>
      </c>
      <c r="R499" t="s">
        <v>14</v>
      </c>
      <c r="S499" t="s">
        <v>2972</v>
      </c>
      <c r="T499" t="s">
        <v>2973</v>
      </c>
      <c r="U499" t="s">
        <v>2390</v>
      </c>
      <c r="V499" t="s">
        <v>14</v>
      </c>
      <c r="W499" t="b">
        <v>1</v>
      </c>
      <c r="X499" t="s">
        <v>3246</v>
      </c>
      <c r="Y499" t="b">
        <v>0</v>
      </c>
      <c r="Z499" t="s">
        <v>2032</v>
      </c>
    </row>
    <row r="500" spans="1:26" x14ac:dyDescent="0.35">
      <c r="A500" t="s">
        <v>204</v>
      </c>
      <c r="B500" t="s">
        <v>205</v>
      </c>
      <c r="C500" t="s">
        <v>3167</v>
      </c>
      <c r="D500" t="s">
        <v>1963</v>
      </c>
      <c r="E500" t="s">
        <v>2020</v>
      </c>
      <c r="F500" t="s">
        <v>2055</v>
      </c>
      <c r="G500" t="s">
        <v>2056</v>
      </c>
      <c r="H500" t="s">
        <v>2023</v>
      </c>
      <c r="I500" t="s">
        <v>1385</v>
      </c>
      <c r="J500" t="s">
        <v>1963</v>
      </c>
      <c r="K500" t="s">
        <v>3247</v>
      </c>
      <c r="L500" t="s">
        <v>2046</v>
      </c>
      <c r="M500" t="s">
        <v>2243</v>
      </c>
      <c r="N500" t="s">
        <v>2244</v>
      </c>
      <c r="O500" t="s">
        <v>2214</v>
      </c>
      <c r="P500" t="s">
        <v>2215</v>
      </c>
      <c r="Q500" t="s">
        <v>2295</v>
      </c>
      <c r="R500" t="s">
        <v>14</v>
      </c>
      <c r="S500" t="s">
        <v>2307</v>
      </c>
      <c r="T500" t="s">
        <v>2308</v>
      </c>
      <c r="U500" t="s">
        <v>2052</v>
      </c>
      <c r="V500" t="s">
        <v>14</v>
      </c>
      <c r="W500" t="b">
        <v>1</v>
      </c>
      <c r="X500" t="s">
        <v>3248</v>
      </c>
      <c r="Y500" t="b">
        <v>0</v>
      </c>
      <c r="Z500" t="s">
        <v>2053</v>
      </c>
    </row>
    <row r="501" spans="1:26" x14ac:dyDescent="0.35">
      <c r="A501" t="s">
        <v>206</v>
      </c>
      <c r="B501" t="s">
        <v>207</v>
      </c>
      <c r="C501" t="s">
        <v>3167</v>
      </c>
      <c r="D501" t="s">
        <v>1963</v>
      </c>
      <c r="E501" t="s">
        <v>2020</v>
      </c>
      <c r="F501" t="s">
        <v>2055</v>
      </c>
      <c r="G501" t="s">
        <v>2056</v>
      </c>
      <c r="H501" t="s">
        <v>2023</v>
      </c>
      <c r="I501" t="s">
        <v>73</v>
      </c>
      <c r="J501" t="s">
        <v>1963</v>
      </c>
      <c r="K501" t="s">
        <v>3249</v>
      </c>
      <c r="L501" t="s">
        <v>2046</v>
      </c>
      <c r="M501" t="s">
        <v>3152</v>
      </c>
      <c r="N501" t="s">
        <v>3153</v>
      </c>
      <c r="O501" t="s">
        <v>3154</v>
      </c>
      <c r="P501" t="s">
        <v>3155</v>
      </c>
      <c r="Q501" t="s">
        <v>3156</v>
      </c>
      <c r="R501" t="s">
        <v>14</v>
      </c>
      <c r="S501" t="s">
        <v>3157</v>
      </c>
      <c r="T501" t="s">
        <v>3158</v>
      </c>
      <c r="U501" t="s">
        <v>3015</v>
      </c>
      <c r="V501" t="s">
        <v>14</v>
      </c>
      <c r="W501" t="b">
        <v>1</v>
      </c>
      <c r="X501" t="s">
        <v>3250</v>
      </c>
      <c r="Y501" t="b">
        <v>1</v>
      </c>
      <c r="Z501" t="s">
        <v>2032</v>
      </c>
    </row>
    <row r="502" spans="1:26" x14ac:dyDescent="0.35">
      <c r="A502" t="s">
        <v>208</v>
      </c>
      <c r="B502" t="s">
        <v>209</v>
      </c>
      <c r="C502" t="s">
        <v>3167</v>
      </c>
      <c r="D502" t="s">
        <v>1963</v>
      </c>
      <c r="E502" t="s">
        <v>2020</v>
      </c>
      <c r="F502" t="s">
        <v>2055</v>
      </c>
      <c r="G502" t="s">
        <v>2056</v>
      </c>
      <c r="H502" t="s">
        <v>2023</v>
      </c>
      <c r="I502" t="s">
        <v>73</v>
      </c>
      <c r="J502" t="s">
        <v>1963</v>
      </c>
      <c r="K502" t="s">
        <v>3251</v>
      </c>
      <c r="L502" t="s">
        <v>2046</v>
      </c>
      <c r="M502" t="s">
        <v>3152</v>
      </c>
      <c r="N502" t="s">
        <v>3153</v>
      </c>
      <c r="O502" t="s">
        <v>3154</v>
      </c>
      <c r="P502" t="s">
        <v>3155</v>
      </c>
      <c r="Q502" t="s">
        <v>3156</v>
      </c>
      <c r="R502" t="s">
        <v>14</v>
      </c>
      <c r="S502" t="s">
        <v>3157</v>
      </c>
      <c r="T502" t="s">
        <v>3158</v>
      </c>
      <c r="U502" t="s">
        <v>3015</v>
      </c>
      <c r="V502" t="s">
        <v>14</v>
      </c>
      <c r="W502" t="b">
        <v>1</v>
      </c>
      <c r="X502" t="s">
        <v>3252</v>
      </c>
      <c r="Y502" t="b">
        <v>1</v>
      </c>
      <c r="Z502" t="s">
        <v>2032</v>
      </c>
    </row>
    <row r="503" spans="1:26" x14ac:dyDescent="0.35">
      <c r="A503" t="s">
        <v>210</v>
      </c>
      <c r="B503" t="s">
        <v>211</v>
      </c>
      <c r="C503" t="s">
        <v>3167</v>
      </c>
      <c r="D503" t="s">
        <v>1963</v>
      </c>
      <c r="E503" t="s">
        <v>2020</v>
      </c>
      <c r="F503" t="s">
        <v>2055</v>
      </c>
      <c r="G503" t="s">
        <v>2056</v>
      </c>
      <c r="H503" t="s">
        <v>2023</v>
      </c>
      <c r="I503" t="s">
        <v>73</v>
      </c>
      <c r="J503" t="s">
        <v>1963</v>
      </c>
      <c r="K503" t="s">
        <v>3253</v>
      </c>
      <c r="L503" t="s">
        <v>2046</v>
      </c>
      <c r="M503" t="s">
        <v>3152</v>
      </c>
      <c r="N503" t="s">
        <v>3153</v>
      </c>
      <c r="O503" t="s">
        <v>3154</v>
      </c>
      <c r="P503" t="s">
        <v>3155</v>
      </c>
      <c r="Q503" t="s">
        <v>3156</v>
      </c>
      <c r="R503" t="s">
        <v>14</v>
      </c>
      <c r="S503" t="s">
        <v>3157</v>
      </c>
      <c r="T503" t="s">
        <v>3158</v>
      </c>
      <c r="U503" t="s">
        <v>3015</v>
      </c>
      <c r="V503" t="s">
        <v>14</v>
      </c>
      <c r="W503" t="b">
        <v>1</v>
      </c>
      <c r="X503" t="s">
        <v>3254</v>
      </c>
      <c r="Y503" t="b">
        <v>1</v>
      </c>
      <c r="Z503" t="s">
        <v>2032</v>
      </c>
    </row>
    <row r="504" spans="1:26" x14ac:dyDescent="0.35">
      <c r="A504" t="s">
        <v>212</v>
      </c>
      <c r="B504" t="s">
        <v>213</v>
      </c>
      <c r="C504" t="s">
        <v>3167</v>
      </c>
      <c r="D504" t="s">
        <v>1963</v>
      </c>
      <c r="E504" t="s">
        <v>2020</v>
      </c>
      <c r="F504" t="s">
        <v>2055</v>
      </c>
      <c r="G504" t="s">
        <v>2056</v>
      </c>
      <c r="H504" t="s">
        <v>2023</v>
      </c>
      <c r="I504" t="s">
        <v>73</v>
      </c>
      <c r="J504" t="s">
        <v>1963</v>
      </c>
      <c r="K504" t="s">
        <v>3255</v>
      </c>
      <c r="L504" t="s">
        <v>2046</v>
      </c>
      <c r="M504" t="s">
        <v>3152</v>
      </c>
      <c r="N504" t="s">
        <v>3153</v>
      </c>
      <c r="O504" t="s">
        <v>3154</v>
      </c>
      <c r="P504" t="s">
        <v>3155</v>
      </c>
      <c r="Q504" t="s">
        <v>3156</v>
      </c>
      <c r="R504" t="s">
        <v>14</v>
      </c>
      <c r="S504" t="s">
        <v>3157</v>
      </c>
      <c r="T504" t="s">
        <v>3158</v>
      </c>
      <c r="U504" t="s">
        <v>3015</v>
      </c>
      <c r="V504" t="s">
        <v>14</v>
      </c>
      <c r="W504" t="b">
        <v>1</v>
      </c>
      <c r="X504" t="s">
        <v>3256</v>
      </c>
      <c r="Y504" t="b">
        <v>1</v>
      </c>
      <c r="Z504" t="s">
        <v>2032</v>
      </c>
    </row>
    <row r="505" spans="1:26" x14ac:dyDescent="0.35">
      <c r="A505" t="s">
        <v>214</v>
      </c>
      <c r="B505" t="s">
        <v>215</v>
      </c>
      <c r="C505" t="s">
        <v>3167</v>
      </c>
      <c r="D505" t="s">
        <v>1963</v>
      </c>
      <c r="E505" t="s">
        <v>2020</v>
      </c>
      <c r="F505" t="s">
        <v>2055</v>
      </c>
      <c r="G505" t="s">
        <v>2056</v>
      </c>
      <c r="H505" t="s">
        <v>2023</v>
      </c>
      <c r="I505" t="s">
        <v>73</v>
      </c>
      <c r="J505" t="s">
        <v>1963</v>
      </c>
      <c r="K505" t="s">
        <v>3257</v>
      </c>
      <c r="L505" t="s">
        <v>2046</v>
      </c>
      <c r="M505" t="s">
        <v>3152</v>
      </c>
      <c r="N505" t="s">
        <v>3153</v>
      </c>
      <c r="O505" t="s">
        <v>3154</v>
      </c>
      <c r="P505" t="s">
        <v>3155</v>
      </c>
      <c r="Q505" t="s">
        <v>3156</v>
      </c>
      <c r="R505" t="s">
        <v>14</v>
      </c>
      <c r="S505" t="s">
        <v>3157</v>
      </c>
      <c r="T505" t="s">
        <v>3158</v>
      </c>
      <c r="U505" t="s">
        <v>3015</v>
      </c>
      <c r="V505" t="s">
        <v>14</v>
      </c>
      <c r="W505" t="b">
        <v>1</v>
      </c>
      <c r="X505" t="s">
        <v>3258</v>
      </c>
      <c r="Y505" t="b">
        <v>1</v>
      </c>
      <c r="Z505" t="s">
        <v>2032</v>
      </c>
    </row>
    <row r="506" spans="1:26" x14ac:dyDescent="0.35">
      <c r="A506" t="s">
        <v>216</v>
      </c>
      <c r="B506" t="s">
        <v>217</v>
      </c>
      <c r="C506" t="s">
        <v>3167</v>
      </c>
      <c r="D506" t="s">
        <v>1963</v>
      </c>
      <c r="E506" t="s">
        <v>2020</v>
      </c>
      <c r="F506" t="s">
        <v>2055</v>
      </c>
      <c r="G506" t="s">
        <v>2056</v>
      </c>
      <c r="H506" t="s">
        <v>2023</v>
      </c>
      <c r="I506" t="s">
        <v>73</v>
      </c>
      <c r="J506" t="s">
        <v>1963</v>
      </c>
      <c r="K506" t="s">
        <v>3259</v>
      </c>
      <c r="L506" t="s">
        <v>2046</v>
      </c>
      <c r="M506" t="s">
        <v>3152</v>
      </c>
      <c r="N506" t="s">
        <v>3153</v>
      </c>
      <c r="O506" t="s">
        <v>3154</v>
      </c>
      <c r="P506" t="s">
        <v>3155</v>
      </c>
      <c r="Q506" t="s">
        <v>3156</v>
      </c>
      <c r="R506" t="s">
        <v>14</v>
      </c>
      <c r="S506" t="s">
        <v>3157</v>
      </c>
      <c r="T506" t="s">
        <v>3158</v>
      </c>
      <c r="U506" t="s">
        <v>3015</v>
      </c>
      <c r="V506" t="s">
        <v>14</v>
      </c>
      <c r="W506" t="b">
        <v>1</v>
      </c>
      <c r="X506" t="s">
        <v>3260</v>
      </c>
      <c r="Y506" t="b">
        <v>1</v>
      </c>
      <c r="Z506" t="s">
        <v>2032</v>
      </c>
    </row>
    <row r="507" spans="1:26" x14ac:dyDescent="0.35">
      <c r="A507" t="s">
        <v>218</v>
      </c>
      <c r="B507" t="s">
        <v>219</v>
      </c>
      <c r="C507" t="s">
        <v>3167</v>
      </c>
      <c r="D507" t="s">
        <v>1963</v>
      </c>
      <c r="E507" t="s">
        <v>2020</v>
      </c>
      <c r="F507" t="s">
        <v>2055</v>
      </c>
      <c r="G507" t="s">
        <v>2056</v>
      </c>
      <c r="H507" t="s">
        <v>2023</v>
      </c>
      <c r="I507" t="s">
        <v>73</v>
      </c>
      <c r="J507" t="s">
        <v>1963</v>
      </c>
      <c r="K507" t="s">
        <v>3261</v>
      </c>
      <c r="L507" t="s">
        <v>2046</v>
      </c>
      <c r="M507" t="s">
        <v>3152</v>
      </c>
      <c r="N507" t="s">
        <v>3153</v>
      </c>
      <c r="O507" t="s">
        <v>3154</v>
      </c>
      <c r="P507" t="s">
        <v>3155</v>
      </c>
      <c r="Q507" t="s">
        <v>3156</v>
      </c>
      <c r="R507" t="s">
        <v>14</v>
      </c>
      <c r="S507" t="s">
        <v>3157</v>
      </c>
      <c r="T507" t="s">
        <v>3158</v>
      </c>
      <c r="U507" t="s">
        <v>3015</v>
      </c>
      <c r="V507" t="s">
        <v>14</v>
      </c>
      <c r="W507" t="b">
        <v>1</v>
      </c>
      <c r="X507" t="s">
        <v>3262</v>
      </c>
      <c r="Y507" t="b">
        <v>1</v>
      </c>
      <c r="Z507" t="s">
        <v>2032</v>
      </c>
    </row>
    <row r="508" spans="1:26" x14ac:dyDescent="0.35">
      <c r="A508" t="s">
        <v>220</v>
      </c>
      <c r="B508" t="s">
        <v>221</v>
      </c>
      <c r="C508" t="s">
        <v>3167</v>
      </c>
      <c r="D508" t="s">
        <v>1963</v>
      </c>
      <c r="E508" t="s">
        <v>2020</v>
      </c>
      <c r="F508" t="s">
        <v>2055</v>
      </c>
      <c r="G508" t="s">
        <v>2056</v>
      </c>
      <c r="H508" t="s">
        <v>2023</v>
      </c>
      <c r="I508" t="s">
        <v>73</v>
      </c>
      <c r="J508" t="s">
        <v>1963</v>
      </c>
      <c r="K508" t="s">
        <v>3263</v>
      </c>
      <c r="L508" t="s">
        <v>2046</v>
      </c>
      <c r="M508" t="s">
        <v>3152</v>
      </c>
      <c r="N508" t="s">
        <v>3153</v>
      </c>
      <c r="O508" t="s">
        <v>3154</v>
      </c>
      <c r="P508" t="s">
        <v>3155</v>
      </c>
      <c r="Q508" t="s">
        <v>3156</v>
      </c>
      <c r="R508" t="s">
        <v>14</v>
      </c>
      <c r="S508" t="s">
        <v>3157</v>
      </c>
      <c r="T508" t="s">
        <v>3158</v>
      </c>
      <c r="U508" t="s">
        <v>3015</v>
      </c>
      <c r="V508" t="s">
        <v>14</v>
      </c>
      <c r="W508" t="b">
        <v>1</v>
      </c>
      <c r="X508" t="s">
        <v>3264</v>
      </c>
      <c r="Y508" t="b">
        <v>1</v>
      </c>
      <c r="Z508" t="s">
        <v>2032</v>
      </c>
    </row>
    <row r="509" spans="1:26" x14ac:dyDescent="0.35">
      <c r="A509" t="s">
        <v>222</v>
      </c>
      <c r="B509" t="s">
        <v>223</v>
      </c>
      <c r="C509" t="s">
        <v>3167</v>
      </c>
      <c r="D509" t="s">
        <v>1963</v>
      </c>
      <c r="E509" t="s">
        <v>2020</v>
      </c>
      <c r="F509" t="s">
        <v>2055</v>
      </c>
      <c r="G509" t="s">
        <v>2056</v>
      </c>
      <c r="H509" t="s">
        <v>2023</v>
      </c>
      <c r="I509" t="s">
        <v>73</v>
      </c>
      <c r="J509" t="s">
        <v>1963</v>
      </c>
      <c r="K509" t="s">
        <v>3265</v>
      </c>
      <c r="L509" t="s">
        <v>2046</v>
      </c>
      <c r="M509" t="s">
        <v>3152</v>
      </c>
      <c r="N509" t="s">
        <v>3153</v>
      </c>
      <c r="O509" t="s">
        <v>3154</v>
      </c>
      <c r="P509" t="s">
        <v>3155</v>
      </c>
      <c r="Q509" t="s">
        <v>3156</v>
      </c>
      <c r="R509" t="s">
        <v>14</v>
      </c>
      <c r="S509" t="s">
        <v>3157</v>
      </c>
      <c r="T509" t="s">
        <v>3158</v>
      </c>
      <c r="U509" t="s">
        <v>3015</v>
      </c>
      <c r="V509" t="s">
        <v>14</v>
      </c>
      <c r="W509" t="b">
        <v>1</v>
      </c>
      <c r="X509" t="s">
        <v>3266</v>
      </c>
      <c r="Y509" t="b">
        <v>1</v>
      </c>
      <c r="Z509" t="s">
        <v>2032</v>
      </c>
    </row>
    <row r="510" spans="1:26" x14ac:dyDescent="0.35">
      <c r="A510" t="s">
        <v>224</v>
      </c>
      <c r="B510" t="s">
        <v>225</v>
      </c>
      <c r="C510" t="s">
        <v>3167</v>
      </c>
      <c r="D510" t="s">
        <v>1963</v>
      </c>
      <c r="E510" t="s">
        <v>2020</v>
      </c>
      <c r="F510" t="s">
        <v>2055</v>
      </c>
      <c r="G510" t="s">
        <v>2056</v>
      </c>
      <c r="H510" t="s">
        <v>2023</v>
      </c>
      <c r="I510" t="s">
        <v>73</v>
      </c>
      <c r="J510" t="s">
        <v>1963</v>
      </c>
      <c r="K510" t="s">
        <v>3267</v>
      </c>
      <c r="L510" t="s">
        <v>2046</v>
      </c>
      <c r="M510" t="s">
        <v>3152</v>
      </c>
      <c r="N510" t="s">
        <v>3153</v>
      </c>
      <c r="O510" t="s">
        <v>3154</v>
      </c>
      <c r="P510" t="s">
        <v>3155</v>
      </c>
      <c r="Q510" t="s">
        <v>3156</v>
      </c>
      <c r="R510" t="s">
        <v>14</v>
      </c>
      <c r="S510" t="s">
        <v>3157</v>
      </c>
      <c r="T510" t="s">
        <v>3158</v>
      </c>
      <c r="U510" t="s">
        <v>3015</v>
      </c>
      <c r="V510" t="s">
        <v>14</v>
      </c>
      <c r="W510" t="b">
        <v>1</v>
      </c>
      <c r="X510" t="s">
        <v>3268</v>
      </c>
      <c r="Y510" t="b">
        <v>1</v>
      </c>
      <c r="Z510" t="s">
        <v>2032</v>
      </c>
    </row>
    <row r="511" spans="1:26" x14ac:dyDescent="0.35">
      <c r="A511" t="s">
        <v>226</v>
      </c>
      <c r="B511" t="s">
        <v>227</v>
      </c>
      <c r="C511" t="s">
        <v>3167</v>
      </c>
      <c r="D511" t="s">
        <v>1963</v>
      </c>
      <c r="E511" t="s">
        <v>2020</v>
      </c>
      <c r="F511" t="s">
        <v>2055</v>
      </c>
      <c r="G511" t="s">
        <v>2056</v>
      </c>
      <c r="H511" t="s">
        <v>2023</v>
      </c>
      <c r="I511" t="s">
        <v>73</v>
      </c>
      <c r="J511" t="s">
        <v>1963</v>
      </c>
      <c r="K511" t="s">
        <v>3269</v>
      </c>
      <c r="L511" t="s">
        <v>2046</v>
      </c>
      <c r="M511" t="s">
        <v>3152</v>
      </c>
      <c r="N511" t="s">
        <v>3153</v>
      </c>
      <c r="O511" t="s">
        <v>3154</v>
      </c>
      <c r="P511" t="s">
        <v>3155</v>
      </c>
      <c r="Q511" t="s">
        <v>3156</v>
      </c>
      <c r="R511" t="s">
        <v>14</v>
      </c>
      <c r="S511" t="s">
        <v>3157</v>
      </c>
      <c r="T511" t="s">
        <v>3158</v>
      </c>
      <c r="U511" t="s">
        <v>3015</v>
      </c>
      <c r="V511" t="s">
        <v>14</v>
      </c>
      <c r="W511" t="b">
        <v>1</v>
      </c>
      <c r="X511" t="s">
        <v>3270</v>
      </c>
      <c r="Y511" t="b">
        <v>1</v>
      </c>
      <c r="Z511" t="s">
        <v>2032</v>
      </c>
    </row>
    <row r="512" spans="1:26" x14ac:dyDescent="0.35">
      <c r="A512" t="s">
        <v>228</v>
      </c>
      <c r="B512" t="s">
        <v>229</v>
      </c>
      <c r="C512" t="s">
        <v>3167</v>
      </c>
      <c r="D512" t="s">
        <v>1963</v>
      </c>
      <c r="E512" t="s">
        <v>2020</v>
      </c>
      <c r="F512" t="s">
        <v>2055</v>
      </c>
      <c r="G512" t="s">
        <v>2056</v>
      </c>
      <c r="H512" t="s">
        <v>2023</v>
      </c>
      <c r="I512" t="s">
        <v>73</v>
      </c>
      <c r="J512" t="s">
        <v>1963</v>
      </c>
      <c r="K512" t="s">
        <v>3271</v>
      </c>
      <c r="L512" t="s">
        <v>2046</v>
      </c>
      <c r="M512" t="s">
        <v>3152</v>
      </c>
      <c r="N512" t="s">
        <v>3153</v>
      </c>
      <c r="O512" t="s">
        <v>3154</v>
      </c>
      <c r="P512" t="s">
        <v>3155</v>
      </c>
      <c r="Q512" t="s">
        <v>3156</v>
      </c>
      <c r="R512" t="s">
        <v>14</v>
      </c>
      <c r="S512" t="s">
        <v>3157</v>
      </c>
      <c r="T512" t="s">
        <v>3158</v>
      </c>
      <c r="U512" t="s">
        <v>3015</v>
      </c>
      <c r="V512" t="s">
        <v>14</v>
      </c>
      <c r="W512" t="b">
        <v>1</v>
      </c>
      <c r="X512" t="s">
        <v>3272</v>
      </c>
      <c r="Y512" t="b">
        <v>1</v>
      </c>
      <c r="Z512" t="s">
        <v>2032</v>
      </c>
    </row>
    <row r="513" spans="1:26" x14ac:dyDescent="0.35">
      <c r="A513" t="s">
        <v>230</v>
      </c>
      <c r="B513" t="s">
        <v>231</v>
      </c>
      <c r="C513" t="s">
        <v>3167</v>
      </c>
      <c r="D513" t="s">
        <v>1963</v>
      </c>
      <c r="E513" t="s">
        <v>2020</v>
      </c>
      <c r="F513" t="s">
        <v>2055</v>
      </c>
      <c r="G513" t="s">
        <v>2056</v>
      </c>
      <c r="H513" t="s">
        <v>2023</v>
      </c>
      <c r="I513" t="s">
        <v>73</v>
      </c>
      <c r="J513" t="s">
        <v>1963</v>
      </c>
      <c r="K513" t="s">
        <v>3273</v>
      </c>
      <c r="L513" t="s">
        <v>2046</v>
      </c>
      <c r="M513" t="s">
        <v>3152</v>
      </c>
      <c r="N513" t="s">
        <v>3153</v>
      </c>
      <c r="O513" t="s">
        <v>3154</v>
      </c>
      <c r="P513" t="s">
        <v>3155</v>
      </c>
      <c r="Q513" t="s">
        <v>3156</v>
      </c>
      <c r="R513" t="s">
        <v>14</v>
      </c>
      <c r="S513" t="s">
        <v>3157</v>
      </c>
      <c r="T513" t="s">
        <v>3158</v>
      </c>
      <c r="U513" t="s">
        <v>3015</v>
      </c>
      <c r="V513" t="s">
        <v>14</v>
      </c>
      <c r="W513" t="b">
        <v>1</v>
      </c>
      <c r="X513" t="s">
        <v>3274</v>
      </c>
      <c r="Y513" t="b">
        <v>1</v>
      </c>
      <c r="Z513" t="s">
        <v>2032</v>
      </c>
    </row>
    <row r="514" spans="1:26" x14ac:dyDescent="0.35">
      <c r="A514" t="s">
        <v>232</v>
      </c>
      <c r="B514" t="s">
        <v>233</v>
      </c>
      <c r="C514" t="s">
        <v>3167</v>
      </c>
      <c r="D514" t="s">
        <v>1963</v>
      </c>
      <c r="E514" t="s">
        <v>2020</v>
      </c>
      <c r="F514" t="s">
        <v>2055</v>
      </c>
      <c r="G514" t="s">
        <v>2056</v>
      </c>
      <c r="H514" t="s">
        <v>2023</v>
      </c>
      <c r="I514" t="s">
        <v>73</v>
      </c>
      <c r="J514" t="s">
        <v>1963</v>
      </c>
      <c r="K514" t="s">
        <v>3275</v>
      </c>
      <c r="L514" t="s">
        <v>2046</v>
      </c>
      <c r="M514" t="s">
        <v>3152</v>
      </c>
      <c r="N514" t="s">
        <v>3153</v>
      </c>
      <c r="O514" t="s">
        <v>3154</v>
      </c>
      <c r="P514" t="s">
        <v>3155</v>
      </c>
      <c r="Q514" t="s">
        <v>3156</v>
      </c>
      <c r="R514" t="s">
        <v>14</v>
      </c>
      <c r="S514" t="s">
        <v>3157</v>
      </c>
      <c r="T514" t="s">
        <v>3158</v>
      </c>
      <c r="U514" t="s">
        <v>3015</v>
      </c>
      <c r="V514" t="s">
        <v>14</v>
      </c>
      <c r="W514" t="b">
        <v>1</v>
      </c>
      <c r="X514" t="s">
        <v>3276</v>
      </c>
      <c r="Y514" t="b">
        <v>1</v>
      </c>
      <c r="Z514" t="s">
        <v>2032</v>
      </c>
    </row>
    <row r="515" spans="1:26" x14ac:dyDescent="0.35">
      <c r="A515" t="s">
        <v>234</v>
      </c>
      <c r="B515" t="s">
        <v>235</v>
      </c>
      <c r="C515" t="s">
        <v>3167</v>
      </c>
      <c r="D515" t="s">
        <v>1963</v>
      </c>
      <c r="E515" t="s">
        <v>2020</v>
      </c>
      <c r="F515" t="s">
        <v>2055</v>
      </c>
      <c r="G515" t="s">
        <v>2056</v>
      </c>
      <c r="H515" t="s">
        <v>2023</v>
      </c>
      <c r="I515" t="s">
        <v>73</v>
      </c>
      <c r="J515" t="s">
        <v>1963</v>
      </c>
      <c r="K515" t="s">
        <v>3277</v>
      </c>
      <c r="L515" t="s">
        <v>2046</v>
      </c>
      <c r="M515" t="s">
        <v>3152</v>
      </c>
      <c r="N515" t="s">
        <v>3153</v>
      </c>
      <c r="O515" t="s">
        <v>3154</v>
      </c>
      <c r="P515" t="s">
        <v>3155</v>
      </c>
      <c r="Q515" t="s">
        <v>3156</v>
      </c>
      <c r="R515" t="s">
        <v>14</v>
      </c>
      <c r="S515" t="s">
        <v>3157</v>
      </c>
      <c r="T515" t="s">
        <v>3158</v>
      </c>
      <c r="U515" t="s">
        <v>3015</v>
      </c>
      <c r="V515" t="s">
        <v>14</v>
      </c>
      <c r="W515" t="b">
        <v>1</v>
      </c>
      <c r="X515" t="s">
        <v>3278</v>
      </c>
      <c r="Y515" t="b">
        <v>1</v>
      </c>
      <c r="Z515" t="s">
        <v>2032</v>
      </c>
    </row>
    <row r="516" spans="1:26" x14ac:dyDescent="0.35">
      <c r="A516" t="s">
        <v>236</v>
      </c>
      <c r="B516" t="s">
        <v>237</v>
      </c>
      <c r="C516" t="s">
        <v>3167</v>
      </c>
      <c r="D516" t="s">
        <v>1963</v>
      </c>
      <c r="E516" t="s">
        <v>2020</v>
      </c>
      <c r="F516" t="s">
        <v>2055</v>
      </c>
      <c r="G516" t="s">
        <v>2056</v>
      </c>
      <c r="H516" t="s">
        <v>2023</v>
      </c>
      <c r="I516" t="s">
        <v>73</v>
      </c>
      <c r="J516" t="s">
        <v>1963</v>
      </c>
      <c r="K516" t="s">
        <v>3279</v>
      </c>
      <c r="L516" t="s">
        <v>2046</v>
      </c>
      <c r="M516" t="s">
        <v>3152</v>
      </c>
      <c r="N516" t="s">
        <v>3153</v>
      </c>
      <c r="O516" t="s">
        <v>3154</v>
      </c>
      <c r="P516" t="s">
        <v>3155</v>
      </c>
      <c r="Q516" t="s">
        <v>3156</v>
      </c>
      <c r="R516" t="s">
        <v>14</v>
      </c>
      <c r="S516" t="s">
        <v>3157</v>
      </c>
      <c r="T516" t="s">
        <v>3158</v>
      </c>
      <c r="U516" t="s">
        <v>3015</v>
      </c>
      <c r="V516" t="s">
        <v>14</v>
      </c>
      <c r="W516" t="b">
        <v>1</v>
      </c>
      <c r="X516" t="s">
        <v>3280</v>
      </c>
      <c r="Y516" t="b">
        <v>1</v>
      </c>
      <c r="Z516" t="s">
        <v>2032</v>
      </c>
    </row>
    <row r="517" spans="1:26" x14ac:dyDescent="0.35">
      <c r="A517" t="s">
        <v>238</v>
      </c>
      <c r="B517" t="s">
        <v>239</v>
      </c>
      <c r="C517" t="s">
        <v>3167</v>
      </c>
      <c r="D517" t="s">
        <v>1963</v>
      </c>
      <c r="E517" t="s">
        <v>2020</v>
      </c>
      <c r="F517" t="s">
        <v>2055</v>
      </c>
      <c r="G517" t="s">
        <v>2056</v>
      </c>
      <c r="H517" t="s">
        <v>2023</v>
      </c>
      <c r="I517" t="s">
        <v>73</v>
      </c>
      <c r="J517" t="s">
        <v>1963</v>
      </c>
      <c r="K517" t="s">
        <v>3281</v>
      </c>
      <c r="L517" t="s">
        <v>2046</v>
      </c>
      <c r="M517" t="s">
        <v>3152</v>
      </c>
      <c r="N517" t="s">
        <v>3153</v>
      </c>
      <c r="O517" t="s">
        <v>3154</v>
      </c>
      <c r="P517" t="s">
        <v>3155</v>
      </c>
      <c r="Q517" t="s">
        <v>3156</v>
      </c>
      <c r="R517" t="s">
        <v>14</v>
      </c>
      <c r="S517" t="s">
        <v>3157</v>
      </c>
      <c r="T517" t="s">
        <v>3158</v>
      </c>
      <c r="U517" t="s">
        <v>3015</v>
      </c>
      <c r="V517" t="s">
        <v>14</v>
      </c>
      <c r="W517" t="b">
        <v>1</v>
      </c>
      <c r="X517" t="s">
        <v>3282</v>
      </c>
      <c r="Y517" t="b">
        <v>1</v>
      </c>
      <c r="Z517" t="s">
        <v>2032</v>
      </c>
    </row>
    <row r="518" spans="1:26" x14ac:dyDescent="0.35">
      <c r="A518" t="s">
        <v>240</v>
      </c>
      <c r="B518" t="s">
        <v>241</v>
      </c>
      <c r="C518" t="s">
        <v>3167</v>
      </c>
      <c r="D518" t="s">
        <v>1963</v>
      </c>
      <c r="E518" t="s">
        <v>2020</v>
      </c>
      <c r="F518" t="s">
        <v>2055</v>
      </c>
      <c r="G518" t="s">
        <v>2056</v>
      </c>
      <c r="H518" t="s">
        <v>2023</v>
      </c>
      <c r="I518" t="s">
        <v>73</v>
      </c>
      <c r="J518" t="s">
        <v>1963</v>
      </c>
      <c r="K518" t="s">
        <v>3283</v>
      </c>
      <c r="L518" t="s">
        <v>2046</v>
      </c>
      <c r="M518" t="s">
        <v>3152</v>
      </c>
      <c r="N518" t="s">
        <v>3153</v>
      </c>
      <c r="O518" t="s">
        <v>3154</v>
      </c>
      <c r="P518" t="s">
        <v>3155</v>
      </c>
      <c r="Q518" t="s">
        <v>3156</v>
      </c>
      <c r="R518" t="s">
        <v>14</v>
      </c>
      <c r="S518" t="s">
        <v>3157</v>
      </c>
      <c r="T518" t="s">
        <v>3158</v>
      </c>
      <c r="U518" t="s">
        <v>3015</v>
      </c>
      <c r="V518" t="s">
        <v>14</v>
      </c>
      <c r="W518" t="b">
        <v>1</v>
      </c>
      <c r="X518" t="s">
        <v>3284</v>
      </c>
      <c r="Y518" t="b">
        <v>1</v>
      </c>
      <c r="Z518" t="s">
        <v>2032</v>
      </c>
    </row>
    <row r="519" spans="1:26" x14ac:dyDescent="0.35">
      <c r="A519" t="s">
        <v>242</v>
      </c>
      <c r="B519" t="s">
        <v>243</v>
      </c>
      <c r="C519" t="s">
        <v>3167</v>
      </c>
      <c r="D519" t="s">
        <v>1963</v>
      </c>
      <c r="E519" t="s">
        <v>2020</v>
      </c>
      <c r="F519" t="s">
        <v>2055</v>
      </c>
      <c r="G519" t="s">
        <v>2056</v>
      </c>
      <c r="H519" t="s">
        <v>2023</v>
      </c>
      <c r="I519" t="s">
        <v>73</v>
      </c>
      <c r="J519" t="s">
        <v>1963</v>
      </c>
      <c r="K519" t="s">
        <v>3285</v>
      </c>
      <c r="L519" t="s">
        <v>2046</v>
      </c>
      <c r="M519" t="s">
        <v>3152</v>
      </c>
      <c r="N519" t="s">
        <v>3153</v>
      </c>
      <c r="O519" t="s">
        <v>3154</v>
      </c>
      <c r="P519" t="s">
        <v>3155</v>
      </c>
      <c r="Q519" t="s">
        <v>3156</v>
      </c>
      <c r="R519" t="s">
        <v>14</v>
      </c>
      <c r="S519" t="s">
        <v>3157</v>
      </c>
      <c r="T519" t="s">
        <v>3158</v>
      </c>
      <c r="U519" t="s">
        <v>3015</v>
      </c>
      <c r="V519" t="s">
        <v>14</v>
      </c>
      <c r="W519" t="b">
        <v>1</v>
      </c>
      <c r="X519" t="s">
        <v>3286</v>
      </c>
      <c r="Y519" t="b">
        <v>1</v>
      </c>
      <c r="Z519" t="s">
        <v>2032</v>
      </c>
    </row>
    <row r="520" spans="1:26" x14ac:dyDescent="0.35">
      <c r="A520" t="s">
        <v>244</v>
      </c>
      <c r="B520" t="s">
        <v>245</v>
      </c>
      <c r="C520" t="s">
        <v>3167</v>
      </c>
      <c r="D520" t="s">
        <v>1963</v>
      </c>
      <c r="E520" t="s">
        <v>2020</v>
      </c>
      <c r="F520" t="s">
        <v>2055</v>
      </c>
      <c r="G520" t="s">
        <v>2056</v>
      </c>
      <c r="H520" t="s">
        <v>2023</v>
      </c>
      <c r="I520" t="s">
        <v>73</v>
      </c>
      <c r="J520" t="s">
        <v>1963</v>
      </c>
      <c r="K520" t="s">
        <v>3287</v>
      </c>
      <c r="L520" t="s">
        <v>2046</v>
      </c>
      <c r="M520" t="s">
        <v>3152</v>
      </c>
      <c r="N520" t="s">
        <v>3153</v>
      </c>
      <c r="O520" t="s">
        <v>3154</v>
      </c>
      <c r="P520" t="s">
        <v>3155</v>
      </c>
      <c r="Q520" t="s">
        <v>3156</v>
      </c>
      <c r="R520" t="s">
        <v>14</v>
      </c>
      <c r="S520" t="s">
        <v>3157</v>
      </c>
      <c r="T520" t="s">
        <v>3158</v>
      </c>
      <c r="U520" t="s">
        <v>3015</v>
      </c>
      <c r="V520" t="s">
        <v>14</v>
      </c>
      <c r="W520" t="b">
        <v>1</v>
      </c>
      <c r="X520" t="s">
        <v>3288</v>
      </c>
      <c r="Y520" t="b">
        <v>1</v>
      </c>
      <c r="Z520" t="s">
        <v>2032</v>
      </c>
    </row>
    <row r="521" spans="1:26" x14ac:dyDescent="0.35">
      <c r="A521" t="s">
        <v>246</v>
      </c>
      <c r="B521" t="s">
        <v>247</v>
      </c>
      <c r="C521" t="s">
        <v>3167</v>
      </c>
      <c r="D521" t="s">
        <v>1963</v>
      </c>
      <c r="E521" t="s">
        <v>2020</v>
      </c>
      <c r="F521" t="s">
        <v>2055</v>
      </c>
      <c r="G521" t="s">
        <v>2056</v>
      </c>
      <c r="H521" t="s">
        <v>2023</v>
      </c>
      <c r="I521" t="s">
        <v>73</v>
      </c>
      <c r="J521" t="s">
        <v>1963</v>
      </c>
      <c r="K521" t="s">
        <v>3289</v>
      </c>
      <c r="L521" t="s">
        <v>2046</v>
      </c>
      <c r="M521" t="s">
        <v>3152</v>
      </c>
      <c r="N521" t="s">
        <v>3153</v>
      </c>
      <c r="O521" t="s">
        <v>3154</v>
      </c>
      <c r="P521" t="s">
        <v>3155</v>
      </c>
      <c r="Q521" t="s">
        <v>3156</v>
      </c>
      <c r="R521" t="s">
        <v>14</v>
      </c>
      <c r="S521" t="s">
        <v>3157</v>
      </c>
      <c r="T521" t="s">
        <v>3158</v>
      </c>
      <c r="U521" t="s">
        <v>3015</v>
      </c>
      <c r="V521" t="s">
        <v>14</v>
      </c>
      <c r="W521" t="b">
        <v>1</v>
      </c>
      <c r="X521" t="s">
        <v>3290</v>
      </c>
      <c r="Y521" t="b">
        <v>1</v>
      </c>
      <c r="Z521" t="s">
        <v>2032</v>
      </c>
    </row>
    <row r="522" spans="1:26" x14ac:dyDescent="0.35">
      <c r="A522" t="s">
        <v>248</v>
      </c>
      <c r="B522" t="s">
        <v>249</v>
      </c>
      <c r="C522" t="s">
        <v>3167</v>
      </c>
      <c r="D522" t="s">
        <v>1963</v>
      </c>
      <c r="E522" t="s">
        <v>2020</v>
      </c>
      <c r="F522" t="s">
        <v>2055</v>
      </c>
      <c r="G522" t="s">
        <v>2056</v>
      </c>
      <c r="H522" t="s">
        <v>2023</v>
      </c>
      <c r="I522" t="s">
        <v>73</v>
      </c>
      <c r="J522" t="s">
        <v>1963</v>
      </c>
      <c r="K522" t="s">
        <v>3291</v>
      </c>
      <c r="L522" t="s">
        <v>2046</v>
      </c>
      <c r="M522" t="s">
        <v>3152</v>
      </c>
      <c r="N522" t="s">
        <v>3153</v>
      </c>
      <c r="O522" t="s">
        <v>3154</v>
      </c>
      <c r="P522" t="s">
        <v>3155</v>
      </c>
      <c r="Q522" t="s">
        <v>3156</v>
      </c>
      <c r="R522" t="s">
        <v>14</v>
      </c>
      <c r="S522" t="s">
        <v>3157</v>
      </c>
      <c r="T522" t="s">
        <v>3158</v>
      </c>
      <c r="U522" t="s">
        <v>3015</v>
      </c>
      <c r="V522" t="s">
        <v>14</v>
      </c>
      <c r="W522" t="b">
        <v>1</v>
      </c>
      <c r="X522" t="s">
        <v>3292</v>
      </c>
      <c r="Y522" t="b">
        <v>1</v>
      </c>
      <c r="Z522" t="s">
        <v>2032</v>
      </c>
    </row>
    <row r="523" spans="1:26" x14ac:dyDescent="0.35">
      <c r="A523" t="s">
        <v>250</v>
      </c>
      <c r="B523" t="s">
        <v>251</v>
      </c>
      <c r="C523" t="s">
        <v>3167</v>
      </c>
      <c r="D523" t="s">
        <v>1963</v>
      </c>
      <c r="E523" t="s">
        <v>2020</v>
      </c>
      <c r="F523" t="s">
        <v>2055</v>
      </c>
      <c r="G523" t="s">
        <v>2056</v>
      </c>
      <c r="H523" t="s">
        <v>2023</v>
      </c>
      <c r="I523" t="s">
        <v>73</v>
      </c>
      <c r="J523" t="s">
        <v>1963</v>
      </c>
      <c r="K523" t="s">
        <v>3293</v>
      </c>
      <c r="L523" t="s">
        <v>2046</v>
      </c>
      <c r="M523" t="s">
        <v>3152</v>
      </c>
      <c r="N523" t="s">
        <v>3153</v>
      </c>
      <c r="O523" t="s">
        <v>3154</v>
      </c>
      <c r="P523" t="s">
        <v>3155</v>
      </c>
      <c r="Q523" t="s">
        <v>3156</v>
      </c>
      <c r="R523" t="s">
        <v>14</v>
      </c>
      <c r="S523" t="s">
        <v>3157</v>
      </c>
      <c r="T523" t="s">
        <v>3158</v>
      </c>
      <c r="U523" t="s">
        <v>3015</v>
      </c>
      <c r="V523" t="s">
        <v>14</v>
      </c>
      <c r="W523" t="b">
        <v>1</v>
      </c>
      <c r="X523" t="s">
        <v>3294</v>
      </c>
      <c r="Y523" t="b">
        <v>1</v>
      </c>
      <c r="Z523" t="s">
        <v>2032</v>
      </c>
    </row>
    <row r="524" spans="1:26" x14ac:dyDescent="0.35">
      <c r="A524" t="s">
        <v>252</v>
      </c>
      <c r="B524" t="s">
        <v>253</v>
      </c>
      <c r="C524" t="s">
        <v>3167</v>
      </c>
      <c r="D524" t="s">
        <v>1963</v>
      </c>
      <c r="E524" t="s">
        <v>2020</v>
      </c>
      <c r="F524" t="s">
        <v>2055</v>
      </c>
      <c r="G524" t="s">
        <v>2056</v>
      </c>
      <c r="H524" t="s">
        <v>2023</v>
      </c>
      <c r="I524" t="s">
        <v>73</v>
      </c>
      <c r="J524" t="s">
        <v>1963</v>
      </c>
      <c r="K524" t="s">
        <v>3295</v>
      </c>
      <c r="L524" t="s">
        <v>2046</v>
      </c>
      <c r="M524" t="s">
        <v>3152</v>
      </c>
      <c r="N524" t="s">
        <v>3153</v>
      </c>
      <c r="O524" t="s">
        <v>3154</v>
      </c>
      <c r="P524" t="s">
        <v>3155</v>
      </c>
      <c r="Q524" t="s">
        <v>3156</v>
      </c>
      <c r="R524" t="s">
        <v>14</v>
      </c>
      <c r="S524" t="s">
        <v>3157</v>
      </c>
      <c r="T524" t="s">
        <v>3158</v>
      </c>
      <c r="U524" t="s">
        <v>3015</v>
      </c>
      <c r="V524" t="s">
        <v>14</v>
      </c>
      <c r="W524" t="b">
        <v>1</v>
      </c>
      <c r="X524" t="s">
        <v>3296</v>
      </c>
      <c r="Y524" t="b">
        <v>1</v>
      </c>
      <c r="Z524" t="s">
        <v>2032</v>
      </c>
    </row>
    <row r="525" spans="1:26" x14ac:dyDescent="0.35">
      <c r="A525" t="s">
        <v>254</v>
      </c>
      <c r="B525" t="s">
        <v>255</v>
      </c>
      <c r="C525" t="s">
        <v>3167</v>
      </c>
      <c r="D525" t="s">
        <v>1963</v>
      </c>
      <c r="E525" t="s">
        <v>2020</v>
      </c>
      <c r="F525" t="s">
        <v>2055</v>
      </c>
      <c r="G525" t="s">
        <v>2056</v>
      </c>
      <c r="H525" t="s">
        <v>2023</v>
      </c>
      <c r="I525" t="s">
        <v>73</v>
      </c>
      <c r="J525" t="s">
        <v>1963</v>
      </c>
      <c r="K525" t="s">
        <v>3297</v>
      </c>
      <c r="L525" t="s">
        <v>2046</v>
      </c>
      <c r="M525" t="s">
        <v>3152</v>
      </c>
      <c r="N525" t="s">
        <v>3153</v>
      </c>
      <c r="O525" t="s">
        <v>3154</v>
      </c>
      <c r="P525" t="s">
        <v>3155</v>
      </c>
      <c r="Q525" t="s">
        <v>3156</v>
      </c>
      <c r="R525" t="s">
        <v>14</v>
      </c>
      <c r="S525" t="s">
        <v>3157</v>
      </c>
      <c r="T525" t="s">
        <v>3158</v>
      </c>
      <c r="U525" t="s">
        <v>3015</v>
      </c>
      <c r="V525" t="s">
        <v>14</v>
      </c>
      <c r="W525" t="b">
        <v>1</v>
      </c>
      <c r="X525" t="s">
        <v>3298</v>
      </c>
      <c r="Y525" t="b">
        <v>1</v>
      </c>
      <c r="Z525" t="s">
        <v>2032</v>
      </c>
    </row>
    <row r="526" spans="1:26" x14ac:dyDescent="0.35">
      <c r="A526" t="s">
        <v>256</v>
      </c>
      <c r="B526" t="s">
        <v>257</v>
      </c>
      <c r="C526" t="s">
        <v>3167</v>
      </c>
      <c r="D526" t="s">
        <v>1963</v>
      </c>
      <c r="E526" t="s">
        <v>2020</v>
      </c>
      <c r="F526" t="s">
        <v>2055</v>
      </c>
      <c r="G526" t="s">
        <v>2056</v>
      </c>
      <c r="H526" t="s">
        <v>2023</v>
      </c>
      <c r="I526" t="s">
        <v>73</v>
      </c>
      <c r="J526" t="s">
        <v>1963</v>
      </c>
      <c r="K526" t="s">
        <v>3299</v>
      </c>
      <c r="L526" t="s">
        <v>2046</v>
      </c>
      <c r="M526" t="s">
        <v>3152</v>
      </c>
      <c r="N526" t="s">
        <v>3153</v>
      </c>
      <c r="O526" t="s">
        <v>3154</v>
      </c>
      <c r="P526" t="s">
        <v>3155</v>
      </c>
      <c r="Q526" t="s">
        <v>3156</v>
      </c>
      <c r="R526" t="s">
        <v>14</v>
      </c>
      <c r="S526" t="s">
        <v>3157</v>
      </c>
      <c r="T526" t="s">
        <v>3158</v>
      </c>
      <c r="U526" t="s">
        <v>3015</v>
      </c>
      <c r="V526" t="s">
        <v>14</v>
      </c>
      <c r="W526" t="b">
        <v>1</v>
      </c>
      <c r="X526" t="s">
        <v>3300</v>
      </c>
      <c r="Y526" t="b">
        <v>1</v>
      </c>
      <c r="Z526" t="s">
        <v>2032</v>
      </c>
    </row>
    <row r="527" spans="1:26" x14ac:dyDescent="0.35">
      <c r="A527" t="s">
        <v>258</v>
      </c>
      <c r="B527" t="s">
        <v>259</v>
      </c>
      <c r="C527" t="s">
        <v>3167</v>
      </c>
      <c r="D527" t="s">
        <v>1963</v>
      </c>
      <c r="E527" t="s">
        <v>2020</v>
      </c>
      <c r="F527" t="s">
        <v>2055</v>
      </c>
      <c r="G527" t="s">
        <v>2056</v>
      </c>
      <c r="H527" t="s">
        <v>2023</v>
      </c>
      <c r="I527" t="s">
        <v>73</v>
      </c>
      <c r="J527" t="s">
        <v>1963</v>
      </c>
      <c r="K527" t="s">
        <v>3301</v>
      </c>
      <c r="L527" t="s">
        <v>2046</v>
      </c>
      <c r="M527" t="s">
        <v>3152</v>
      </c>
      <c r="N527" t="s">
        <v>3153</v>
      </c>
      <c r="O527" t="s">
        <v>3154</v>
      </c>
      <c r="P527" t="s">
        <v>3155</v>
      </c>
      <c r="Q527" t="s">
        <v>3156</v>
      </c>
      <c r="R527" t="s">
        <v>14</v>
      </c>
      <c r="S527" t="s">
        <v>3157</v>
      </c>
      <c r="T527" t="s">
        <v>3158</v>
      </c>
      <c r="U527" t="s">
        <v>3015</v>
      </c>
      <c r="V527" t="s">
        <v>14</v>
      </c>
      <c r="W527" t="b">
        <v>1</v>
      </c>
      <c r="X527" t="s">
        <v>3302</v>
      </c>
      <c r="Y527" t="b">
        <v>1</v>
      </c>
      <c r="Z527" t="s">
        <v>2032</v>
      </c>
    </row>
    <row r="528" spans="1:26" x14ac:dyDescent="0.35">
      <c r="A528" t="s">
        <v>260</v>
      </c>
      <c r="B528" t="s">
        <v>261</v>
      </c>
      <c r="C528" t="s">
        <v>3167</v>
      </c>
      <c r="D528" t="s">
        <v>1963</v>
      </c>
      <c r="E528" t="s">
        <v>2020</v>
      </c>
      <c r="F528" t="s">
        <v>2055</v>
      </c>
      <c r="G528" t="s">
        <v>2056</v>
      </c>
      <c r="H528" t="s">
        <v>2023</v>
      </c>
      <c r="I528" t="s">
        <v>73</v>
      </c>
      <c r="J528" t="s">
        <v>1963</v>
      </c>
      <c r="K528" t="s">
        <v>3303</v>
      </c>
      <c r="L528" t="s">
        <v>2046</v>
      </c>
      <c r="M528" t="s">
        <v>3152</v>
      </c>
      <c r="N528" t="s">
        <v>3153</v>
      </c>
      <c r="O528" t="s">
        <v>3154</v>
      </c>
      <c r="P528" t="s">
        <v>3155</v>
      </c>
      <c r="Q528" t="s">
        <v>3156</v>
      </c>
      <c r="R528" t="s">
        <v>14</v>
      </c>
      <c r="S528" t="s">
        <v>3157</v>
      </c>
      <c r="T528" t="s">
        <v>3158</v>
      </c>
      <c r="U528" t="s">
        <v>3015</v>
      </c>
      <c r="V528" t="s">
        <v>14</v>
      </c>
      <c r="W528" t="b">
        <v>1</v>
      </c>
      <c r="X528" t="s">
        <v>3304</v>
      </c>
      <c r="Y528" t="b">
        <v>1</v>
      </c>
      <c r="Z528" t="s">
        <v>2032</v>
      </c>
    </row>
    <row r="529" spans="1:26" x14ac:dyDescent="0.35">
      <c r="A529" t="s">
        <v>262</v>
      </c>
      <c r="B529" t="s">
        <v>263</v>
      </c>
      <c r="C529" t="s">
        <v>3167</v>
      </c>
      <c r="D529" t="s">
        <v>1963</v>
      </c>
      <c r="E529" t="s">
        <v>2020</v>
      </c>
      <c r="F529" t="s">
        <v>2055</v>
      </c>
      <c r="G529" t="s">
        <v>2056</v>
      </c>
      <c r="H529" t="s">
        <v>2023</v>
      </c>
      <c r="I529" t="s">
        <v>73</v>
      </c>
      <c r="J529" t="s">
        <v>1963</v>
      </c>
      <c r="K529" t="s">
        <v>3305</v>
      </c>
      <c r="L529" t="s">
        <v>2046</v>
      </c>
      <c r="M529" t="s">
        <v>3152</v>
      </c>
      <c r="N529" t="s">
        <v>3153</v>
      </c>
      <c r="O529" t="s">
        <v>3154</v>
      </c>
      <c r="P529" t="s">
        <v>3155</v>
      </c>
      <c r="Q529" t="s">
        <v>3156</v>
      </c>
      <c r="R529" t="s">
        <v>14</v>
      </c>
      <c r="S529" t="s">
        <v>3157</v>
      </c>
      <c r="T529" t="s">
        <v>3158</v>
      </c>
      <c r="U529" t="s">
        <v>3015</v>
      </c>
      <c r="V529" t="s">
        <v>14</v>
      </c>
      <c r="W529" t="b">
        <v>1</v>
      </c>
      <c r="X529" t="s">
        <v>3306</v>
      </c>
      <c r="Y529" t="b">
        <v>1</v>
      </c>
      <c r="Z529" t="s">
        <v>2032</v>
      </c>
    </row>
    <row r="530" spans="1:26" x14ac:dyDescent="0.35">
      <c r="A530" t="s">
        <v>264</v>
      </c>
      <c r="B530" t="s">
        <v>265</v>
      </c>
      <c r="C530" t="s">
        <v>3167</v>
      </c>
      <c r="D530" t="s">
        <v>1963</v>
      </c>
      <c r="E530" t="s">
        <v>2020</v>
      </c>
      <c r="F530" t="s">
        <v>2055</v>
      </c>
      <c r="G530" t="s">
        <v>2056</v>
      </c>
      <c r="H530" t="s">
        <v>2023</v>
      </c>
      <c r="I530" t="s">
        <v>73</v>
      </c>
      <c r="J530" t="s">
        <v>1963</v>
      </c>
      <c r="K530" t="s">
        <v>3307</v>
      </c>
      <c r="L530" t="s">
        <v>2046</v>
      </c>
      <c r="M530" t="s">
        <v>3152</v>
      </c>
      <c r="N530" t="s">
        <v>3153</v>
      </c>
      <c r="O530" t="s">
        <v>3154</v>
      </c>
      <c r="P530" t="s">
        <v>3155</v>
      </c>
      <c r="Q530" t="s">
        <v>3156</v>
      </c>
      <c r="R530" t="s">
        <v>14</v>
      </c>
      <c r="S530" t="s">
        <v>3157</v>
      </c>
      <c r="T530" t="s">
        <v>3158</v>
      </c>
      <c r="U530" t="s">
        <v>3015</v>
      </c>
      <c r="V530" t="s">
        <v>14</v>
      </c>
      <c r="W530" t="b">
        <v>1</v>
      </c>
      <c r="X530" t="s">
        <v>3308</v>
      </c>
      <c r="Y530" t="b">
        <v>1</v>
      </c>
      <c r="Z530" t="s">
        <v>2032</v>
      </c>
    </row>
    <row r="531" spans="1:26" x14ac:dyDescent="0.35">
      <c r="A531" t="s">
        <v>266</v>
      </c>
      <c r="B531" t="s">
        <v>267</v>
      </c>
      <c r="C531" t="s">
        <v>3167</v>
      </c>
      <c r="D531" t="s">
        <v>1963</v>
      </c>
      <c r="E531" t="s">
        <v>2020</v>
      </c>
      <c r="F531" t="s">
        <v>2055</v>
      </c>
      <c r="G531" t="s">
        <v>2056</v>
      </c>
      <c r="H531" t="s">
        <v>2023</v>
      </c>
      <c r="I531" t="s">
        <v>73</v>
      </c>
      <c r="J531" t="s">
        <v>1963</v>
      </c>
      <c r="K531" t="s">
        <v>3309</v>
      </c>
      <c r="L531" t="s">
        <v>2046</v>
      </c>
      <c r="M531" t="s">
        <v>3152</v>
      </c>
      <c r="N531" t="s">
        <v>3153</v>
      </c>
      <c r="O531" t="s">
        <v>3154</v>
      </c>
      <c r="P531" t="s">
        <v>3155</v>
      </c>
      <c r="Q531" t="s">
        <v>3156</v>
      </c>
      <c r="R531" t="s">
        <v>14</v>
      </c>
      <c r="S531" t="s">
        <v>3157</v>
      </c>
      <c r="T531" t="s">
        <v>3158</v>
      </c>
      <c r="U531" t="s">
        <v>3015</v>
      </c>
      <c r="V531" t="s">
        <v>14</v>
      </c>
      <c r="W531" t="b">
        <v>1</v>
      </c>
      <c r="X531" t="s">
        <v>3310</v>
      </c>
      <c r="Y531" t="b">
        <v>1</v>
      </c>
      <c r="Z531" t="s">
        <v>2032</v>
      </c>
    </row>
    <row r="532" spans="1:26" x14ac:dyDescent="0.35">
      <c r="A532" t="s">
        <v>268</v>
      </c>
      <c r="B532" t="s">
        <v>269</v>
      </c>
      <c r="C532" t="s">
        <v>3167</v>
      </c>
      <c r="D532" t="s">
        <v>1963</v>
      </c>
      <c r="E532" t="s">
        <v>2020</v>
      </c>
      <c r="F532" t="s">
        <v>2055</v>
      </c>
      <c r="G532" t="s">
        <v>2056</v>
      </c>
      <c r="H532" t="s">
        <v>2023</v>
      </c>
      <c r="I532" t="s">
        <v>73</v>
      </c>
      <c r="J532" t="s">
        <v>1963</v>
      </c>
      <c r="K532" t="s">
        <v>3311</v>
      </c>
      <c r="L532" t="s">
        <v>2046</v>
      </c>
      <c r="M532" t="s">
        <v>3152</v>
      </c>
      <c r="N532" t="s">
        <v>3153</v>
      </c>
      <c r="O532" t="s">
        <v>3154</v>
      </c>
      <c r="P532" t="s">
        <v>3155</v>
      </c>
      <c r="Q532" t="s">
        <v>3156</v>
      </c>
      <c r="R532" t="s">
        <v>14</v>
      </c>
      <c r="S532" t="s">
        <v>3157</v>
      </c>
      <c r="T532" t="s">
        <v>3158</v>
      </c>
      <c r="U532" t="s">
        <v>3015</v>
      </c>
      <c r="V532" t="s">
        <v>14</v>
      </c>
      <c r="W532" t="b">
        <v>1</v>
      </c>
      <c r="X532" t="s">
        <v>3312</v>
      </c>
      <c r="Y532" t="b">
        <v>1</v>
      </c>
      <c r="Z532" t="s">
        <v>2032</v>
      </c>
    </row>
    <row r="533" spans="1:26" x14ac:dyDescent="0.35">
      <c r="A533" t="s">
        <v>270</v>
      </c>
      <c r="B533" t="s">
        <v>271</v>
      </c>
      <c r="C533" t="s">
        <v>3167</v>
      </c>
      <c r="D533" t="s">
        <v>1963</v>
      </c>
      <c r="E533" t="s">
        <v>2020</v>
      </c>
      <c r="F533" t="s">
        <v>2055</v>
      </c>
      <c r="G533" t="s">
        <v>2056</v>
      </c>
      <c r="H533" t="s">
        <v>2023</v>
      </c>
      <c r="I533" t="s">
        <v>73</v>
      </c>
      <c r="J533" t="s">
        <v>1963</v>
      </c>
      <c r="K533" t="s">
        <v>3313</v>
      </c>
      <c r="L533" t="s">
        <v>2046</v>
      </c>
      <c r="M533" t="s">
        <v>3152</v>
      </c>
      <c r="N533" t="s">
        <v>3153</v>
      </c>
      <c r="O533" t="s">
        <v>3154</v>
      </c>
      <c r="P533" t="s">
        <v>3155</v>
      </c>
      <c r="Q533" t="s">
        <v>3156</v>
      </c>
      <c r="R533" t="s">
        <v>14</v>
      </c>
      <c r="S533" t="s">
        <v>3157</v>
      </c>
      <c r="T533" t="s">
        <v>3158</v>
      </c>
      <c r="U533" t="s">
        <v>3015</v>
      </c>
      <c r="V533" t="s">
        <v>14</v>
      </c>
      <c r="W533" t="b">
        <v>1</v>
      </c>
      <c r="X533" t="s">
        <v>3314</v>
      </c>
      <c r="Y533" t="b">
        <v>1</v>
      </c>
      <c r="Z533" t="s">
        <v>2032</v>
      </c>
    </row>
    <row r="534" spans="1:26" x14ac:dyDescent="0.35">
      <c r="A534" t="s">
        <v>272</v>
      </c>
      <c r="B534" t="s">
        <v>273</v>
      </c>
      <c r="C534" t="s">
        <v>3167</v>
      </c>
      <c r="D534" t="s">
        <v>1963</v>
      </c>
      <c r="E534" t="s">
        <v>2020</v>
      </c>
      <c r="F534" t="s">
        <v>2055</v>
      </c>
      <c r="G534" t="s">
        <v>2056</v>
      </c>
      <c r="H534" t="s">
        <v>2023</v>
      </c>
      <c r="I534" t="s">
        <v>73</v>
      </c>
      <c r="J534" t="s">
        <v>1963</v>
      </c>
      <c r="K534" t="s">
        <v>3315</v>
      </c>
      <c r="L534" t="s">
        <v>2046</v>
      </c>
      <c r="M534" t="s">
        <v>3152</v>
      </c>
      <c r="N534" t="s">
        <v>3153</v>
      </c>
      <c r="O534" t="s">
        <v>3154</v>
      </c>
      <c r="P534" t="s">
        <v>3155</v>
      </c>
      <c r="Q534" t="s">
        <v>3156</v>
      </c>
      <c r="R534" t="s">
        <v>14</v>
      </c>
      <c r="S534" t="s">
        <v>3157</v>
      </c>
      <c r="T534" t="s">
        <v>3158</v>
      </c>
      <c r="U534" t="s">
        <v>3015</v>
      </c>
      <c r="V534" t="s">
        <v>14</v>
      </c>
      <c r="W534" t="b">
        <v>1</v>
      </c>
      <c r="X534" t="s">
        <v>3316</v>
      </c>
      <c r="Y534" t="b">
        <v>1</v>
      </c>
      <c r="Z534" t="s">
        <v>2032</v>
      </c>
    </row>
    <row r="535" spans="1:26" x14ac:dyDescent="0.35">
      <c r="A535" t="s">
        <v>274</v>
      </c>
      <c r="B535" t="s">
        <v>275</v>
      </c>
      <c r="C535" t="s">
        <v>3167</v>
      </c>
      <c r="D535" t="s">
        <v>1963</v>
      </c>
      <c r="E535" t="s">
        <v>2020</v>
      </c>
      <c r="F535" t="s">
        <v>2055</v>
      </c>
      <c r="G535" t="s">
        <v>2056</v>
      </c>
      <c r="H535" t="s">
        <v>2023</v>
      </c>
      <c r="I535" t="s">
        <v>73</v>
      </c>
      <c r="J535" t="s">
        <v>1963</v>
      </c>
      <c r="K535" t="s">
        <v>3317</v>
      </c>
      <c r="L535" t="s">
        <v>2046</v>
      </c>
      <c r="M535" t="s">
        <v>3152</v>
      </c>
      <c r="N535" t="s">
        <v>3153</v>
      </c>
      <c r="O535" t="s">
        <v>3154</v>
      </c>
      <c r="P535" t="s">
        <v>3155</v>
      </c>
      <c r="Q535" t="s">
        <v>3156</v>
      </c>
      <c r="R535" t="s">
        <v>14</v>
      </c>
      <c r="S535" t="s">
        <v>3157</v>
      </c>
      <c r="T535" t="s">
        <v>3158</v>
      </c>
      <c r="U535" t="s">
        <v>3015</v>
      </c>
      <c r="V535" t="s">
        <v>14</v>
      </c>
      <c r="W535" t="b">
        <v>1</v>
      </c>
      <c r="X535" t="s">
        <v>3318</v>
      </c>
      <c r="Y535" t="b">
        <v>1</v>
      </c>
      <c r="Z535" t="s">
        <v>2032</v>
      </c>
    </row>
    <row r="536" spans="1:26" x14ac:dyDescent="0.35">
      <c r="A536" t="s">
        <v>276</v>
      </c>
      <c r="B536" t="s">
        <v>277</v>
      </c>
      <c r="C536" t="s">
        <v>3167</v>
      </c>
      <c r="D536" t="s">
        <v>1963</v>
      </c>
      <c r="E536" t="s">
        <v>2020</v>
      </c>
      <c r="F536" t="s">
        <v>2055</v>
      </c>
      <c r="G536" t="s">
        <v>2056</v>
      </c>
      <c r="H536" t="s">
        <v>2023</v>
      </c>
      <c r="I536" t="s">
        <v>73</v>
      </c>
      <c r="J536" t="s">
        <v>1963</v>
      </c>
      <c r="K536" t="s">
        <v>3319</v>
      </c>
      <c r="L536" t="s">
        <v>2046</v>
      </c>
      <c r="M536" t="s">
        <v>3152</v>
      </c>
      <c r="N536" t="s">
        <v>3153</v>
      </c>
      <c r="O536" t="s">
        <v>3154</v>
      </c>
      <c r="P536" t="s">
        <v>3155</v>
      </c>
      <c r="Q536" t="s">
        <v>3156</v>
      </c>
      <c r="R536" t="s">
        <v>14</v>
      </c>
      <c r="S536" t="s">
        <v>3157</v>
      </c>
      <c r="T536" t="s">
        <v>3158</v>
      </c>
      <c r="U536" t="s">
        <v>3015</v>
      </c>
      <c r="V536" t="s">
        <v>14</v>
      </c>
      <c r="W536" t="b">
        <v>1</v>
      </c>
      <c r="X536" t="s">
        <v>3320</v>
      </c>
      <c r="Y536" t="b">
        <v>1</v>
      </c>
      <c r="Z536" t="s">
        <v>2032</v>
      </c>
    </row>
    <row r="537" spans="1:26" x14ac:dyDescent="0.35">
      <c r="A537" t="s">
        <v>278</v>
      </c>
      <c r="B537" t="s">
        <v>279</v>
      </c>
      <c r="C537" t="s">
        <v>3167</v>
      </c>
      <c r="D537" t="s">
        <v>1963</v>
      </c>
      <c r="E537" t="s">
        <v>2020</v>
      </c>
      <c r="F537" t="s">
        <v>2055</v>
      </c>
      <c r="G537" t="s">
        <v>2056</v>
      </c>
      <c r="H537" t="s">
        <v>2023</v>
      </c>
      <c r="I537" t="s">
        <v>73</v>
      </c>
      <c r="J537" t="s">
        <v>1963</v>
      </c>
      <c r="K537" t="s">
        <v>3321</v>
      </c>
      <c r="L537" t="s">
        <v>2046</v>
      </c>
      <c r="M537" t="s">
        <v>3152</v>
      </c>
      <c r="N537" t="s">
        <v>3153</v>
      </c>
      <c r="O537" t="s">
        <v>3154</v>
      </c>
      <c r="P537" t="s">
        <v>3155</v>
      </c>
      <c r="Q537" t="s">
        <v>3156</v>
      </c>
      <c r="R537" t="s">
        <v>14</v>
      </c>
      <c r="S537" t="s">
        <v>3157</v>
      </c>
      <c r="T537" t="s">
        <v>3158</v>
      </c>
      <c r="U537" t="s">
        <v>3015</v>
      </c>
      <c r="V537" t="s">
        <v>14</v>
      </c>
      <c r="W537" t="b">
        <v>1</v>
      </c>
      <c r="X537" t="s">
        <v>3322</v>
      </c>
      <c r="Y537" t="b">
        <v>1</v>
      </c>
      <c r="Z537" t="s">
        <v>2032</v>
      </c>
    </row>
    <row r="538" spans="1:26" x14ac:dyDescent="0.35">
      <c r="A538" t="s">
        <v>280</v>
      </c>
      <c r="B538" t="s">
        <v>281</v>
      </c>
      <c r="C538" t="s">
        <v>3167</v>
      </c>
      <c r="D538" t="s">
        <v>1963</v>
      </c>
      <c r="E538" t="s">
        <v>2020</v>
      </c>
      <c r="F538" t="s">
        <v>2055</v>
      </c>
      <c r="G538" t="s">
        <v>2056</v>
      </c>
      <c r="H538" t="s">
        <v>2023</v>
      </c>
      <c r="I538" t="s">
        <v>73</v>
      </c>
      <c r="J538" t="s">
        <v>1963</v>
      </c>
      <c r="K538" t="s">
        <v>3323</v>
      </c>
      <c r="L538" t="s">
        <v>2046</v>
      </c>
      <c r="M538" t="s">
        <v>3152</v>
      </c>
      <c r="N538" t="s">
        <v>3153</v>
      </c>
      <c r="O538" t="s">
        <v>3154</v>
      </c>
      <c r="P538" t="s">
        <v>3155</v>
      </c>
      <c r="Q538" t="s">
        <v>3156</v>
      </c>
      <c r="R538" t="s">
        <v>14</v>
      </c>
      <c r="S538" t="s">
        <v>3157</v>
      </c>
      <c r="T538" t="s">
        <v>3158</v>
      </c>
      <c r="U538" t="s">
        <v>3015</v>
      </c>
      <c r="V538" t="s">
        <v>14</v>
      </c>
      <c r="W538" t="b">
        <v>1</v>
      </c>
      <c r="X538" t="s">
        <v>3324</v>
      </c>
      <c r="Y538" t="b">
        <v>1</v>
      </c>
      <c r="Z538" t="s">
        <v>2032</v>
      </c>
    </row>
    <row r="539" spans="1:26" x14ac:dyDescent="0.35">
      <c r="A539" t="s">
        <v>282</v>
      </c>
      <c r="B539" t="s">
        <v>283</v>
      </c>
      <c r="C539" t="s">
        <v>3167</v>
      </c>
      <c r="D539" t="s">
        <v>1963</v>
      </c>
      <c r="E539" t="s">
        <v>2020</v>
      </c>
      <c r="F539" t="s">
        <v>2055</v>
      </c>
      <c r="G539" t="s">
        <v>2056</v>
      </c>
      <c r="H539" t="s">
        <v>2023</v>
      </c>
      <c r="I539" t="s">
        <v>73</v>
      </c>
      <c r="J539" t="s">
        <v>1963</v>
      </c>
      <c r="K539" t="s">
        <v>3325</v>
      </c>
      <c r="L539" t="s">
        <v>2046</v>
      </c>
      <c r="M539" t="s">
        <v>3152</v>
      </c>
      <c r="N539" t="s">
        <v>3153</v>
      </c>
      <c r="O539" t="s">
        <v>3154</v>
      </c>
      <c r="P539" t="s">
        <v>3155</v>
      </c>
      <c r="Q539" t="s">
        <v>3156</v>
      </c>
      <c r="R539" t="s">
        <v>14</v>
      </c>
      <c r="S539" t="s">
        <v>3157</v>
      </c>
      <c r="T539" t="s">
        <v>3158</v>
      </c>
      <c r="U539" t="s">
        <v>3015</v>
      </c>
      <c r="V539" t="s">
        <v>14</v>
      </c>
      <c r="W539" t="b">
        <v>1</v>
      </c>
      <c r="X539" t="s">
        <v>3326</v>
      </c>
      <c r="Y539" t="b">
        <v>1</v>
      </c>
      <c r="Z539" t="s">
        <v>2032</v>
      </c>
    </row>
    <row r="540" spans="1:26" x14ac:dyDescent="0.35">
      <c r="A540" t="s">
        <v>284</v>
      </c>
      <c r="B540" t="s">
        <v>285</v>
      </c>
      <c r="C540" t="s">
        <v>3167</v>
      </c>
      <c r="D540" t="s">
        <v>1963</v>
      </c>
      <c r="E540" t="s">
        <v>2020</v>
      </c>
      <c r="F540" t="s">
        <v>2055</v>
      </c>
      <c r="G540" t="s">
        <v>2056</v>
      </c>
      <c r="H540" t="s">
        <v>2023</v>
      </c>
      <c r="I540" t="s">
        <v>73</v>
      </c>
      <c r="J540" t="s">
        <v>1963</v>
      </c>
      <c r="K540" t="s">
        <v>3327</v>
      </c>
      <c r="L540" t="s">
        <v>2046</v>
      </c>
      <c r="M540" t="s">
        <v>3152</v>
      </c>
      <c r="N540" t="s">
        <v>3153</v>
      </c>
      <c r="O540" t="s">
        <v>3154</v>
      </c>
      <c r="P540" t="s">
        <v>3155</v>
      </c>
      <c r="Q540" t="s">
        <v>3156</v>
      </c>
      <c r="R540" t="s">
        <v>14</v>
      </c>
      <c r="S540" t="s">
        <v>3157</v>
      </c>
      <c r="T540" t="s">
        <v>3158</v>
      </c>
      <c r="U540" t="s">
        <v>3015</v>
      </c>
      <c r="V540" t="s">
        <v>14</v>
      </c>
      <c r="W540" t="b">
        <v>1</v>
      </c>
      <c r="X540" t="s">
        <v>3328</v>
      </c>
      <c r="Y540" t="b">
        <v>1</v>
      </c>
      <c r="Z540" t="s">
        <v>2032</v>
      </c>
    </row>
    <row r="541" spans="1:26" x14ac:dyDescent="0.35">
      <c r="A541" t="s">
        <v>286</v>
      </c>
      <c r="B541" t="s">
        <v>287</v>
      </c>
      <c r="C541" t="s">
        <v>3167</v>
      </c>
      <c r="D541" t="s">
        <v>1963</v>
      </c>
      <c r="E541" t="s">
        <v>2020</v>
      </c>
      <c r="F541" t="s">
        <v>2055</v>
      </c>
      <c r="G541" t="s">
        <v>2056</v>
      </c>
      <c r="H541" t="s">
        <v>2023</v>
      </c>
      <c r="I541" t="s">
        <v>73</v>
      </c>
      <c r="J541" t="s">
        <v>1963</v>
      </c>
      <c r="K541" t="s">
        <v>3329</v>
      </c>
      <c r="L541" t="s">
        <v>2046</v>
      </c>
      <c r="M541" t="s">
        <v>3152</v>
      </c>
      <c r="N541" t="s">
        <v>3153</v>
      </c>
      <c r="O541" t="s">
        <v>3154</v>
      </c>
      <c r="P541" t="s">
        <v>3155</v>
      </c>
      <c r="Q541" t="s">
        <v>3156</v>
      </c>
      <c r="R541" t="s">
        <v>14</v>
      </c>
      <c r="S541" t="s">
        <v>3157</v>
      </c>
      <c r="T541" t="s">
        <v>3158</v>
      </c>
      <c r="U541" t="s">
        <v>3015</v>
      </c>
      <c r="V541" t="s">
        <v>14</v>
      </c>
      <c r="W541" t="b">
        <v>1</v>
      </c>
      <c r="X541" t="s">
        <v>3330</v>
      </c>
      <c r="Y541" t="b">
        <v>1</v>
      </c>
      <c r="Z541" t="s">
        <v>2032</v>
      </c>
    </row>
    <row r="542" spans="1:26" x14ac:dyDescent="0.35">
      <c r="A542" t="s">
        <v>288</v>
      </c>
      <c r="B542" t="s">
        <v>289</v>
      </c>
      <c r="C542" t="s">
        <v>3167</v>
      </c>
      <c r="D542" t="s">
        <v>1963</v>
      </c>
      <c r="E542" t="s">
        <v>2020</v>
      </c>
      <c r="F542" t="s">
        <v>2055</v>
      </c>
      <c r="G542" t="s">
        <v>2056</v>
      </c>
      <c r="H542" t="s">
        <v>2023</v>
      </c>
      <c r="I542" t="s">
        <v>73</v>
      </c>
      <c r="J542" t="s">
        <v>1963</v>
      </c>
      <c r="K542" t="s">
        <v>3331</v>
      </c>
      <c r="L542" t="s">
        <v>2046</v>
      </c>
      <c r="M542" t="s">
        <v>3152</v>
      </c>
      <c r="N542" t="s">
        <v>3153</v>
      </c>
      <c r="O542" t="s">
        <v>3154</v>
      </c>
      <c r="P542" t="s">
        <v>3155</v>
      </c>
      <c r="Q542" t="s">
        <v>3156</v>
      </c>
      <c r="R542" t="s">
        <v>14</v>
      </c>
      <c r="S542" t="s">
        <v>3157</v>
      </c>
      <c r="T542" t="s">
        <v>3158</v>
      </c>
      <c r="U542" t="s">
        <v>3015</v>
      </c>
      <c r="V542" t="s">
        <v>14</v>
      </c>
      <c r="W542" t="b">
        <v>1</v>
      </c>
      <c r="X542" t="s">
        <v>3332</v>
      </c>
      <c r="Y542" t="b">
        <v>1</v>
      </c>
      <c r="Z542" t="s">
        <v>2032</v>
      </c>
    </row>
    <row r="543" spans="1:26" x14ac:dyDescent="0.35">
      <c r="A543" t="s">
        <v>290</v>
      </c>
      <c r="B543" t="s">
        <v>291</v>
      </c>
      <c r="C543" t="s">
        <v>3167</v>
      </c>
      <c r="D543" t="s">
        <v>1963</v>
      </c>
      <c r="E543" t="s">
        <v>2020</v>
      </c>
      <c r="F543" t="s">
        <v>2055</v>
      </c>
      <c r="G543" t="s">
        <v>2056</v>
      </c>
      <c r="H543" t="s">
        <v>2023</v>
      </c>
      <c r="I543" t="s">
        <v>73</v>
      </c>
      <c r="J543" t="s">
        <v>1963</v>
      </c>
      <c r="K543" t="s">
        <v>3333</v>
      </c>
      <c r="L543" t="s">
        <v>2046</v>
      </c>
      <c r="M543" t="s">
        <v>3152</v>
      </c>
      <c r="N543" t="s">
        <v>3153</v>
      </c>
      <c r="O543" t="s">
        <v>3154</v>
      </c>
      <c r="P543" t="s">
        <v>3155</v>
      </c>
      <c r="Q543" t="s">
        <v>3156</v>
      </c>
      <c r="R543" t="s">
        <v>14</v>
      </c>
      <c r="S543" t="s">
        <v>3157</v>
      </c>
      <c r="T543" t="s">
        <v>3158</v>
      </c>
      <c r="U543" t="s">
        <v>3015</v>
      </c>
      <c r="V543" t="s">
        <v>14</v>
      </c>
      <c r="W543" t="b">
        <v>1</v>
      </c>
      <c r="X543" t="s">
        <v>3334</v>
      </c>
      <c r="Y543" t="b">
        <v>1</v>
      </c>
      <c r="Z543" t="s">
        <v>2032</v>
      </c>
    </row>
    <row r="544" spans="1:26" x14ac:dyDescent="0.35">
      <c r="A544" t="s">
        <v>292</v>
      </c>
      <c r="B544" t="s">
        <v>293</v>
      </c>
      <c r="C544" t="s">
        <v>3167</v>
      </c>
      <c r="D544" t="s">
        <v>1963</v>
      </c>
      <c r="E544" t="s">
        <v>2020</v>
      </c>
      <c r="F544" t="s">
        <v>2055</v>
      </c>
      <c r="G544" t="s">
        <v>2056</v>
      </c>
      <c r="H544" t="s">
        <v>2023</v>
      </c>
      <c r="I544" t="s">
        <v>73</v>
      </c>
      <c r="J544" t="s">
        <v>1963</v>
      </c>
      <c r="K544" t="s">
        <v>3335</v>
      </c>
      <c r="L544" t="s">
        <v>2046</v>
      </c>
      <c r="M544" t="s">
        <v>3152</v>
      </c>
      <c r="N544" t="s">
        <v>3153</v>
      </c>
      <c r="O544" t="s">
        <v>3154</v>
      </c>
      <c r="P544" t="s">
        <v>3155</v>
      </c>
      <c r="Q544" t="s">
        <v>3156</v>
      </c>
      <c r="R544" t="s">
        <v>14</v>
      </c>
      <c r="S544" t="s">
        <v>3157</v>
      </c>
      <c r="T544" t="s">
        <v>3158</v>
      </c>
      <c r="U544" t="s">
        <v>3015</v>
      </c>
      <c r="V544" t="s">
        <v>14</v>
      </c>
      <c r="W544" t="b">
        <v>1</v>
      </c>
      <c r="X544" t="s">
        <v>3336</v>
      </c>
      <c r="Y544" t="b">
        <v>1</v>
      </c>
      <c r="Z544" t="s">
        <v>2032</v>
      </c>
    </row>
    <row r="545" spans="1:26" x14ac:dyDescent="0.35">
      <c r="A545" t="s">
        <v>294</v>
      </c>
      <c r="B545" t="s">
        <v>295</v>
      </c>
      <c r="C545" t="s">
        <v>3167</v>
      </c>
      <c r="D545" t="s">
        <v>1963</v>
      </c>
      <c r="E545" t="s">
        <v>2020</v>
      </c>
      <c r="F545" t="s">
        <v>2055</v>
      </c>
      <c r="G545" t="s">
        <v>2056</v>
      </c>
      <c r="H545" t="s">
        <v>2023</v>
      </c>
      <c r="I545" t="s">
        <v>73</v>
      </c>
      <c r="J545" t="s">
        <v>1963</v>
      </c>
      <c r="K545" t="s">
        <v>3337</v>
      </c>
      <c r="L545" t="s">
        <v>2046</v>
      </c>
      <c r="M545" t="s">
        <v>3152</v>
      </c>
      <c r="N545" t="s">
        <v>3153</v>
      </c>
      <c r="O545" t="s">
        <v>3154</v>
      </c>
      <c r="P545" t="s">
        <v>3155</v>
      </c>
      <c r="Q545" t="s">
        <v>3156</v>
      </c>
      <c r="R545" t="s">
        <v>14</v>
      </c>
      <c r="S545" t="s">
        <v>3157</v>
      </c>
      <c r="T545" t="s">
        <v>3158</v>
      </c>
      <c r="U545" t="s">
        <v>3015</v>
      </c>
      <c r="V545" t="s">
        <v>14</v>
      </c>
      <c r="W545" t="b">
        <v>1</v>
      </c>
      <c r="X545" t="s">
        <v>3338</v>
      </c>
      <c r="Y545" t="b">
        <v>1</v>
      </c>
      <c r="Z545" t="s">
        <v>2032</v>
      </c>
    </row>
    <row r="546" spans="1:26" x14ac:dyDescent="0.35">
      <c r="A546" t="s">
        <v>296</v>
      </c>
      <c r="B546" t="s">
        <v>297</v>
      </c>
      <c r="C546" t="s">
        <v>3167</v>
      </c>
      <c r="D546" t="s">
        <v>1963</v>
      </c>
      <c r="E546" t="s">
        <v>2020</v>
      </c>
      <c r="F546" t="s">
        <v>2055</v>
      </c>
      <c r="G546" t="s">
        <v>2056</v>
      </c>
      <c r="H546" t="s">
        <v>2023</v>
      </c>
      <c r="I546" t="s">
        <v>73</v>
      </c>
      <c r="J546" t="s">
        <v>1963</v>
      </c>
      <c r="K546" t="s">
        <v>3339</v>
      </c>
      <c r="L546" t="s">
        <v>2046</v>
      </c>
      <c r="M546" t="s">
        <v>3152</v>
      </c>
      <c r="N546" t="s">
        <v>3153</v>
      </c>
      <c r="O546" t="s">
        <v>3154</v>
      </c>
      <c r="P546" t="s">
        <v>3155</v>
      </c>
      <c r="Q546" t="s">
        <v>3156</v>
      </c>
      <c r="R546" t="s">
        <v>14</v>
      </c>
      <c r="S546" t="s">
        <v>3157</v>
      </c>
      <c r="T546" t="s">
        <v>3158</v>
      </c>
      <c r="U546" t="s">
        <v>3015</v>
      </c>
      <c r="V546" t="s">
        <v>14</v>
      </c>
      <c r="W546" t="b">
        <v>1</v>
      </c>
      <c r="X546" t="s">
        <v>3340</v>
      </c>
      <c r="Y546" t="b">
        <v>1</v>
      </c>
      <c r="Z546" t="s">
        <v>2032</v>
      </c>
    </row>
    <row r="547" spans="1:26" x14ac:dyDescent="0.35">
      <c r="A547" t="s">
        <v>298</v>
      </c>
      <c r="B547" t="s">
        <v>299</v>
      </c>
      <c r="C547" t="s">
        <v>3167</v>
      </c>
      <c r="D547" t="s">
        <v>1963</v>
      </c>
      <c r="E547" t="s">
        <v>2020</v>
      </c>
      <c r="F547" t="s">
        <v>2055</v>
      </c>
      <c r="G547" t="s">
        <v>2056</v>
      </c>
      <c r="H547" t="s">
        <v>2023</v>
      </c>
      <c r="I547" t="s">
        <v>73</v>
      </c>
      <c r="J547" t="s">
        <v>1963</v>
      </c>
      <c r="K547" t="s">
        <v>3341</v>
      </c>
      <c r="L547" t="s">
        <v>2046</v>
      </c>
      <c r="M547" t="s">
        <v>3152</v>
      </c>
      <c r="N547" t="s">
        <v>3153</v>
      </c>
      <c r="O547" t="s">
        <v>3154</v>
      </c>
      <c r="P547" t="s">
        <v>3155</v>
      </c>
      <c r="Q547" t="s">
        <v>3156</v>
      </c>
      <c r="R547" t="s">
        <v>14</v>
      </c>
      <c r="S547" t="s">
        <v>3157</v>
      </c>
      <c r="T547" t="s">
        <v>3158</v>
      </c>
      <c r="U547" t="s">
        <v>3015</v>
      </c>
      <c r="V547" t="s">
        <v>14</v>
      </c>
      <c r="W547" t="b">
        <v>1</v>
      </c>
      <c r="X547" t="s">
        <v>3342</v>
      </c>
      <c r="Y547" t="b">
        <v>1</v>
      </c>
      <c r="Z547" t="s">
        <v>2032</v>
      </c>
    </row>
    <row r="548" spans="1:26" x14ac:dyDescent="0.35">
      <c r="A548" t="s">
        <v>300</v>
      </c>
      <c r="B548" t="s">
        <v>301</v>
      </c>
      <c r="C548" t="s">
        <v>3167</v>
      </c>
      <c r="D548" t="s">
        <v>1963</v>
      </c>
      <c r="E548" t="s">
        <v>2020</v>
      </c>
      <c r="F548" t="s">
        <v>2055</v>
      </c>
      <c r="G548" t="s">
        <v>2056</v>
      </c>
      <c r="H548" t="s">
        <v>2023</v>
      </c>
      <c r="I548" t="s">
        <v>73</v>
      </c>
      <c r="J548" t="s">
        <v>1963</v>
      </c>
      <c r="K548" t="s">
        <v>3343</v>
      </c>
      <c r="L548" t="s">
        <v>2046</v>
      </c>
      <c r="M548" t="s">
        <v>3152</v>
      </c>
      <c r="N548" t="s">
        <v>3153</v>
      </c>
      <c r="O548" t="s">
        <v>3154</v>
      </c>
      <c r="P548" t="s">
        <v>3155</v>
      </c>
      <c r="Q548" t="s">
        <v>3156</v>
      </c>
      <c r="R548" t="s">
        <v>14</v>
      </c>
      <c r="S548" t="s">
        <v>3157</v>
      </c>
      <c r="T548" t="s">
        <v>3158</v>
      </c>
      <c r="U548" t="s">
        <v>3015</v>
      </c>
      <c r="V548" t="s">
        <v>14</v>
      </c>
      <c r="W548" t="b">
        <v>1</v>
      </c>
      <c r="X548" t="s">
        <v>3344</v>
      </c>
      <c r="Y548" t="b">
        <v>1</v>
      </c>
      <c r="Z548" t="s">
        <v>2032</v>
      </c>
    </row>
    <row r="549" spans="1:26" x14ac:dyDescent="0.35">
      <c r="A549" t="s">
        <v>302</v>
      </c>
      <c r="B549" t="s">
        <v>303</v>
      </c>
      <c r="C549" t="s">
        <v>3167</v>
      </c>
      <c r="D549" t="s">
        <v>1963</v>
      </c>
      <c r="E549" t="s">
        <v>2020</v>
      </c>
      <c r="F549" t="s">
        <v>2055</v>
      </c>
      <c r="G549" t="s">
        <v>2056</v>
      </c>
      <c r="H549" t="s">
        <v>2023</v>
      </c>
      <c r="I549" t="s">
        <v>73</v>
      </c>
      <c r="J549" t="s">
        <v>1963</v>
      </c>
      <c r="K549" t="s">
        <v>3345</v>
      </c>
      <c r="L549" t="s">
        <v>2046</v>
      </c>
      <c r="M549" t="s">
        <v>3152</v>
      </c>
      <c r="N549" t="s">
        <v>3153</v>
      </c>
      <c r="O549" t="s">
        <v>3154</v>
      </c>
      <c r="P549" t="s">
        <v>3155</v>
      </c>
      <c r="Q549" t="s">
        <v>3156</v>
      </c>
      <c r="R549" t="s">
        <v>14</v>
      </c>
      <c r="S549" t="s">
        <v>3157</v>
      </c>
      <c r="T549" t="s">
        <v>3158</v>
      </c>
      <c r="U549" t="s">
        <v>3015</v>
      </c>
      <c r="V549" t="s">
        <v>14</v>
      </c>
      <c r="W549" t="b">
        <v>1</v>
      </c>
      <c r="X549" t="s">
        <v>3346</v>
      </c>
      <c r="Y549" t="b">
        <v>1</v>
      </c>
      <c r="Z549" t="s">
        <v>2032</v>
      </c>
    </row>
    <row r="550" spans="1:26" x14ac:dyDescent="0.35">
      <c r="A550" t="s">
        <v>304</v>
      </c>
      <c r="B550" t="s">
        <v>305</v>
      </c>
      <c r="C550" t="s">
        <v>3167</v>
      </c>
      <c r="D550" t="s">
        <v>1963</v>
      </c>
      <c r="E550" t="s">
        <v>2020</v>
      </c>
      <c r="F550" t="s">
        <v>2055</v>
      </c>
      <c r="G550" t="s">
        <v>2056</v>
      </c>
      <c r="H550" t="s">
        <v>2023</v>
      </c>
      <c r="I550" t="s">
        <v>73</v>
      </c>
      <c r="J550" t="s">
        <v>1963</v>
      </c>
      <c r="K550" t="s">
        <v>3347</v>
      </c>
      <c r="L550" t="s">
        <v>2046</v>
      </c>
      <c r="M550" t="s">
        <v>3152</v>
      </c>
      <c r="N550" t="s">
        <v>3153</v>
      </c>
      <c r="O550" t="s">
        <v>3154</v>
      </c>
      <c r="P550" t="s">
        <v>3155</v>
      </c>
      <c r="Q550" t="s">
        <v>3156</v>
      </c>
      <c r="R550" t="s">
        <v>14</v>
      </c>
      <c r="S550" t="s">
        <v>3157</v>
      </c>
      <c r="T550" t="s">
        <v>3158</v>
      </c>
      <c r="U550" t="s">
        <v>3015</v>
      </c>
      <c r="V550" t="s">
        <v>14</v>
      </c>
      <c r="W550" t="b">
        <v>1</v>
      </c>
      <c r="X550" t="s">
        <v>3348</v>
      </c>
      <c r="Y550" t="b">
        <v>1</v>
      </c>
      <c r="Z550" t="s">
        <v>2032</v>
      </c>
    </row>
    <row r="551" spans="1:26" x14ac:dyDescent="0.35">
      <c r="A551" t="s">
        <v>307</v>
      </c>
      <c r="B551" t="s">
        <v>308</v>
      </c>
      <c r="C551" t="s">
        <v>3167</v>
      </c>
      <c r="D551" t="s">
        <v>1963</v>
      </c>
      <c r="E551" t="s">
        <v>2020</v>
      </c>
      <c r="F551" t="s">
        <v>2055</v>
      </c>
      <c r="G551" t="s">
        <v>2056</v>
      </c>
      <c r="H551" t="s">
        <v>2023</v>
      </c>
      <c r="I551" t="s">
        <v>1426</v>
      </c>
      <c r="J551" t="s">
        <v>1963</v>
      </c>
      <c r="K551" t="s">
        <v>3349</v>
      </c>
      <c r="L551" t="s">
        <v>2046</v>
      </c>
      <c r="M551" t="s">
        <v>2058</v>
      </c>
      <c r="N551" t="s">
        <v>2059</v>
      </c>
      <c r="O551" t="s">
        <v>2060</v>
      </c>
      <c r="P551" t="s">
        <v>2061</v>
      </c>
      <c r="Q551" t="s">
        <v>2062</v>
      </c>
      <c r="R551" t="s">
        <v>14</v>
      </c>
      <c r="S551" t="s">
        <v>2063</v>
      </c>
      <c r="T551" t="s">
        <v>2064</v>
      </c>
      <c r="U551" t="s">
        <v>2052</v>
      </c>
      <c r="V551" t="s">
        <v>14</v>
      </c>
      <c r="W551" t="b">
        <v>1</v>
      </c>
      <c r="X551" t="s">
        <v>3350</v>
      </c>
      <c r="Y551" t="b">
        <v>0</v>
      </c>
      <c r="Z551" t="s">
        <v>2053</v>
      </c>
    </row>
    <row r="552" spans="1:26" x14ac:dyDescent="0.35">
      <c r="A552" t="s">
        <v>309</v>
      </c>
      <c r="B552" t="s">
        <v>310</v>
      </c>
      <c r="C552" t="s">
        <v>3167</v>
      </c>
      <c r="D552" t="s">
        <v>1963</v>
      </c>
      <c r="E552" t="s">
        <v>2020</v>
      </c>
      <c r="F552" t="s">
        <v>2055</v>
      </c>
      <c r="G552" t="s">
        <v>2056</v>
      </c>
      <c r="H552" t="s">
        <v>2023</v>
      </c>
      <c r="I552" t="s">
        <v>2988</v>
      </c>
      <c r="J552" t="s">
        <v>1963</v>
      </c>
      <c r="K552" t="s">
        <v>3351</v>
      </c>
      <c r="L552" t="s">
        <v>2046</v>
      </c>
      <c r="M552" t="s">
        <v>2026</v>
      </c>
      <c r="N552" t="s">
        <v>2027</v>
      </c>
      <c r="O552" t="s">
        <v>2028</v>
      </c>
      <c r="P552" t="s">
        <v>2029</v>
      </c>
      <c r="Q552" t="s">
        <v>2990</v>
      </c>
      <c r="R552" t="s">
        <v>14</v>
      </c>
      <c r="S552" t="s">
        <v>2991</v>
      </c>
      <c r="T552" t="s">
        <v>2992</v>
      </c>
      <c r="U552" t="s">
        <v>2030</v>
      </c>
      <c r="V552" t="s">
        <v>14</v>
      </c>
      <c r="W552" t="b">
        <v>1</v>
      </c>
      <c r="X552" t="s">
        <v>3352</v>
      </c>
      <c r="Y552" t="b">
        <v>0</v>
      </c>
      <c r="Z552" t="s">
        <v>2081</v>
      </c>
    </row>
    <row r="553" spans="1:26" x14ac:dyDescent="0.35">
      <c r="A553" t="s">
        <v>311</v>
      </c>
      <c r="B553" t="s">
        <v>312</v>
      </c>
      <c r="C553" t="s">
        <v>3167</v>
      </c>
      <c r="D553" t="s">
        <v>1963</v>
      </c>
      <c r="E553" t="s">
        <v>2020</v>
      </c>
      <c r="F553" t="s">
        <v>2055</v>
      </c>
      <c r="G553" t="s">
        <v>2056</v>
      </c>
      <c r="H553" t="s">
        <v>2023</v>
      </c>
      <c r="I553" t="s">
        <v>3353</v>
      </c>
      <c r="J553" t="s">
        <v>1963</v>
      </c>
      <c r="K553" t="s">
        <v>3354</v>
      </c>
      <c r="L553" t="s">
        <v>2046</v>
      </c>
      <c r="M553" t="s">
        <v>3355</v>
      </c>
      <c r="N553" t="s">
        <v>3356</v>
      </c>
      <c r="O553" t="s">
        <v>2401</v>
      </c>
      <c r="P553" t="s">
        <v>2402</v>
      </c>
      <c r="Q553" t="s">
        <v>14</v>
      </c>
      <c r="R553" t="s">
        <v>14</v>
      </c>
      <c r="S553" t="s">
        <v>14</v>
      </c>
      <c r="T553" t="s">
        <v>14</v>
      </c>
      <c r="U553" t="s">
        <v>3357</v>
      </c>
      <c r="V553" t="s">
        <v>14</v>
      </c>
      <c r="W553" t="b">
        <v>1</v>
      </c>
      <c r="X553" t="s">
        <v>3358</v>
      </c>
      <c r="Y553" t="b">
        <v>0</v>
      </c>
      <c r="Z553" t="s">
        <v>2053</v>
      </c>
    </row>
    <row r="554" spans="1:26" x14ac:dyDescent="0.35">
      <c r="A554" t="s">
        <v>313</v>
      </c>
      <c r="B554" t="s">
        <v>314</v>
      </c>
      <c r="C554" t="s">
        <v>3167</v>
      </c>
      <c r="D554" t="s">
        <v>1963</v>
      </c>
      <c r="E554" t="s">
        <v>2020</v>
      </c>
      <c r="F554" t="s">
        <v>2055</v>
      </c>
      <c r="G554" t="s">
        <v>2056</v>
      </c>
      <c r="H554" t="s">
        <v>2023</v>
      </c>
      <c r="I554" t="s">
        <v>3359</v>
      </c>
      <c r="J554" t="s">
        <v>1963</v>
      </c>
      <c r="K554" t="s">
        <v>3360</v>
      </c>
      <c r="L554" t="s">
        <v>2046</v>
      </c>
      <c r="M554" t="s">
        <v>2399</v>
      </c>
      <c r="N554" t="s">
        <v>2400</v>
      </c>
      <c r="O554" t="s">
        <v>2635</v>
      </c>
      <c r="P554" t="s">
        <v>2636</v>
      </c>
      <c r="Q554" t="s">
        <v>14</v>
      </c>
      <c r="R554" t="s">
        <v>14</v>
      </c>
      <c r="S554" t="s">
        <v>3361</v>
      </c>
      <c r="T554" t="s">
        <v>3362</v>
      </c>
      <c r="U554" t="s">
        <v>2171</v>
      </c>
      <c r="V554" t="s">
        <v>14</v>
      </c>
      <c r="W554" t="b">
        <v>1</v>
      </c>
      <c r="X554" t="s">
        <v>3363</v>
      </c>
      <c r="Y554" t="b">
        <v>1</v>
      </c>
      <c r="Z554" t="s">
        <v>2032</v>
      </c>
    </row>
    <row r="555" spans="1:26" x14ac:dyDescent="0.35">
      <c r="A555" t="s">
        <v>315</v>
      </c>
      <c r="B555" t="s">
        <v>316</v>
      </c>
      <c r="C555" t="s">
        <v>3167</v>
      </c>
      <c r="D555" t="s">
        <v>1963</v>
      </c>
      <c r="E555" t="s">
        <v>2020</v>
      </c>
      <c r="F555" t="s">
        <v>2055</v>
      </c>
      <c r="G555" t="s">
        <v>2056</v>
      </c>
      <c r="H555" t="s">
        <v>2023</v>
      </c>
      <c r="I555" t="s">
        <v>3364</v>
      </c>
      <c r="J555" t="s">
        <v>1963</v>
      </c>
      <c r="K555" t="s">
        <v>3365</v>
      </c>
      <c r="L555" t="s">
        <v>2046</v>
      </c>
      <c r="M555" t="s">
        <v>3366</v>
      </c>
      <c r="N555" t="s">
        <v>3367</v>
      </c>
      <c r="O555" t="s">
        <v>2362</v>
      </c>
      <c r="P555" t="s">
        <v>2363</v>
      </c>
      <c r="Q555" t="s">
        <v>2844</v>
      </c>
      <c r="R555" t="s">
        <v>14</v>
      </c>
      <c r="S555" t="s">
        <v>3368</v>
      </c>
      <c r="T555" t="s">
        <v>3369</v>
      </c>
      <c r="U555" t="s">
        <v>2171</v>
      </c>
      <c r="V555" t="s">
        <v>14</v>
      </c>
      <c r="W555" t="b">
        <v>1</v>
      </c>
      <c r="X555" t="s">
        <v>3370</v>
      </c>
      <c r="Y555" t="b">
        <v>0</v>
      </c>
      <c r="Z555" t="s">
        <v>2032</v>
      </c>
    </row>
    <row r="556" spans="1:26" x14ac:dyDescent="0.35">
      <c r="A556" t="s">
        <v>317</v>
      </c>
      <c r="B556" t="s">
        <v>318</v>
      </c>
      <c r="C556" t="s">
        <v>3167</v>
      </c>
      <c r="D556" t="s">
        <v>1963</v>
      </c>
      <c r="E556" t="s">
        <v>2020</v>
      </c>
      <c r="F556" t="s">
        <v>2055</v>
      </c>
      <c r="G556" t="s">
        <v>2056</v>
      </c>
      <c r="H556" t="s">
        <v>2023</v>
      </c>
      <c r="I556" t="s">
        <v>3371</v>
      </c>
      <c r="J556" t="s">
        <v>1963</v>
      </c>
      <c r="K556" t="s">
        <v>3372</v>
      </c>
      <c r="L556" t="s">
        <v>2046</v>
      </c>
      <c r="M556" t="s">
        <v>3373</v>
      </c>
      <c r="N556" t="s">
        <v>3374</v>
      </c>
      <c r="O556" t="s">
        <v>2101</v>
      </c>
      <c r="P556" t="s">
        <v>2102</v>
      </c>
      <c r="Q556" t="s">
        <v>2103</v>
      </c>
      <c r="R556" t="s">
        <v>14</v>
      </c>
      <c r="S556" t="s">
        <v>2101</v>
      </c>
      <c r="T556" t="s">
        <v>2102</v>
      </c>
      <c r="U556" t="s">
        <v>2052</v>
      </c>
      <c r="V556" t="s">
        <v>14</v>
      </c>
      <c r="W556" t="b">
        <v>1</v>
      </c>
      <c r="X556" t="s">
        <v>3375</v>
      </c>
      <c r="Y556" t="b">
        <v>0</v>
      </c>
      <c r="Z556" t="s">
        <v>2053</v>
      </c>
    </row>
    <row r="557" spans="1:26" x14ac:dyDescent="0.35">
      <c r="A557" t="s">
        <v>319</v>
      </c>
      <c r="B557" t="s">
        <v>320</v>
      </c>
      <c r="C557" t="s">
        <v>3167</v>
      </c>
      <c r="D557" t="s">
        <v>1963</v>
      </c>
      <c r="E557" t="s">
        <v>2020</v>
      </c>
      <c r="F557" t="s">
        <v>2055</v>
      </c>
      <c r="G557" t="s">
        <v>2056</v>
      </c>
      <c r="H557" t="s">
        <v>2023</v>
      </c>
      <c r="I557" t="s">
        <v>3376</v>
      </c>
      <c r="J557" t="s">
        <v>1963</v>
      </c>
      <c r="K557" t="s">
        <v>3377</v>
      </c>
      <c r="L557" t="s">
        <v>2046</v>
      </c>
      <c r="M557" t="s">
        <v>3378</v>
      </c>
      <c r="N557" t="s">
        <v>3379</v>
      </c>
      <c r="O557" t="s">
        <v>2111</v>
      </c>
      <c r="P557" t="s">
        <v>2112</v>
      </c>
      <c r="Q557" t="s">
        <v>14</v>
      </c>
      <c r="R557" t="s">
        <v>14</v>
      </c>
      <c r="S557" t="s">
        <v>14</v>
      </c>
      <c r="T557" t="s">
        <v>14</v>
      </c>
      <c r="U557" t="s">
        <v>2052</v>
      </c>
      <c r="V557" t="s">
        <v>14</v>
      </c>
      <c r="W557" t="b">
        <v>1</v>
      </c>
      <c r="X557" t="s">
        <v>3380</v>
      </c>
      <c r="Y557" t="b">
        <v>0</v>
      </c>
      <c r="Z557" t="s">
        <v>2053</v>
      </c>
    </row>
    <row r="558" spans="1:26" x14ac:dyDescent="0.35">
      <c r="A558" t="s">
        <v>321</v>
      </c>
      <c r="B558" t="s">
        <v>322</v>
      </c>
      <c r="C558" t="s">
        <v>2967</v>
      </c>
      <c r="D558" t="s">
        <v>1963</v>
      </c>
      <c r="E558" t="s">
        <v>2020</v>
      </c>
      <c r="F558" t="s">
        <v>2140</v>
      </c>
      <c r="G558" t="s">
        <v>2141</v>
      </c>
      <c r="H558" t="s">
        <v>2023</v>
      </c>
      <c r="I558" t="s">
        <v>2346</v>
      </c>
      <c r="J558" t="s">
        <v>1963</v>
      </c>
      <c r="K558" t="s">
        <v>3381</v>
      </c>
      <c r="L558" t="s">
        <v>2046</v>
      </c>
      <c r="M558" t="s">
        <v>2348</v>
      </c>
      <c r="N558" t="s">
        <v>2349</v>
      </c>
      <c r="O558" t="s">
        <v>2348</v>
      </c>
      <c r="P558" t="s">
        <v>2349</v>
      </c>
      <c r="Q558" t="s">
        <v>2350</v>
      </c>
      <c r="R558" t="s">
        <v>14</v>
      </c>
      <c r="S558" t="s">
        <v>2351</v>
      </c>
      <c r="T558" t="s">
        <v>2352</v>
      </c>
      <c r="U558" t="s">
        <v>2030</v>
      </c>
      <c r="V558" t="s">
        <v>14</v>
      </c>
      <c r="W558" t="b">
        <v>1</v>
      </c>
      <c r="X558" t="s">
        <v>3382</v>
      </c>
      <c r="Y558" t="b">
        <v>0</v>
      </c>
      <c r="Z558" t="s">
        <v>2053</v>
      </c>
    </row>
    <row r="559" spans="1:26" x14ac:dyDescent="0.35">
      <c r="A559" t="s">
        <v>323</v>
      </c>
      <c r="B559" t="s">
        <v>324</v>
      </c>
      <c r="C559" t="s">
        <v>2967</v>
      </c>
      <c r="D559" t="s">
        <v>1963</v>
      </c>
      <c r="E559" t="s">
        <v>2020</v>
      </c>
      <c r="F559" t="s">
        <v>2140</v>
      </c>
      <c r="G559" t="s">
        <v>2141</v>
      </c>
      <c r="H559" t="s">
        <v>2023</v>
      </c>
      <c r="I559" t="s">
        <v>2346</v>
      </c>
      <c r="J559" t="s">
        <v>1963</v>
      </c>
      <c r="K559" t="s">
        <v>3383</v>
      </c>
      <c r="L559" t="s">
        <v>2046</v>
      </c>
      <c r="M559" t="s">
        <v>2348</v>
      </c>
      <c r="N559" t="s">
        <v>2349</v>
      </c>
      <c r="O559" t="s">
        <v>2348</v>
      </c>
      <c r="P559" t="s">
        <v>2349</v>
      </c>
      <c r="Q559" t="s">
        <v>2350</v>
      </c>
      <c r="R559" t="s">
        <v>14</v>
      </c>
      <c r="S559" t="s">
        <v>2351</v>
      </c>
      <c r="T559" t="s">
        <v>2352</v>
      </c>
      <c r="U559" t="s">
        <v>2030</v>
      </c>
      <c r="V559" t="s">
        <v>14</v>
      </c>
      <c r="W559" t="b">
        <v>1</v>
      </c>
      <c r="X559" t="s">
        <v>3384</v>
      </c>
      <c r="Y559" t="b">
        <v>0</v>
      </c>
      <c r="Z559" t="s">
        <v>2053</v>
      </c>
    </row>
    <row r="560" spans="1:26" x14ac:dyDescent="0.35">
      <c r="A560" t="s">
        <v>325</v>
      </c>
      <c r="B560" t="s">
        <v>326</v>
      </c>
      <c r="C560" t="s">
        <v>3167</v>
      </c>
      <c r="D560" t="s">
        <v>1963</v>
      </c>
      <c r="E560" t="s">
        <v>2020</v>
      </c>
      <c r="F560" t="s">
        <v>2140</v>
      </c>
      <c r="G560" t="s">
        <v>2141</v>
      </c>
      <c r="H560" t="s">
        <v>2023</v>
      </c>
      <c r="I560" t="s">
        <v>2346</v>
      </c>
      <c r="J560" t="s">
        <v>1963</v>
      </c>
      <c r="K560" t="s">
        <v>3385</v>
      </c>
      <c r="L560" t="s">
        <v>2046</v>
      </c>
      <c r="M560" t="s">
        <v>2348</v>
      </c>
      <c r="N560" t="s">
        <v>2349</v>
      </c>
      <c r="O560" t="s">
        <v>2348</v>
      </c>
      <c r="P560" t="s">
        <v>2349</v>
      </c>
      <c r="Q560" t="s">
        <v>2350</v>
      </c>
      <c r="R560" t="s">
        <v>14</v>
      </c>
      <c r="S560" t="s">
        <v>2351</v>
      </c>
      <c r="T560" t="s">
        <v>2352</v>
      </c>
      <c r="U560" t="s">
        <v>2030</v>
      </c>
      <c r="V560" t="s">
        <v>14</v>
      </c>
      <c r="W560" t="b">
        <v>1</v>
      </c>
      <c r="X560" t="s">
        <v>3386</v>
      </c>
      <c r="Y560" t="b">
        <v>0</v>
      </c>
      <c r="Z560" t="s">
        <v>2053</v>
      </c>
    </row>
    <row r="561" spans="1:26" x14ac:dyDescent="0.35">
      <c r="A561" t="s">
        <v>327</v>
      </c>
      <c r="B561" t="s">
        <v>328</v>
      </c>
      <c r="C561" t="s">
        <v>3167</v>
      </c>
      <c r="D561" t="s">
        <v>1963</v>
      </c>
      <c r="E561" t="s">
        <v>2020</v>
      </c>
      <c r="F561" t="s">
        <v>2140</v>
      </c>
      <c r="G561" t="s">
        <v>2141</v>
      </c>
      <c r="H561" t="s">
        <v>2023</v>
      </c>
      <c r="I561" t="s">
        <v>2346</v>
      </c>
      <c r="J561" t="s">
        <v>1963</v>
      </c>
      <c r="K561" t="s">
        <v>3387</v>
      </c>
      <c r="L561" t="s">
        <v>2046</v>
      </c>
      <c r="M561" t="s">
        <v>2348</v>
      </c>
      <c r="N561" t="s">
        <v>2349</v>
      </c>
      <c r="O561" t="s">
        <v>2348</v>
      </c>
      <c r="P561" t="s">
        <v>2349</v>
      </c>
      <c r="Q561" t="s">
        <v>2350</v>
      </c>
      <c r="R561" t="s">
        <v>14</v>
      </c>
      <c r="S561" t="s">
        <v>2351</v>
      </c>
      <c r="T561" t="s">
        <v>2352</v>
      </c>
      <c r="U561" t="s">
        <v>2030</v>
      </c>
      <c r="V561" t="s">
        <v>14</v>
      </c>
      <c r="W561" t="b">
        <v>1</v>
      </c>
      <c r="X561" t="s">
        <v>3388</v>
      </c>
      <c r="Y561" t="b">
        <v>0</v>
      </c>
      <c r="Z561" t="s">
        <v>2053</v>
      </c>
    </row>
    <row r="562" spans="1:26" x14ac:dyDescent="0.35">
      <c r="A562" t="s">
        <v>329</v>
      </c>
      <c r="B562" t="s">
        <v>330</v>
      </c>
      <c r="C562" t="s">
        <v>3167</v>
      </c>
      <c r="D562" t="s">
        <v>1963</v>
      </c>
      <c r="E562" t="s">
        <v>2020</v>
      </c>
      <c r="F562" t="s">
        <v>2055</v>
      </c>
      <c r="G562" t="s">
        <v>2056</v>
      </c>
      <c r="H562" t="s">
        <v>2023</v>
      </c>
      <c r="I562" t="s">
        <v>1382</v>
      </c>
      <c r="J562" t="s">
        <v>1963</v>
      </c>
      <c r="K562" t="s">
        <v>3389</v>
      </c>
      <c r="L562" t="s">
        <v>2046</v>
      </c>
      <c r="M562" t="s">
        <v>3390</v>
      </c>
      <c r="N562" t="s">
        <v>3391</v>
      </c>
      <c r="O562" t="s">
        <v>2362</v>
      </c>
      <c r="P562" t="s">
        <v>2363</v>
      </c>
      <c r="Q562" t="s">
        <v>2844</v>
      </c>
      <c r="R562" t="s">
        <v>14</v>
      </c>
      <c r="S562" t="s">
        <v>2845</v>
      </c>
      <c r="T562" t="s">
        <v>2846</v>
      </c>
      <c r="U562" t="s">
        <v>2171</v>
      </c>
      <c r="V562" t="s">
        <v>14</v>
      </c>
      <c r="W562" t="b">
        <v>1</v>
      </c>
      <c r="X562" t="s">
        <v>3392</v>
      </c>
      <c r="Y562" t="b">
        <v>0</v>
      </c>
      <c r="Z562" t="s">
        <v>2032</v>
      </c>
    </row>
    <row r="563" spans="1:26" x14ac:dyDescent="0.35">
      <c r="A563" t="s">
        <v>331</v>
      </c>
      <c r="B563" t="s">
        <v>332</v>
      </c>
      <c r="C563" t="s">
        <v>3167</v>
      </c>
      <c r="D563" t="s">
        <v>1963</v>
      </c>
      <c r="E563" t="s">
        <v>2020</v>
      </c>
      <c r="F563" t="s">
        <v>2055</v>
      </c>
      <c r="G563" t="s">
        <v>2056</v>
      </c>
      <c r="H563" t="s">
        <v>2023</v>
      </c>
      <c r="I563" t="s">
        <v>3008</v>
      </c>
      <c r="J563" t="s">
        <v>1963</v>
      </c>
      <c r="K563" t="s">
        <v>3393</v>
      </c>
      <c r="L563" t="s">
        <v>2046</v>
      </c>
      <c r="M563" t="s">
        <v>3009</v>
      </c>
      <c r="N563" t="s">
        <v>3010</v>
      </c>
      <c r="O563" t="s">
        <v>2362</v>
      </c>
      <c r="P563" t="s">
        <v>2363</v>
      </c>
      <c r="Q563" t="s">
        <v>3004</v>
      </c>
      <c r="R563" t="s">
        <v>14</v>
      </c>
      <c r="S563" t="s">
        <v>3005</v>
      </c>
      <c r="T563" t="s">
        <v>3006</v>
      </c>
      <c r="U563" t="s">
        <v>2171</v>
      </c>
      <c r="V563" t="s">
        <v>14</v>
      </c>
      <c r="W563" t="b">
        <v>1</v>
      </c>
      <c r="X563" t="s">
        <v>3394</v>
      </c>
      <c r="Y563" t="b">
        <v>0</v>
      </c>
      <c r="Z563" t="s">
        <v>2032</v>
      </c>
    </row>
    <row r="564" spans="1:26" x14ac:dyDescent="0.35">
      <c r="A564" t="s">
        <v>333</v>
      </c>
      <c r="B564" t="s">
        <v>334</v>
      </c>
      <c r="C564" t="s">
        <v>3167</v>
      </c>
      <c r="D564" t="s">
        <v>1963</v>
      </c>
      <c r="E564" t="s">
        <v>2020</v>
      </c>
      <c r="F564" t="s">
        <v>2021</v>
      </c>
      <c r="G564" t="s">
        <v>2022</v>
      </c>
      <c r="H564" t="s">
        <v>2023</v>
      </c>
      <c r="I564" t="s">
        <v>3395</v>
      </c>
      <c r="J564" t="s">
        <v>1963</v>
      </c>
      <c r="K564" t="s">
        <v>3396</v>
      </c>
      <c r="L564" t="s">
        <v>2046</v>
      </c>
      <c r="M564" t="s">
        <v>3390</v>
      </c>
      <c r="N564" t="s">
        <v>3391</v>
      </c>
      <c r="O564" t="s">
        <v>2362</v>
      </c>
      <c r="P564" t="s">
        <v>2363</v>
      </c>
      <c r="Q564" t="s">
        <v>2844</v>
      </c>
      <c r="R564" t="s">
        <v>14</v>
      </c>
      <c r="S564" t="s">
        <v>3397</v>
      </c>
      <c r="T564" t="s">
        <v>3398</v>
      </c>
      <c r="U564" t="s">
        <v>2171</v>
      </c>
      <c r="V564" t="s">
        <v>14</v>
      </c>
      <c r="W564" t="b">
        <v>1</v>
      </c>
      <c r="X564" t="s">
        <v>3399</v>
      </c>
      <c r="Y564" t="b">
        <v>0</v>
      </c>
      <c r="Z564" t="s">
        <v>2081</v>
      </c>
    </row>
    <row r="565" spans="1:26" x14ac:dyDescent="0.35">
      <c r="A565" t="s">
        <v>335</v>
      </c>
      <c r="B565" t="s">
        <v>336</v>
      </c>
      <c r="C565" t="s">
        <v>3167</v>
      </c>
      <c r="D565" t="s">
        <v>1963</v>
      </c>
      <c r="E565" t="s">
        <v>2020</v>
      </c>
      <c r="F565" t="s">
        <v>2021</v>
      </c>
      <c r="G565" t="s">
        <v>2022</v>
      </c>
      <c r="H565" t="s">
        <v>2023</v>
      </c>
      <c r="I565" t="s">
        <v>3400</v>
      </c>
      <c r="J565" t="s">
        <v>1963</v>
      </c>
      <c r="K565" t="s">
        <v>3401</v>
      </c>
      <c r="L565" t="s">
        <v>2046</v>
      </c>
      <c r="M565" t="s">
        <v>3402</v>
      </c>
      <c r="N565" t="s">
        <v>3403</v>
      </c>
      <c r="O565" t="s">
        <v>3404</v>
      </c>
      <c r="P565" t="s">
        <v>3405</v>
      </c>
      <c r="Q565" t="s">
        <v>3406</v>
      </c>
      <c r="R565" t="s">
        <v>14</v>
      </c>
      <c r="S565" t="s">
        <v>3402</v>
      </c>
      <c r="T565" t="s">
        <v>3403</v>
      </c>
      <c r="U565" t="s">
        <v>2030</v>
      </c>
      <c r="V565" t="s">
        <v>14</v>
      </c>
      <c r="W565" t="b">
        <v>1</v>
      </c>
      <c r="X565" t="s">
        <v>3407</v>
      </c>
      <c r="Y565" t="b">
        <v>0</v>
      </c>
      <c r="Z565" t="s">
        <v>2081</v>
      </c>
    </row>
    <row r="566" spans="1:26" x14ac:dyDescent="0.35">
      <c r="A566" t="s">
        <v>335</v>
      </c>
      <c r="B566" t="s">
        <v>336</v>
      </c>
      <c r="C566" t="s">
        <v>3167</v>
      </c>
      <c r="D566" t="s">
        <v>1963</v>
      </c>
      <c r="E566" t="s">
        <v>2020</v>
      </c>
      <c r="F566" t="s">
        <v>2021</v>
      </c>
      <c r="G566" t="s">
        <v>2022</v>
      </c>
      <c r="H566" t="s">
        <v>2023</v>
      </c>
      <c r="I566" t="s">
        <v>3400</v>
      </c>
      <c r="J566" t="s">
        <v>1963</v>
      </c>
      <c r="K566" t="s">
        <v>3401</v>
      </c>
      <c r="L566" t="s">
        <v>2046</v>
      </c>
      <c r="M566" t="s">
        <v>3402</v>
      </c>
      <c r="N566" t="s">
        <v>3403</v>
      </c>
      <c r="O566" t="s">
        <v>3404</v>
      </c>
      <c r="P566" t="s">
        <v>3405</v>
      </c>
      <c r="Q566" t="s">
        <v>3406</v>
      </c>
      <c r="R566" t="s">
        <v>14</v>
      </c>
      <c r="S566" t="s">
        <v>3402</v>
      </c>
      <c r="T566" t="s">
        <v>3403</v>
      </c>
      <c r="U566" t="s">
        <v>2030</v>
      </c>
      <c r="V566" t="s">
        <v>14</v>
      </c>
      <c r="W566" t="b">
        <v>1</v>
      </c>
      <c r="X566" t="s">
        <v>3407</v>
      </c>
      <c r="Y566" t="b">
        <v>0</v>
      </c>
      <c r="Z566" t="s">
        <v>2081</v>
      </c>
    </row>
    <row r="567" spans="1:26" x14ac:dyDescent="0.35">
      <c r="A567" t="s">
        <v>335</v>
      </c>
      <c r="B567" t="s">
        <v>336</v>
      </c>
      <c r="C567" t="s">
        <v>3167</v>
      </c>
      <c r="D567" t="s">
        <v>1963</v>
      </c>
      <c r="E567" t="s">
        <v>2020</v>
      </c>
      <c r="F567" t="s">
        <v>2021</v>
      </c>
      <c r="G567" t="s">
        <v>2022</v>
      </c>
      <c r="H567" t="s">
        <v>2023</v>
      </c>
      <c r="I567" t="s">
        <v>3400</v>
      </c>
      <c r="J567" t="s">
        <v>1963</v>
      </c>
      <c r="K567" t="s">
        <v>3401</v>
      </c>
      <c r="L567" t="s">
        <v>2046</v>
      </c>
      <c r="M567" t="s">
        <v>3402</v>
      </c>
      <c r="N567" t="s">
        <v>3403</v>
      </c>
      <c r="O567" t="s">
        <v>3404</v>
      </c>
      <c r="P567" t="s">
        <v>3405</v>
      </c>
      <c r="Q567" t="s">
        <v>3406</v>
      </c>
      <c r="R567" t="s">
        <v>14</v>
      </c>
      <c r="S567" t="s">
        <v>3402</v>
      </c>
      <c r="T567" t="s">
        <v>3403</v>
      </c>
      <c r="U567" t="s">
        <v>2030</v>
      </c>
      <c r="V567" t="s">
        <v>14</v>
      </c>
      <c r="W567" t="b">
        <v>1</v>
      </c>
      <c r="X567" t="s">
        <v>3407</v>
      </c>
      <c r="Y567" t="b">
        <v>0</v>
      </c>
      <c r="Z567" t="s">
        <v>2081</v>
      </c>
    </row>
    <row r="568" spans="1:26" x14ac:dyDescent="0.35">
      <c r="A568" t="s">
        <v>335</v>
      </c>
      <c r="B568" t="s">
        <v>336</v>
      </c>
      <c r="C568" t="s">
        <v>3167</v>
      </c>
      <c r="D568" t="s">
        <v>1963</v>
      </c>
      <c r="E568" t="s">
        <v>2020</v>
      </c>
      <c r="F568" t="s">
        <v>2021</v>
      </c>
      <c r="G568" t="s">
        <v>2022</v>
      </c>
      <c r="H568" t="s">
        <v>2023</v>
      </c>
      <c r="I568" t="s">
        <v>3400</v>
      </c>
      <c r="J568" t="s">
        <v>1963</v>
      </c>
      <c r="K568" t="s">
        <v>3401</v>
      </c>
      <c r="L568" t="s">
        <v>2046</v>
      </c>
      <c r="M568" t="s">
        <v>3402</v>
      </c>
      <c r="N568" t="s">
        <v>3403</v>
      </c>
      <c r="O568" t="s">
        <v>3404</v>
      </c>
      <c r="P568" t="s">
        <v>3405</v>
      </c>
      <c r="Q568" t="s">
        <v>3406</v>
      </c>
      <c r="R568" t="s">
        <v>14</v>
      </c>
      <c r="S568" t="s">
        <v>3402</v>
      </c>
      <c r="T568" t="s">
        <v>3403</v>
      </c>
      <c r="U568" t="s">
        <v>2030</v>
      </c>
      <c r="V568" t="s">
        <v>14</v>
      </c>
      <c r="W568" t="b">
        <v>1</v>
      </c>
      <c r="X568" t="s">
        <v>3407</v>
      </c>
      <c r="Y568" t="b">
        <v>0</v>
      </c>
      <c r="Z568" t="s">
        <v>2081</v>
      </c>
    </row>
    <row r="569" spans="1:26" x14ac:dyDescent="0.35">
      <c r="A569" t="s">
        <v>335</v>
      </c>
      <c r="B569" t="s">
        <v>336</v>
      </c>
      <c r="C569" t="s">
        <v>3167</v>
      </c>
      <c r="D569" t="s">
        <v>1963</v>
      </c>
      <c r="E569" t="s">
        <v>2020</v>
      </c>
      <c r="F569" t="s">
        <v>2021</v>
      </c>
      <c r="G569" t="s">
        <v>2022</v>
      </c>
      <c r="H569" t="s">
        <v>2023</v>
      </c>
      <c r="I569" t="s">
        <v>3400</v>
      </c>
      <c r="J569" t="s">
        <v>1963</v>
      </c>
      <c r="K569" t="s">
        <v>3401</v>
      </c>
      <c r="L569" t="s">
        <v>2046</v>
      </c>
      <c r="M569" t="s">
        <v>3402</v>
      </c>
      <c r="N569" t="s">
        <v>3403</v>
      </c>
      <c r="O569" t="s">
        <v>3404</v>
      </c>
      <c r="P569" t="s">
        <v>3405</v>
      </c>
      <c r="Q569" t="s">
        <v>3406</v>
      </c>
      <c r="R569" t="s">
        <v>14</v>
      </c>
      <c r="S569" t="s">
        <v>3402</v>
      </c>
      <c r="T569" t="s">
        <v>3403</v>
      </c>
      <c r="U569" t="s">
        <v>2030</v>
      </c>
      <c r="V569" t="s">
        <v>14</v>
      </c>
      <c r="W569" t="b">
        <v>1</v>
      </c>
      <c r="X569" t="s">
        <v>3407</v>
      </c>
      <c r="Y569" t="b">
        <v>0</v>
      </c>
      <c r="Z569" t="s">
        <v>2081</v>
      </c>
    </row>
    <row r="570" spans="1:26" x14ac:dyDescent="0.35">
      <c r="A570" t="s">
        <v>335</v>
      </c>
      <c r="B570" t="s">
        <v>336</v>
      </c>
      <c r="C570" t="s">
        <v>3167</v>
      </c>
      <c r="D570" t="s">
        <v>1963</v>
      </c>
      <c r="E570" t="s">
        <v>2020</v>
      </c>
      <c r="F570" t="s">
        <v>2021</v>
      </c>
      <c r="G570" t="s">
        <v>2022</v>
      </c>
      <c r="H570" t="s">
        <v>2023</v>
      </c>
      <c r="I570" t="s">
        <v>3400</v>
      </c>
      <c r="J570" t="s">
        <v>1963</v>
      </c>
      <c r="K570" t="s">
        <v>3401</v>
      </c>
      <c r="L570" t="s">
        <v>2046</v>
      </c>
      <c r="M570" t="s">
        <v>3402</v>
      </c>
      <c r="N570" t="s">
        <v>3403</v>
      </c>
      <c r="O570" t="s">
        <v>3404</v>
      </c>
      <c r="P570" t="s">
        <v>3405</v>
      </c>
      <c r="Q570" t="s">
        <v>3406</v>
      </c>
      <c r="R570" t="s">
        <v>14</v>
      </c>
      <c r="S570" t="s">
        <v>3402</v>
      </c>
      <c r="T570" t="s">
        <v>3403</v>
      </c>
      <c r="U570" t="s">
        <v>2030</v>
      </c>
      <c r="V570" t="s">
        <v>14</v>
      </c>
      <c r="W570" t="b">
        <v>1</v>
      </c>
      <c r="X570" t="s">
        <v>3407</v>
      </c>
      <c r="Y570" t="b">
        <v>0</v>
      </c>
      <c r="Z570" t="s">
        <v>2081</v>
      </c>
    </row>
    <row r="571" spans="1:26" x14ac:dyDescent="0.35">
      <c r="A571" t="s">
        <v>337</v>
      </c>
      <c r="B571" t="s">
        <v>338</v>
      </c>
      <c r="C571" t="s">
        <v>3167</v>
      </c>
      <c r="D571" t="s">
        <v>1963</v>
      </c>
      <c r="E571" t="s">
        <v>2020</v>
      </c>
      <c r="F571" t="s">
        <v>2021</v>
      </c>
      <c r="G571" t="s">
        <v>2022</v>
      </c>
      <c r="H571" t="s">
        <v>2023</v>
      </c>
      <c r="I571" t="s">
        <v>3400</v>
      </c>
      <c r="J571" t="s">
        <v>1963</v>
      </c>
      <c r="K571" t="s">
        <v>3408</v>
      </c>
      <c r="L571" t="s">
        <v>2046</v>
      </c>
      <c r="M571" t="s">
        <v>3402</v>
      </c>
      <c r="N571" t="s">
        <v>3403</v>
      </c>
      <c r="O571" t="s">
        <v>3404</v>
      </c>
      <c r="P571" t="s">
        <v>3405</v>
      </c>
      <c r="Q571" t="s">
        <v>3406</v>
      </c>
      <c r="R571" t="s">
        <v>14</v>
      </c>
      <c r="S571" t="s">
        <v>3402</v>
      </c>
      <c r="T571" t="s">
        <v>3403</v>
      </c>
      <c r="U571" t="s">
        <v>2030</v>
      </c>
      <c r="V571" t="s">
        <v>14</v>
      </c>
      <c r="W571" t="b">
        <v>1</v>
      </c>
      <c r="X571" t="s">
        <v>3409</v>
      </c>
      <c r="Y571" t="b">
        <v>0</v>
      </c>
      <c r="Z571" t="s">
        <v>2081</v>
      </c>
    </row>
    <row r="572" spans="1:26" x14ac:dyDescent="0.35">
      <c r="A572" t="s">
        <v>339</v>
      </c>
      <c r="B572" t="s">
        <v>340</v>
      </c>
      <c r="C572" t="s">
        <v>3167</v>
      </c>
      <c r="D572" t="s">
        <v>1963</v>
      </c>
      <c r="E572" t="s">
        <v>2020</v>
      </c>
      <c r="F572" t="s">
        <v>2021</v>
      </c>
      <c r="G572" t="s">
        <v>2022</v>
      </c>
      <c r="H572" t="s">
        <v>2023</v>
      </c>
      <c r="I572" t="s">
        <v>3400</v>
      </c>
      <c r="J572" t="s">
        <v>1963</v>
      </c>
      <c r="K572" t="s">
        <v>3410</v>
      </c>
      <c r="L572" t="s">
        <v>2046</v>
      </c>
      <c r="M572" t="s">
        <v>3402</v>
      </c>
      <c r="N572" t="s">
        <v>3403</v>
      </c>
      <c r="O572" t="s">
        <v>3404</v>
      </c>
      <c r="P572" t="s">
        <v>3405</v>
      </c>
      <c r="Q572" t="s">
        <v>3406</v>
      </c>
      <c r="R572" t="s">
        <v>14</v>
      </c>
      <c r="S572" t="s">
        <v>3402</v>
      </c>
      <c r="T572" t="s">
        <v>3403</v>
      </c>
      <c r="U572" t="s">
        <v>2030</v>
      </c>
      <c r="V572" t="s">
        <v>14</v>
      </c>
      <c r="W572" t="b">
        <v>1</v>
      </c>
      <c r="X572" t="s">
        <v>3411</v>
      </c>
      <c r="Y572" t="b">
        <v>0</v>
      </c>
      <c r="Z572" t="s">
        <v>2081</v>
      </c>
    </row>
    <row r="573" spans="1:26" x14ac:dyDescent="0.35">
      <c r="A573" t="s">
        <v>341</v>
      </c>
      <c r="B573" t="s">
        <v>342</v>
      </c>
      <c r="C573" t="s">
        <v>3167</v>
      </c>
      <c r="D573" t="s">
        <v>1963</v>
      </c>
      <c r="E573" t="s">
        <v>2020</v>
      </c>
      <c r="F573" t="s">
        <v>2021</v>
      </c>
      <c r="G573" t="s">
        <v>2022</v>
      </c>
      <c r="H573" t="s">
        <v>2023</v>
      </c>
      <c r="I573" t="s">
        <v>3400</v>
      </c>
      <c r="J573" t="s">
        <v>1963</v>
      </c>
      <c r="K573" t="s">
        <v>3412</v>
      </c>
      <c r="L573" t="s">
        <v>2046</v>
      </c>
      <c r="M573" t="s">
        <v>3402</v>
      </c>
      <c r="N573" t="s">
        <v>3403</v>
      </c>
      <c r="O573" t="s">
        <v>3404</v>
      </c>
      <c r="P573" t="s">
        <v>3405</v>
      </c>
      <c r="Q573" t="s">
        <v>3406</v>
      </c>
      <c r="R573" t="s">
        <v>14</v>
      </c>
      <c r="S573" t="s">
        <v>3402</v>
      </c>
      <c r="T573" t="s">
        <v>3403</v>
      </c>
      <c r="U573" t="s">
        <v>2030</v>
      </c>
      <c r="V573" t="s">
        <v>14</v>
      </c>
      <c r="W573" t="b">
        <v>1</v>
      </c>
      <c r="X573" t="s">
        <v>3413</v>
      </c>
      <c r="Y573" t="b">
        <v>0</v>
      </c>
      <c r="Z573" t="s">
        <v>2081</v>
      </c>
    </row>
    <row r="574" spans="1:26" x14ac:dyDescent="0.35">
      <c r="A574" t="s">
        <v>343</v>
      </c>
      <c r="B574" t="s">
        <v>344</v>
      </c>
      <c r="C574" t="s">
        <v>2335</v>
      </c>
      <c r="D574" t="s">
        <v>1963</v>
      </c>
      <c r="E574" t="s">
        <v>3072</v>
      </c>
      <c r="F574" t="s">
        <v>3073</v>
      </c>
      <c r="G574" t="s">
        <v>3202</v>
      </c>
      <c r="H574" t="s">
        <v>2023</v>
      </c>
      <c r="I574" t="s">
        <v>2132</v>
      </c>
      <c r="J574" t="s">
        <v>1963</v>
      </c>
      <c r="K574" t="s">
        <v>3414</v>
      </c>
      <c r="L574" t="s">
        <v>2046</v>
      </c>
      <c r="M574" t="s">
        <v>2058</v>
      </c>
      <c r="N574" t="s">
        <v>2059</v>
      </c>
      <c r="O574" t="s">
        <v>2060</v>
      </c>
      <c r="P574" t="s">
        <v>2061</v>
      </c>
      <c r="Q574" t="s">
        <v>2062</v>
      </c>
      <c r="R574" t="s">
        <v>14</v>
      </c>
      <c r="S574" t="s">
        <v>2134</v>
      </c>
      <c r="T574" t="s">
        <v>2135</v>
      </c>
      <c r="U574" t="s">
        <v>2052</v>
      </c>
      <c r="V574" t="s">
        <v>14</v>
      </c>
      <c r="W574" t="b">
        <v>1</v>
      </c>
      <c r="X574" t="s">
        <v>345</v>
      </c>
      <c r="Y574" t="b">
        <v>0</v>
      </c>
      <c r="Z574" t="s">
        <v>2053</v>
      </c>
    </row>
    <row r="575" spans="1:26" x14ac:dyDescent="0.35">
      <c r="A575" t="s">
        <v>346</v>
      </c>
      <c r="B575" t="s">
        <v>347</v>
      </c>
      <c r="C575" t="s">
        <v>3167</v>
      </c>
      <c r="D575" t="s">
        <v>1963</v>
      </c>
      <c r="E575" t="s">
        <v>2020</v>
      </c>
      <c r="F575" t="s">
        <v>2055</v>
      </c>
      <c r="G575" t="s">
        <v>2056</v>
      </c>
      <c r="H575" t="s">
        <v>2023</v>
      </c>
      <c r="I575" t="s">
        <v>3415</v>
      </c>
      <c r="J575" t="s">
        <v>1963</v>
      </c>
      <c r="K575" t="s">
        <v>3416</v>
      </c>
      <c r="L575" t="s">
        <v>2046</v>
      </c>
      <c r="M575" t="s">
        <v>14</v>
      </c>
      <c r="N575" t="s">
        <v>14</v>
      </c>
      <c r="O575" t="s">
        <v>2047</v>
      </c>
      <c r="P575" t="s">
        <v>2048</v>
      </c>
      <c r="Q575" t="s">
        <v>14</v>
      </c>
      <c r="R575" t="s">
        <v>14</v>
      </c>
      <c r="S575" t="s">
        <v>14</v>
      </c>
      <c r="T575" t="s">
        <v>14</v>
      </c>
      <c r="U575" t="s">
        <v>2052</v>
      </c>
      <c r="V575" t="s">
        <v>14</v>
      </c>
      <c r="W575" t="b">
        <v>1</v>
      </c>
      <c r="X575" t="s">
        <v>3417</v>
      </c>
      <c r="Y575" t="b">
        <v>0</v>
      </c>
      <c r="Z575" t="s">
        <v>2081</v>
      </c>
    </row>
    <row r="576" spans="1:26" x14ac:dyDescent="0.35">
      <c r="A576" t="s">
        <v>346</v>
      </c>
      <c r="B576" t="s">
        <v>347</v>
      </c>
      <c r="C576" t="s">
        <v>3167</v>
      </c>
      <c r="D576" t="s">
        <v>1963</v>
      </c>
      <c r="E576" t="s">
        <v>2020</v>
      </c>
      <c r="F576" t="s">
        <v>2055</v>
      </c>
      <c r="G576" t="s">
        <v>2056</v>
      </c>
      <c r="H576" t="s">
        <v>2023</v>
      </c>
      <c r="I576" t="s">
        <v>3418</v>
      </c>
      <c r="J576" t="s">
        <v>1963</v>
      </c>
      <c r="K576" t="s">
        <v>3416</v>
      </c>
      <c r="L576" t="s">
        <v>2046</v>
      </c>
      <c r="M576" t="s">
        <v>2026</v>
      </c>
      <c r="N576" t="s">
        <v>2027</v>
      </c>
      <c r="O576" t="s">
        <v>2028</v>
      </c>
      <c r="P576" t="s">
        <v>2029</v>
      </c>
      <c r="Q576" t="s">
        <v>2990</v>
      </c>
      <c r="R576" t="s">
        <v>14</v>
      </c>
      <c r="S576" t="s">
        <v>2991</v>
      </c>
      <c r="T576" t="s">
        <v>2992</v>
      </c>
      <c r="U576" t="s">
        <v>2030</v>
      </c>
      <c r="V576" t="s">
        <v>14</v>
      </c>
      <c r="W576" t="b">
        <v>1</v>
      </c>
      <c r="X576" t="s">
        <v>3417</v>
      </c>
      <c r="Y576" t="b">
        <v>1</v>
      </c>
      <c r="Z576" t="s">
        <v>2032</v>
      </c>
    </row>
    <row r="577" spans="1:26" x14ac:dyDescent="0.35">
      <c r="A577" t="s">
        <v>348</v>
      </c>
      <c r="B577" t="s">
        <v>349</v>
      </c>
      <c r="C577" t="s">
        <v>3167</v>
      </c>
      <c r="D577" t="s">
        <v>1963</v>
      </c>
      <c r="E577" t="s">
        <v>2020</v>
      </c>
      <c r="F577" t="s">
        <v>2021</v>
      </c>
      <c r="G577" t="s">
        <v>2022</v>
      </c>
      <c r="H577" t="s">
        <v>2023</v>
      </c>
      <c r="I577" t="s">
        <v>3418</v>
      </c>
      <c r="J577" t="s">
        <v>1963</v>
      </c>
      <c r="K577" t="s">
        <v>3419</v>
      </c>
      <c r="L577" t="s">
        <v>2046</v>
      </c>
      <c r="M577" t="s">
        <v>2026</v>
      </c>
      <c r="N577" t="s">
        <v>2027</v>
      </c>
      <c r="O577" t="s">
        <v>2028</v>
      </c>
      <c r="P577" t="s">
        <v>2029</v>
      </c>
      <c r="Q577" t="s">
        <v>2990</v>
      </c>
      <c r="R577" t="s">
        <v>14</v>
      </c>
      <c r="S577" t="s">
        <v>2991</v>
      </c>
      <c r="T577" t="s">
        <v>2992</v>
      </c>
      <c r="U577" t="s">
        <v>2030</v>
      </c>
      <c r="V577" t="s">
        <v>14</v>
      </c>
      <c r="W577" t="b">
        <v>1</v>
      </c>
      <c r="X577" t="s">
        <v>3420</v>
      </c>
      <c r="Y577" t="b">
        <v>1</v>
      </c>
      <c r="Z577" t="s">
        <v>2032</v>
      </c>
    </row>
    <row r="578" spans="1:26" x14ac:dyDescent="0.35">
      <c r="A578" t="s">
        <v>350</v>
      </c>
      <c r="B578" t="s">
        <v>351</v>
      </c>
      <c r="C578" t="s">
        <v>3167</v>
      </c>
      <c r="D578" t="s">
        <v>1963</v>
      </c>
      <c r="E578" t="s">
        <v>2020</v>
      </c>
      <c r="F578" t="s">
        <v>2021</v>
      </c>
      <c r="G578" t="s">
        <v>2022</v>
      </c>
      <c r="H578" t="s">
        <v>2023</v>
      </c>
      <c r="I578" t="s">
        <v>3418</v>
      </c>
      <c r="J578" t="s">
        <v>1963</v>
      </c>
      <c r="K578" t="s">
        <v>3421</v>
      </c>
      <c r="L578" t="s">
        <v>2046</v>
      </c>
      <c r="M578" t="s">
        <v>2026</v>
      </c>
      <c r="N578" t="s">
        <v>2027</v>
      </c>
      <c r="O578" t="s">
        <v>2028</v>
      </c>
      <c r="P578" t="s">
        <v>2029</v>
      </c>
      <c r="Q578" t="s">
        <v>2990</v>
      </c>
      <c r="R578" t="s">
        <v>14</v>
      </c>
      <c r="S578" t="s">
        <v>2991</v>
      </c>
      <c r="T578" t="s">
        <v>2992</v>
      </c>
      <c r="U578" t="s">
        <v>2030</v>
      </c>
      <c r="V578" t="s">
        <v>14</v>
      </c>
      <c r="W578" t="b">
        <v>1</v>
      </c>
      <c r="X578" t="s">
        <v>3422</v>
      </c>
      <c r="Y578" t="b">
        <v>1</v>
      </c>
      <c r="Z578" t="s">
        <v>2032</v>
      </c>
    </row>
    <row r="579" spans="1:26" x14ac:dyDescent="0.35">
      <c r="A579" t="s">
        <v>352</v>
      </c>
      <c r="B579" t="s">
        <v>353</v>
      </c>
      <c r="C579" t="s">
        <v>3167</v>
      </c>
      <c r="D579" t="s">
        <v>1963</v>
      </c>
      <c r="E579" t="s">
        <v>2020</v>
      </c>
      <c r="F579" t="s">
        <v>2021</v>
      </c>
      <c r="G579" t="s">
        <v>2022</v>
      </c>
      <c r="H579" t="s">
        <v>2023</v>
      </c>
      <c r="I579" t="s">
        <v>3011</v>
      </c>
      <c r="J579" t="s">
        <v>1963</v>
      </c>
      <c r="K579" t="s">
        <v>3423</v>
      </c>
      <c r="L579" t="s">
        <v>2046</v>
      </c>
      <c r="M579" t="s">
        <v>3013</v>
      </c>
      <c r="N579" t="s">
        <v>3014</v>
      </c>
      <c r="O579" t="s">
        <v>3013</v>
      </c>
      <c r="P579" t="s">
        <v>3014</v>
      </c>
      <c r="Q579" t="s">
        <v>14</v>
      </c>
      <c r="R579" t="s">
        <v>14</v>
      </c>
      <c r="S579" t="s">
        <v>14</v>
      </c>
      <c r="T579" t="s">
        <v>14</v>
      </c>
      <c r="U579" t="s">
        <v>3015</v>
      </c>
      <c r="V579" t="s">
        <v>14</v>
      </c>
      <c r="W579" t="b">
        <v>1</v>
      </c>
      <c r="X579" t="s">
        <v>3424</v>
      </c>
      <c r="Y579" t="b">
        <v>0</v>
      </c>
      <c r="Z579" t="s">
        <v>2053</v>
      </c>
    </row>
    <row r="580" spans="1:26" x14ac:dyDescent="0.35">
      <c r="A580" t="s">
        <v>354</v>
      </c>
      <c r="B580" t="s">
        <v>355</v>
      </c>
      <c r="C580" t="s">
        <v>3167</v>
      </c>
      <c r="D580" t="s">
        <v>1963</v>
      </c>
      <c r="E580" t="s">
        <v>2020</v>
      </c>
      <c r="F580" t="s">
        <v>2021</v>
      </c>
      <c r="G580" t="s">
        <v>2022</v>
      </c>
      <c r="H580" t="s">
        <v>2023</v>
      </c>
      <c r="I580" t="s">
        <v>3425</v>
      </c>
      <c r="J580" t="s">
        <v>1963</v>
      </c>
      <c r="K580" t="s">
        <v>3426</v>
      </c>
      <c r="L580" t="s">
        <v>2046</v>
      </c>
      <c r="M580" t="s">
        <v>3427</v>
      </c>
      <c r="N580" t="s">
        <v>3428</v>
      </c>
      <c r="O580" t="s">
        <v>2214</v>
      </c>
      <c r="P580" t="s">
        <v>2215</v>
      </c>
      <c r="Q580" t="s">
        <v>2103</v>
      </c>
      <c r="R580" t="s">
        <v>14</v>
      </c>
      <c r="S580" t="s">
        <v>2101</v>
      </c>
      <c r="T580" t="s">
        <v>2102</v>
      </c>
      <c r="U580" t="s">
        <v>2052</v>
      </c>
      <c r="V580" t="s">
        <v>14</v>
      </c>
      <c r="W580" t="b">
        <v>1</v>
      </c>
      <c r="X580" t="s">
        <v>3429</v>
      </c>
      <c r="Y580" t="b">
        <v>0</v>
      </c>
      <c r="Z580" t="s">
        <v>2053</v>
      </c>
    </row>
    <row r="581" spans="1:26" x14ac:dyDescent="0.35">
      <c r="A581" t="s">
        <v>354</v>
      </c>
      <c r="B581" t="s">
        <v>355</v>
      </c>
      <c r="C581" t="s">
        <v>3167</v>
      </c>
      <c r="D581" t="s">
        <v>1963</v>
      </c>
      <c r="E581" t="s">
        <v>2020</v>
      </c>
      <c r="F581" t="s">
        <v>2021</v>
      </c>
      <c r="G581" t="s">
        <v>2022</v>
      </c>
      <c r="H581" t="s">
        <v>2023</v>
      </c>
      <c r="I581" t="s">
        <v>3430</v>
      </c>
      <c r="J581" t="s">
        <v>1963</v>
      </c>
      <c r="K581" t="s">
        <v>3426</v>
      </c>
      <c r="L581" t="s">
        <v>2046</v>
      </c>
      <c r="M581" t="s">
        <v>3431</v>
      </c>
      <c r="N581" t="s">
        <v>3432</v>
      </c>
      <c r="O581" t="s">
        <v>2362</v>
      </c>
      <c r="P581" t="s">
        <v>2363</v>
      </c>
      <c r="Q581" t="s">
        <v>2844</v>
      </c>
      <c r="R581" t="s">
        <v>14</v>
      </c>
      <c r="S581" t="s">
        <v>3433</v>
      </c>
      <c r="T581" t="s">
        <v>3434</v>
      </c>
      <c r="U581" t="s">
        <v>2171</v>
      </c>
      <c r="V581" t="s">
        <v>14</v>
      </c>
      <c r="W581" t="b">
        <v>1</v>
      </c>
      <c r="X581" t="s">
        <v>3429</v>
      </c>
      <c r="Y581" t="b">
        <v>0</v>
      </c>
      <c r="Z581" t="s">
        <v>2081</v>
      </c>
    </row>
    <row r="582" spans="1:26" x14ac:dyDescent="0.35">
      <c r="A582" t="s">
        <v>357</v>
      </c>
      <c r="B582" t="s">
        <v>358</v>
      </c>
      <c r="C582" t="s">
        <v>2967</v>
      </c>
      <c r="D582" t="s">
        <v>1963</v>
      </c>
      <c r="E582" t="s">
        <v>2020</v>
      </c>
      <c r="F582" t="s">
        <v>2021</v>
      </c>
      <c r="G582" t="s">
        <v>2022</v>
      </c>
      <c r="H582" t="s">
        <v>2023</v>
      </c>
      <c r="I582" t="s">
        <v>3435</v>
      </c>
      <c r="J582" t="s">
        <v>1963</v>
      </c>
      <c r="K582" t="s">
        <v>3436</v>
      </c>
      <c r="L582" t="s">
        <v>2046</v>
      </c>
      <c r="M582" t="s">
        <v>3437</v>
      </c>
      <c r="N582" t="s">
        <v>3438</v>
      </c>
      <c r="O582" t="s">
        <v>2362</v>
      </c>
      <c r="P582" t="s">
        <v>2363</v>
      </c>
      <c r="Q582" t="s">
        <v>3004</v>
      </c>
      <c r="R582" t="s">
        <v>14</v>
      </c>
      <c r="S582" t="s">
        <v>3005</v>
      </c>
      <c r="T582" t="s">
        <v>3006</v>
      </c>
      <c r="U582" t="s">
        <v>2171</v>
      </c>
      <c r="V582" t="s">
        <v>14</v>
      </c>
      <c r="W582" t="b">
        <v>1</v>
      </c>
      <c r="X582" t="s">
        <v>3439</v>
      </c>
      <c r="Y582" t="b">
        <v>0</v>
      </c>
      <c r="Z582" t="s">
        <v>2081</v>
      </c>
    </row>
    <row r="583" spans="1:26" x14ac:dyDescent="0.35">
      <c r="A583" t="s">
        <v>359</v>
      </c>
      <c r="B583" t="s">
        <v>360</v>
      </c>
      <c r="C583" t="s">
        <v>3167</v>
      </c>
      <c r="D583" t="s">
        <v>1963</v>
      </c>
      <c r="E583" t="s">
        <v>2020</v>
      </c>
      <c r="F583" t="s">
        <v>2055</v>
      </c>
      <c r="G583" t="s">
        <v>2056</v>
      </c>
      <c r="H583" t="s">
        <v>2023</v>
      </c>
      <c r="I583" t="s">
        <v>3440</v>
      </c>
      <c r="J583" t="s">
        <v>1963</v>
      </c>
      <c r="K583" t="s">
        <v>3441</v>
      </c>
      <c r="L583" t="s">
        <v>2046</v>
      </c>
      <c r="M583" t="s">
        <v>3442</v>
      </c>
      <c r="N583" t="s">
        <v>3443</v>
      </c>
      <c r="O583" t="s">
        <v>3013</v>
      </c>
      <c r="P583" t="s">
        <v>3014</v>
      </c>
      <c r="Q583" t="s">
        <v>14</v>
      </c>
      <c r="R583" t="s">
        <v>14</v>
      </c>
      <c r="S583" t="s">
        <v>14</v>
      </c>
      <c r="T583" t="s">
        <v>14</v>
      </c>
      <c r="U583" t="s">
        <v>3015</v>
      </c>
      <c r="V583" t="s">
        <v>14</v>
      </c>
      <c r="W583" t="b">
        <v>1</v>
      </c>
      <c r="X583" t="s">
        <v>3444</v>
      </c>
      <c r="Y583" t="b">
        <v>0</v>
      </c>
      <c r="Z583" t="s">
        <v>2053</v>
      </c>
    </row>
    <row r="584" spans="1:26" x14ac:dyDescent="0.35">
      <c r="A584" t="s">
        <v>361</v>
      </c>
      <c r="B584" t="s">
        <v>362</v>
      </c>
      <c r="C584" t="s">
        <v>3167</v>
      </c>
      <c r="D584" t="s">
        <v>1963</v>
      </c>
      <c r="E584" t="s">
        <v>2020</v>
      </c>
      <c r="F584" t="s">
        <v>2021</v>
      </c>
      <c r="G584" t="s">
        <v>2022</v>
      </c>
      <c r="H584" t="s">
        <v>2023</v>
      </c>
      <c r="I584" t="s">
        <v>3445</v>
      </c>
      <c r="J584" t="s">
        <v>1963</v>
      </c>
      <c r="K584" t="s">
        <v>3446</v>
      </c>
      <c r="L584" t="s">
        <v>2046</v>
      </c>
      <c r="M584" t="s">
        <v>2782</v>
      </c>
      <c r="N584" t="s">
        <v>2783</v>
      </c>
      <c r="O584" t="s">
        <v>2101</v>
      </c>
      <c r="P584" t="s">
        <v>2102</v>
      </c>
      <c r="Q584" t="s">
        <v>2103</v>
      </c>
      <c r="R584" t="s">
        <v>14</v>
      </c>
      <c r="S584" t="s">
        <v>2101</v>
      </c>
      <c r="T584" t="s">
        <v>2102</v>
      </c>
      <c r="U584" t="s">
        <v>2052</v>
      </c>
      <c r="V584" t="s">
        <v>14</v>
      </c>
      <c r="W584" t="b">
        <v>1</v>
      </c>
      <c r="X584" t="s">
        <v>3447</v>
      </c>
      <c r="Y584" t="b">
        <v>0</v>
      </c>
      <c r="Z584" t="s">
        <v>2053</v>
      </c>
    </row>
    <row r="585" spans="1:26" x14ac:dyDescent="0.35">
      <c r="A585" t="s">
        <v>361</v>
      </c>
      <c r="B585" t="s">
        <v>362</v>
      </c>
      <c r="C585" t="s">
        <v>3167</v>
      </c>
      <c r="D585" t="s">
        <v>1963</v>
      </c>
      <c r="E585" t="s">
        <v>2020</v>
      </c>
      <c r="F585" t="s">
        <v>2021</v>
      </c>
      <c r="G585" t="s">
        <v>2022</v>
      </c>
      <c r="H585" t="s">
        <v>2023</v>
      </c>
      <c r="I585" t="s">
        <v>3448</v>
      </c>
      <c r="J585" t="s">
        <v>1963</v>
      </c>
      <c r="K585" t="s">
        <v>3446</v>
      </c>
      <c r="L585" t="s">
        <v>2046</v>
      </c>
      <c r="M585" t="s">
        <v>3449</v>
      </c>
      <c r="N585" t="s">
        <v>3450</v>
      </c>
      <c r="O585" t="s">
        <v>2101</v>
      </c>
      <c r="P585" t="s">
        <v>2102</v>
      </c>
      <c r="Q585" t="s">
        <v>2103</v>
      </c>
      <c r="R585" t="s">
        <v>14</v>
      </c>
      <c r="S585" t="s">
        <v>2101</v>
      </c>
      <c r="T585" t="s">
        <v>2102</v>
      </c>
      <c r="U585" t="s">
        <v>2052</v>
      </c>
      <c r="V585" t="s">
        <v>14</v>
      </c>
      <c r="W585" t="b">
        <v>1</v>
      </c>
      <c r="X585" t="s">
        <v>3447</v>
      </c>
      <c r="Y585" t="b">
        <v>0</v>
      </c>
      <c r="Z585" t="s">
        <v>2053</v>
      </c>
    </row>
    <row r="586" spans="1:26" x14ac:dyDescent="0.35">
      <c r="A586" t="s">
        <v>363</v>
      </c>
      <c r="B586" t="s">
        <v>364</v>
      </c>
      <c r="C586" t="s">
        <v>3167</v>
      </c>
      <c r="D586" t="s">
        <v>1963</v>
      </c>
      <c r="E586" t="s">
        <v>2020</v>
      </c>
      <c r="F586" t="s">
        <v>2021</v>
      </c>
      <c r="G586" t="s">
        <v>2022</v>
      </c>
      <c r="H586" t="s">
        <v>2023</v>
      </c>
      <c r="I586" t="s">
        <v>3448</v>
      </c>
      <c r="J586" t="s">
        <v>1963</v>
      </c>
      <c r="K586" t="s">
        <v>3451</v>
      </c>
      <c r="L586" t="s">
        <v>2046</v>
      </c>
      <c r="M586" t="s">
        <v>3449</v>
      </c>
      <c r="N586" t="s">
        <v>3450</v>
      </c>
      <c r="O586" t="s">
        <v>2101</v>
      </c>
      <c r="P586" t="s">
        <v>2102</v>
      </c>
      <c r="Q586" t="s">
        <v>2103</v>
      </c>
      <c r="R586" t="s">
        <v>14</v>
      </c>
      <c r="S586" t="s">
        <v>2101</v>
      </c>
      <c r="T586" t="s">
        <v>2102</v>
      </c>
      <c r="U586" t="s">
        <v>2052</v>
      </c>
      <c r="V586" t="s">
        <v>14</v>
      </c>
      <c r="W586" t="b">
        <v>1</v>
      </c>
      <c r="X586" t="s">
        <v>3452</v>
      </c>
      <c r="Y586" t="b">
        <v>0</v>
      </c>
      <c r="Z586" t="s">
        <v>2053</v>
      </c>
    </row>
    <row r="587" spans="1:26" x14ac:dyDescent="0.35">
      <c r="A587" t="s">
        <v>365</v>
      </c>
      <c r="B587" t="s">
        <v>366</v>
      </c>
      <c r="C587" t="s">
        <v>3167</v>
      </c>
      <c r="D587" t="s">
        <v>1963</v>
      </c>
      <c r="E587" t="s">
        <v>2020</v>
      </c>
      <c r="F587" t="s">
        <v>2021</v>
      </c>
      <c r="G587" t="s">
        <v>2022</v>
      </c>
      <c r="H587" t="s">
        <v>2023</v>
      </c>
      <c r="I587" t="s">
        <v>3017</v>
      </c>
      <c r="J587" t="s">
        <v>1963</v>
      </c>
      <c r="K587" t="s">
        <v>3453</v>
      </c>
      <c r="L587" t="s">
        <v>2046</v>
      </c>
      <c r="M587" t="s">
        <v>3019</v>
      </c>
      <c r="N587" t="s">
        <v>3020</v>
      </c>
      <c r="O587" t="s">
        <v>3013</v>
      </c>
      <c r="P587" t="s">
        <v>3014</v>
      </c>
      <c r="Q587" t="s">
        <v>3021</v>
      </c>
      <c r="R587" t="s">
        <v>14</v>
      </c>
      <c r="S587" t="s">
        <v>14</v>
      </c>
      <c r="T587" t="s">
        <v>14</v>
      </c>
      <c r="U587" t="s">
        <v>3015</v>
      </c>
      <c r="V587" t="s">
        <v>14</v>
      </c>
      <c r="W587" t="b">
        <v>1</v>
      </c>
      <c r="X587" t="s">
        <v>3454</v>
      </c>
      <c r="Y587" t="b">
        <v>0</v>
      </c>
      <c r="Z587" t="s">
        <v>2053</v>
      </c>
    </row>
    <row r="588" spans="1:26" x14ac:dyDescent="0.35">
      <c r="A588" t="s">
        <v>365</v>
      </c>
      <c r="B588" t="s">
        <v>366</v>
      </c>
      <c r="C588" t="s">
        <v>3167</v>
      </c>
      <c r="D588" t="s">
        <v>1963</v>
      </c>
      <c r="E588" t="s">
        <v>2020</v>
      </c>
      <c r="F588" t="s">
        <v>2021</v>
      </c>
      <c r="G588" t="s">
        <v>2022</v>
      </c>
      <c r="H588" t="s">
        <v>2023</v>
      </c>
      <c r="I588" t="s">
        <v>3455</v>
      </c>
      <c r="J588" t="s">
        <v>1963</v>
      </c>
      <c r="K588" t="s">
        <v>3453</v>
      </c>
      <c r="L588" t="s">
        <v>2046</v>
      </c>
      <c r="M588" t="s">
        <v>3456</v>
      </c>
      <c r="N588" t="s">
        <v>3457</v>
      </c>
      <c r="O588" t="s">
        <v>3035</v>
      </c>
      <c r="P588" t="s">
        <v>3036</v>
      </c>
      <c r="Q588" t="s">
        <v>14</v>
      </c>
      <c r="R588" t="s">
        <v>14</v>
      </c>
      <c r="S588" t="s">
        <v>14</v>
      </c>
      <c r="T588" t="s">
        <v>14</v>
      </c>
      <c r="U588" t="s">
        <v>3015</v>
      </c>
      <c r="V588" t="s">
        <v>14</v>
      </c>
      <c r="W588" t="b">
        <v>1</v>
      </c>
      <c r="X588" t="s">
        <v>3454</v>
      </c>
      <c r="Y588" t="b">
        <v>0</v>
      </c>
      <c r="Z588" t="s">
        <v>2053</v>
      </c>
    </row>
    <row r="589" spans="1:26" x14ac:dyDescent="0.35">
      <c r="A589" t="s">
        <v>365</v>
      </c>
      <c r="B589" t="s">
        <v>366</v>
      </c>
      <c r="C589" t="s">
        <v>3167</v>
      </c>
      <c r="D589" t="s">
        <v>1963</v>
      </c>
      <c r="E589" t="s">
        <v>2020</v>
      </c>
      <c r="F589" t="s">
        <v>2021</v>
      </c>
      <c r="G589" t="s">
        <v>2022</v>
      </c>
      <c r="H589" t="s">
        <v>2023</v>
      </c>
      <c r="I589" t="s">
        <v>3458</v>
      </c>
      <c r="J589" t="s">
        <v>1963</v>
      </c>
      <c r="K589" t="s">
        <v>3453</v>
      </c>
      <c r="L589" t="s">
        <v>2046</v>
      </c>
      <c r="M589" t="s">
        <v>3459</v>
      </c>
      <c r="N589" t="s">
        <v>3460</v>
      </c>
      <c r="O589" t="s">
        <v>2075</v>
      </c>
      <c r="P589" t="s">
        <v>2076</v>
      </c>
      <c r="Q589" t="s">
        <v>2077</v>
      </c>
      <c r="R589" t="s">
        <v>14</v>
      </c>
      <c r="S589" t="s">
        <v>2078</v>
      </c>
      <c r="T589" t="s">
        <v>2079</v>
      </c>
      <c r="U589" t="s">
        <v>2080</v>
      </c>
      <c r="V589" t="s">
        <v>14</v>
      </c>
      <c r="W589" t="b">
        <v>1</v>
      </c>
      <c r="X589" t="s">
        <v>3454</v>
      </c>
      <c r="Y589" t="b">
        <v>0</v>
      </c>
      <c r="Z589" t="s">
        <v>2053</v>
      </c>
    </row>
    <row r="590" spans="1:26" x14ac:dyDescent="0.35">
      <c r="A590" t="s">
        <v>367</v>
      </c>
      <c r="B590" t="s">
        <v>368</v>
      </c>
      <c r="C590" t="s">
        <v>3167</v>
      </c>
      <c r="D590" t="s">
        <v>1963</v>
      </c>
      <c r="E590" t="s">
        <v>2020</v>
      </c>
      <c r="F590" t="s">
        <v>2021</v>
      </c>
      <c r="G590" t="s">
        <v>2022</v>
      </c>
      <c r="H590" t="s">
        <v>2023</v>
      </c>
      <c r="I590" t="s">
        <v>3461</v>
      </c>
      <c r="J590" t="s">
        <v>1963</v>
      </c>
      <c r="K590" t="s">
        <v>3462</v>
      </c>
      <c r="L590" t="s">
        <v>2046</v>
      </c>
      <c r="M590" t="s">
        <v>3463</v>
      </c>
      <c r="N590" t="s">
        <v>3464</v>
      </c>
      <c r="O590" t="s">
        <v>2214</v>
      </c>
      <c r="P590" t="s">
        <v>2215</v>
      </c>
      <c r="Q590" t="s">
        <v>3465</v>
      </c>
      <c r="R590" t="s">
        <v>14</v>
      </c>
      <c r="S590" t="s">
        <v>3466</v>
      </c>
      <c r="T590" t="s">
        <v>3467</v>
      </c>
      <c r="U590" t="s">
        <v>2052</v>
      </c>
      <c r="V590" t="s">
        <v>14</v>
      </c>
      <c r="W590" t="b">
        <v>1</v>
      </c>
      <c r="X590" t="s">
        <v>3468</v>
      </c>
      <c r="Y590" t="b">
        <v>0</v>
      </c>
      <c r="Z590" t="s">
        <v>2053</v>
      </c>
    </row>
    <row r="591" spans="1:26" x14ac:dyDescent="0.35">
      <c r="A591" t="s">
        <v>369</v>
      </c>
      <c r="B591" t="s">
        <v>370</v>
      </c>
      <c r="C591" t="s">
        <v>3167</v>
      </c>
      <c r="D591" t="s">
        <v>1963</v>
      </c>
      <c r="E591" t="s">
        <v>2020</v>
      </c>
      <c r="F591" t="s">
        <v>2021</v>
      </c>
      <c r="G591" t="s">
        <v>2022</v>
      </c>
      <c r="H591" t="s">
        <v>2023</v>
      </c>
      <c r="I591" t="s">
        <v>3469</v>
      </c>
      <c r="J591" t="s">
        <v>1963</v>
      </c>
      <c r="K591" t="s">
        <v>3470</v>
      </c>
      <c r="L591" t="s">
        <v>2046</v>
      </c>
      <c r="M591" t="s">
        <v>2243</v>
      </c>
      <c r="N591" t="s">
        <v>2244</v>
      </c>
      <c r="O591" t="s">
        <v>2214</v>
      </c>
      <c r="P591" t="s">
        <v>2215</v>
      </c>
      <c r="Q591" t="s">
        <v>2295</v>
      </c>
      <c r="R591" t="s">
        <v>14</v>
      </c>
      <c r="S591" t="s">
        <v>2307</v>
      </c>
      <c r="T591" t="s">
        <v>2308</v>
      </c>
      <c r="U591" t="s">
        <v>2052</v>
      </c>
      <c r="V591" t="s">
        <v>14</v>
      </c>
      <c r="W591" t="b">
        <v>1</v>
      </c>
      <c r="X591" t="s">
        <v>3471</v>
      </c>
      <c r="Y591" t="b">
        <v>0</v>
      </c>
      <c r="Z591" t="s">
        <v>2053</v>
      </c>
    </row>
    <row r="592" spans="1:26" x14ac:dyDescent="0.35">
      <c r="A592" t="s">
        <v>371</v>
      </c>
      <c r="B592" t="s">
        <v>372</v>
      </c>
      <c r="C592" t="s">
        <v>3167</v>
      </c>
      <c r="D592" t="s">
        <v>1963</v>
      </c>
      <c r="E592" t="s">
        <v>2020</v>
      </c>
      <c r="F592" t="s">
        <v>2021</v>
      </c>
      <c r="G592" t="s">
        <v>2022</v>
      </c>
      <c r="H592" t="s">
        <v>2023</v>
      </c>
      <c r="I592" t="s">
        <v>3472</v>
      </c>
      <c r="J592" t="s">
        <v>1963</v>
      </c>
      <c r="K592" t="s">
        <v>3473</v>
      </c>
      <c r="L592" t="s">
        <v>2046</v>
      </c>
      <c r="M592" t="s">
        <v>2026</v>
      </c>
      <c r="N592" t="s">
        <v>2027</v>
      </c>
      <c r="O592" t="s">
        <v>2028</v>
      </c>
      <c r="P592" t="s">
        <v>2029</v>
      </c>
      <c r="Q592" t="s">
        <v>2990</v>
      </c>
      <c r="R592" t="s">
        <v>14</v>
      </c>
      <c r="S592" t="s">
        <v>3474</v>
      </c>
      <c r="T592" t="s">
        <v>3475</v>
      </c>
      <c r="U592" t="s">
        <v>2030</v>
      </c>
      <c r="V592" t="s">
        <v>14</v>
      </c>
      <c r="W592" t="b">
        <v>1</v>
      </c>
      <c r="X592" t="s">
        <v>3476</v>
      </c>
      <c r="Y592" t="b">
        <v>1</v>
      </c>
      <c r="Z592" t="s">
        <v>2081</v>
      </c>
    </row>
    <row r="593" spans="1:26" x14ac:dyDescent="0.35">
      <c r="A593" t="s">
        <v>373</v>
      </c>
      <c r="B593" t="s">
        <v>374</v>
      </c>
      <c r="C593" t="s">
        <v>3167</v>
      </c>
      <c r="D593" t="s">
        <v>1963</v>
      </c>
      <c r="E593" t="s">
        <v>2020</v>
      </c>
      <c r="F593" t="s">
        <v>2021</v>
      </c>
      <c r="G593" t="s">
        <v>2022</v>
      </c>
      <c r="H593" t="s">
        <v>2023</v>
      </c>
      <c r="I593" t="s">
        <v>3011</v>
      </c>
      <c r="J593" t="s">
        <v>1963</v>
      </c>
      <c r="K593" t="s">
        <v>3477</v>
      </c>
      <c r="L593" t="s">
        <v>2046</v>
      </c>
      <c r="M593" t="s">
        <v>3013</v>
      </c>
      <c r="N593" t="s">
        <v>3014</v>
      </c>
      <c r="O593" t="s">
        <v>3013</v>
      </c>
      <c r="P593" t="s">
        <v>3014</v>
      </c>
      <c r="Q593" t="s">
        <v>14</v>
      </c>
      <c r="R593" t="s">
        <v>14</v>
      </c>
      <c r="S593" t="s">
        <v>14</v>
      </c>
      <c r="T593" t="s">
        <v>14</v>
      </c>
      <c r="U593" t="s">
        <v>3015</v>
      </c>
      <c r="V593" t="s">
        <v>14</v>
      </c>
      <c r="W593" t="b">
        <v>1</v>
      </c>
      <c r="X593" t="s">
        <v>3478</v>
      </c>
      <c r="Y593" t="b">
        <v>0</v>
      </c>
      <c r="Z593" t="s">
        <v>2053</v>
      </c>
    </row>
    <row r="594" spans="1:26" x14ac:dyDescent="0.35">
      <c r="A594" t="s">
        <v>375</v>
      </c>
      <c r="B594" t="s">
        <v>376</v>
      </c>
      <c r="C594" t="s">
        <v>3167</v>
      </c>
      <c r="D594" t="s">
        <v>1963</v>
      </c>
      <c r="E594" t="s">
        <v>2020</v>
      </c>
      <c r="F594" t="s">
        <v>2021</v>
      </c>
      <c r="G594" t="s">
        <v>2022</v>
      </c>
      <c r="H594" t="s">
        <v>2023</v>
      </c>
      <c r="I594" t="s">
        <v>3479</v>
      </c>
      <c r="J594" t="s">
        <v>1963</v>
      </c>
      <c r="K594" t="s">
        <v>3480</v>
      </c>
      <c r="L594" t="s">
        <v>2046</v>
      </c>
      <c r="M594" t="s">
        <v>2222</v>
      </c>
      <c r="N594" t="s">
        <v>2223</v>
      </c>
      <c r="O594" t="s">
        <v>2222</v>
      </c>
      <c r="P594" t="s">
        <v>2223</v>
      </c>
      <c r="Q594" t="s">
        <v>14</v>
      </c>
      <c r="R594" t="s">
        <v>14</v>
      </c>
      <c r="S594" t="s">
        <v>14</v>
      </c>
      <c r="T594" t="s">
        <v>14</v>
      </c>
      <c r="U594" t="s">
        <v>2052</v>
      </c>
      <c r="V594" t="s">
        <v>14</v>
      </c>
      <c r="W594" t="b">
        <v>1</v>
      </c>
      <c r="X594" t="s">
        <v>3481</v>
      </c>
      <c r="Y594" t="b">
        <v>0</v>
      </c>
      <c r="Z594" t="s">
        <v>2053</v>
      </c>
    </row>
    <row r="595" spans="1:26" x14ac:dyDescent="0.35">
      <c r="A595" t="s">
        <v>375</v>
      </c>
      <c r="B595" t="s">
        <v>376</v>
      </c>
      <c r="C595" t="s">
        <v>3167</v>
      </c>
      <c r="D595" t="s">
        <v>1963</v>
      </c>
      <c r="E595" t="s">
        <v>2020</v>
      </c>
      <c r="F595" t="s">
        <v>2021</v>
      </c>
      <c r="G595" t="s">
        <v>2022</v>
      </c>
      <c r="H595" t="s">
        <v>2023</v>
      </c>
      <c r="I595" t="s">
        <v>3482</v>
      </c>
      <c r="J595" t="s">
        <v>1963</v>
      </c>
      <c r="K595" t="s">
        <v>3480</v>
      </c>
      <c r="L595" t="s">
        <v>2046</v>
      </c>
      <c r="M595" t="s">
        <v>3483</v>
      </c>
      <c r="N595" t="s">
        <v>3484</v>
      </c>
      <c r="O595" t="s">
        <v>3485</v>
      </c>
      <c r="P595" t="s">
        <v>3486</v>
      </c>
      <c r="Q595" t="s">
        <v>14</v>
      </c>
      <c r="R595" t="s">
        <v>14</v>
      </c>
      <c r="S595" t="s">
        <v>3487</v>
      </c>
      <c r="T595" t="s">
        <v>3488</v>
      </c>
      <c r="U595" t="s">
        <v>2171</v>
      </c>
      <c r="V595" t="s">
        <v>14</v>
      </c>
      <c r="W595" t="b">
        <v>1</v>
      </c>
      <c r="X595" t="s">
        <v>3481</v>
      </c>
      <c r="Y595" t="b">
        <v>0</v>
      </c>
      <c r="Z595" t="s">
        <v>2081</v>
      </c>
    </row>
    <row r="596" spans="1:26" x14ac:dyDescent="0.35">
      <c r="A596" t="s">
        <v>375</v>
      </c>
      <c r="B596" t="s">
        <v>376</v>
      </c>
      <c r="C596" t="s">
        <v>3167</v>
      </c>
      <c r="D596" t="s">
        <v>1963</v>
      </c>
      <c r="E596" t="s">
        <v>2020</v>
      </c>
      <c r="F596" t="s">
        <v>2021</v>
      </c>
      <c r="G596" t="s">
        <v>2022</v>
      </c>
      <c r="H596" t="s">
        <v>2023</v>
      </c>
      <c r="I596" t="s">
        <v>3489</v>
      </c>
      <c r="J596" t="s">
        <v>1963</v>
      </c>
      <c r="K596" t="s">
        <v>3480</v>
      </c>
      <c r="L596" t="s">
        <v>2046</v>
      </c>
      <c r="M596" t="s">
        <v>2226</v>
      </c>
      <c r="N596" t="s">
        <v>2227</v>
      </c>
      <c r="O596" t="s">
        <v>2047</v>
      </c>
      <c r="P596" t="s">
        <v>2048</v>
      </c>
      <c r="Q596" t="s">
        <v>3490</v>
      </c>
      <c r="R596" t="s">
        <v>14</v>
      </c>
      <c r="S596" t="s">
        <v>3491</v>
      </c>
      <c r="T596" t="s">
        <v>3492</v>
      </c>
      <c r="U596" t="s">
        <v>2052</v>
      </c>
      <c r="V596" t="s">
        <v>14</v>
      </c>
      <c r="W596" t="b">
        <v>1</v>
      </c>
      <c r="X596" t="s">
        <v>3481</v>
      </c>
      <c r="Y596" t="b">
        <v>0</v>
      </c>
      <c r="Z596" t="s">
        <v>2053</v>
      </c>
    </row>
    <row r="597" spans="1:26" x14ac:dyDescent="0.35">
      <c r="A597" t="s">
        <v>375</v>
      </c>
      <c r="B597" t="s">
        <v>376</v>
      </c>
      <c r="C597" t="s">
        <v>3167</v>
      </c>
      <c r="D597" t="s">
        <v>1963</v>
      </c>
      <c r="E597" t="s">
        <v>2020</v>
      </c>
      <c r="F597" t="s">
        <v>2021</v>
      </c>
      <c r="G597" t="s">
        <v>2022</v>
      </c>
      <c r="H597" t="s">
        <v>2023</v>
      </c>
      <c r="I597" t="s">
        <v>3493</v>
      </c>
      <c r="J597" t="s">
        <v>1963</v>
      </c>
      <c r="K597" t="s">
        <v>3480</v>
      </c>
      <c r="L597" t="s">
        <v>2046</v>
      </c>
      <c r="M597" t="s">
        <v>3483</v>
      </c>
      <c r="N597" t="s">
        <v>3484</v>
      </c>
      <c r="O597" t="s">
        <v>3485</v>
      </c>
      <c r="P597" t="s">
        <v>3486</v>
      </c>
      <c r="Q597" t="s">
        <v>14</v>
      </c>
      <c r="R597" t="s">
        <v>14</v>
      </c>
      <c r="S597" t="s">
        <v>3487</v>
      </c>
      <c r="T597" t="s">
        <v>3488</v>
      </c>
      <c r="U597" t="s">
        <v>2171</v>
      </c>
      <c r="V597" t="s">
        <v>14</v>
      </c>
      <c r="W597" t="b">
        <v>1</v>
      </c>
      <c r="X597" t="s">
        <v>3481</v>
      </c>
      <c r="Y597" t="b">
        <v>0</v>
      </c>
      <c r="Z597" t="s">
        <v>2081</v>
      </c>
    </row>
    <row r="598" spans="1:26" x14ac:dyDescent="0.35">
      <c r="A598" t="s">
        <v>375</v>
      </c>
      <c r="B598" t="s">
        <v>376</v>
      </c>
      <c r="C598" t="s">
        <v>3167</v>
      </c>
      <c r="D598" t="s">
        <v>1963</v>
      </c>
      <c r="E598" t="s">
        <v>2020</v>
      </c>
      <c r="F598" t="s">
        <v>2021</v>
      </c>
      <c r="G598" t="s">
        <v>2022</v>
      </c>
      <c r="H598" t="s">
        <v>2023</v>
      </c>
      <c r="I598" t="s">
        <v>3494</v>
      </c>
      <c r="J598" t="s">
        <v>1963</v>
      </c>
      <c r="K598" t="s">
        <v>3480</v>
      </c>
      <c r="L598" t="s">
        <v>2046</v>
      </c>
      <c r="M598" t="s">
        <v>3495</v>
      </c>
      <c r="N598" t="s">
        <v>3496</v>
      </c>
      <c r="O598" t="s">
        <v>2362</v>
      </c>
      <c r="P598" t="s">
        <v>2363</v>
      </c>
      <c r="Q598" t="s">
        <v>2844</v>
      </c>
      <c r="R598" t="s">
        <v>14</v>
      </c>
      <c r="S598" t="s">
        <v>3397</v>
      </c>
      <c r="T598" t="s">
        <v>3398</v>
      </c>
      <c r="U598" t="s">
        <v>2171</v>
      </c>
      <c r="V598" t="s">
        <v>14</v>
      </c>
      <c r="W598" t="b">
        <v>1</v>
      </c>
      <c r="X598" t="s">
        <v>3481</v>
      </c>
      <c r="Y598" t="b">
        <v>0</v>
      </c>
      <c r="Z598" t="s">
        <v>2053</v>
      </c>
    </row>
    <row r="599" spans="1:26" x14ac:dyDescent="0.35">
      <c r="A599" t="s">
        <v>375</v>
      </c>
      <c r="B599" t="s">
        <v>376</v>
      </c>
      <c r="C599" t="s">
        <v>3167</v>
      </c>
      <c r="D599" t="s">
        <v>1963</v>
      </c>
      <c r="E599" t="s">
        <v>2020</v>
      </c>
      <c r="F599" t="s">
        <v>2021</v>
      </c>
      <c r="G599" t="s">
        <v>2022</v>
      </c>
      <c r="H599" t="s">
        <v>2023</v>
      </c>
      <c r="I599" t="s">
        <v>3497</v>
      </c>
      <c r="J599" t="s">
        <v>1963</v>
      </c>
      <c r="K599" t="s">
        <v>3480</v>
      </c>
      <c r="L599" t="s">
        <v>2046</v>
      </c>
      <c r="M599" t="s">
        <v>2338</v>
      </c>
      <c r="N599" t="s">
        <v>2339</v>
      </c>
      <c r="O599" t="s">
        <v>2340</v>
      </c>
      <c r="P599" t="s">
        <v>2341</v>
      </c>
      <c r="Q599" t="s">
        <v>3498</v>
      </c>
      <c r="R599" t="s">
        <v>14</v>
      </c>
      <c r="S599" t="s">
        <v>2436</v>
      </c>
      <c r="T599" t="s">
        <v>2437</v>
      </c>
      <c r="U599" t="s">
        <v>2171</v>
      </c>
      <c r="V599" t="s">
        <v>14</v>
      </c>
      <c r="W599" t="b">
        <v>1</v>
      </c>
      <c r="X599" t="s">
        <v>3481</v>
      </c>
      <c r="Y599" t="b">
        <v>0</v>
      </c>
      <c r="Z599" t="s">
        <v>2032</v>
      </c>
    </row>
    <row r="600" spans="1:26" x14ac:dyDescent="0.35">
      <c r="A600" t="s">
        <v>375</v>
      </c>
      <c r="B600" t="s">
        <v>376</v>
      </c>
      <c r="C600" t="s">
        <v>3167</v>
      </c>
      <c r="D600" t="s">
        <v>1963</v>
      </c>
      <c r="E600" t="s">
        <v>2020</v>
      </c>
      <c r="F600" t="s">
        <v>2021</v>
      </c>
      <c r="G600" t="s">
        <v>2022</v>
      </c>
      <c r="H600" t="s">
        <v>2023</v>
      </c>
      <c r="I600" t="s">
        <v>3499</v>
      </c>
      <c r="J600" t="s">
        <v>1963</v>
      </c>
      <c r="K600" t="s">
        <v>3480</v>
      </c>
      <c r="L600" t="s">
        <v>2046</v>
      </c>
      <c r="M600" t="s">
        <v>3500</v>
      </c>
      <c r="N600" t="s">
        <v>3501</v>
      </c>
      <c r="O600" t="s">
        <v>3502</v>
      </c>
      <c r="P600" t="s">
        <v>3503</v>
      </c>
      <c r="Q600" t="s">
        <v>14</v>
      </c>
      <c r="R600" t="s">
        <v>14</v>
      </c>
      <c r="S600" t="s">
        <v>3504</v>
      </c>
      <c r="T600" t="s">
        <v>3505</v>
      </c>
      <c r="U600" t="s">
        <v>2171</v>
      </c>
      <c r="V600" t="s">
        <v>14</v>
      </c>
      <c r="W600" t="b">
        <v>1</v>
      </c>
      <c r="X600" t="s">
        <v>3481</v>
      </c>
      <c r="Y600" t="b">
        <v>0</v>
      </c>
      <c r="Z600" t="s">
        <v>2081</v>
      </c>
    </row>
    <row r="601" spans="1:26" x14ac:dyDescent="0.35">
      <c r="A601" t="s">
        <v>375</v>
      </c>
      <c r="B601" t="s">
        <v>376</v>
      </c>
      <c r="C601" t="s">
        <v>3167</v>
      </c>
      <c r="D601" t="s">
        <v>1963</v>
      </c>
      <c r="E601" t="s">
        <v>2020</v>
      </c>
      <c r="F601" t="s">
        <v>2021</v>
      </c>
      <c r="G601" t="s">
        <v>2022</v>
      </c>
      <c r="H601" t="s">
        <v>2023</v>
      </c>
      <c r="I601" t="s">
        <v>3506</v>
      </c>
      <c r="J601" t="s">
        <v>1963</v>
      </c>
      <c r="K601" t="s">
        <v>3480</v>
      </c>
      <c r="L601" t="s">
        <v>2046</v>
      </c>
      <c r="M601" t="s">
        <v>3027</v>
      </c>
      <c r="N601" t="s">
        <v>3028</v>
      </c>
      <c r="O601" t="s">
        <v>3502</v>
      </c>
      <c r="P601" t="s">
        <v>3503</v>
      </c>
      <c r="Q601" t="s">
        <v>14</v>
      </c>
      <c r="R601" t="s">
        <v>14</v>
      </c>
      <c r="S601" t="s">
        <v>3507</v>
      </c>
      <c r="T601" t="s">
        <v>3508</v>
      </c>
      <c r="U601" t="s">
        <v>2171</v>
      </c>
      <c r="V601" t="s">
        <v>14</v>
      </c>
      <c r="W601" t="b">
        <v>1</v>
      </c>
      <c r="X601" t="s">
        <v>3481</v>
      </c>
      <c r="Y601" t="b">
        <v>0</v>
      </c>
      <c r="Z601" t="s">
        <v>2053</v>
      </c>
    </row>
    <row r="602" spans="1:26" x14ac:dyDescent="0.35">
      <c r="A602" t="s">
        <v>375</v>
      </c>
      <c r="B602" t="s">
        <v>376</v>
      </c>
      <c r="C602" t="s">
        <v>3167</v>
      </c>
      <c r="D602" t="s">
        <v>1963</v>
      </c>
      <c r="E602" t="s">
        <v>2020</v>
      </c>
      <c r="F602" t="s">
        <v>2021</v>
      </c>
      <c r="G602" t="s">
        <v>2022</v>
      </c>
      <c r="H602" t="s">
        <v>2023</v>
      </c>
      <c r="I602" t="s">
        <v>3509</v>
      </c>
      <c r="J602" t="s">
        <v>1963</v>
      </c>
      <c r="K602" t="s">
        <v>3480</v>
      </c>
      <c r="L602" t="s">
        <v>2046</v>
      </c>
      <c r="M602" t="s">
        <v>2338</v>
      </c>
      <c r="N602" t="s">
        <v>2339</v>
      </c>
      <c r="O602" t="s">
        <v>2340</v>
      </c>
      <c r="P602" t="s">
        <v>2341</v>
      </c>
      <c r="Q602" t="s">
        <v>14</v>
      </c>
      <c r="R602" t="s">
        <v>14</v>
      </c>
      <c r="S602" t="s">
        <v>2436</v>
      </c>
      <c r="T602" t="s">
        <v>2437</v>
      </c>
      <c r="U602" t="s">
        <v>2171</v>
      </c>
      <c r="V602" t="s">
        <v>14</v>
      </c>
      <c r="W602" t="b">
        <v>1</v>
      </c>
      <c r="X602" t="s">
        <v>3481</v>
      </c>
      <c r="Y602" t="b">
        <v>0</v>
      </c>
      <c r="Z602" t="s">
        <v>2081</v>
      </c>
    </row>
    <row r="603" spans="1:26" x14ac:dyDescent="0.35">
      <c r="A603" t="s">
        <v>375</v>
      </c>
      <c r="B603" t="s">
        <v>376</v>
      </c>
      <c r="C603" t="s">
        <v>3167</v>
      </c>
      <c r="D603" t="s">
        <v>1963</v>
      </c>
      <c r="E603" t="s">
        <v>2020</v>
      </c>
      <c r="F603" t="s">
        <v>2021</v>
      </c>
      <c r="G603" t="s">
        <v>2022</v>
      </c>
      <c r="H603" t="s">
        <v>2023</v>
      </c>
      <c r="I603" t="s">
        <v>3510</v>
      </c>
      <c r="J603" t="s">
        <v>1963</v>
      </c>
      <c r="K603" t="s">
        <v>3480</v>
      </c>
      <c r="L603" t="s">
        <v>2046</v>
      </c>
      <c r="M603" t="s">
        <v>3511</v>
      </c>
      <c r="N603" t="s">
        <v>3512</v>
      </c>
      <c r="O603" t="s">
        <v>2401</v>
      </c>
      <c r="P603" t="s">
        <v>2402</v>
      </c>
      <c r="Q603" t="s">
        <v>14</v>
      </c>
      <c r="R603" t="s">
        <v>14</v>
      </c>
      <c r="S603" t="s">
        <v>2972</v>
      </c>
      <c r="T603" t="s">
        <v>2973</v>
      </c>
      <c r="U603" t="s">
        <v>2390</v>
      </c>
      <c r="V603" t="s">
        <v>14</v>
      </c>
      <c r="W603" t="b">
        <v>1</v>
      </c>
      <c r="X603" t="s">
        <v>3481</v>
      </c>
      <c r="Y603" t="b">
        <v>0</v>
      </c>
      <c r="Z603" t="s">
        <v>2032</v>
      </c>
    </row>
    <row r="604" spans="1:26" x14ac:dyDescent="0.35">
      <c r="A604" t="s">
        <v>375</v>
      </c>
      <c r="B604" t="s">
        <v>376</v>
      </c>
      <c r="C604" t="s">
        <v>3167</v>
      </c>
      <c r="D604" t="s">
        <v>1963</v>
      </c>
      <c r="E604" t="s">
        <v>2020</v>
      </c>
      <c r="F604" t="s">
        <v>2021</v>
      </c>
      <c r="G604" t="s">
        <v>2022</v>
      </c>
      <c r="H604" t="s">
        <v>2023</v>
      </c>
      <c r="I604" t="s">
        <v>3513</v>
      </c>
      <c r="J604" t="s">
        <v>1963</v>
      </c>
      <c r="K604" t="s">
        <v>3480</v>
      </c>
      <c r="L604" t="s">
        <v>2046</v>
      </c>
      <c r="M604" t="s">
        <v>3514</v>
      </c>
      <c r="N604" t="s">
        <v>3515</v>
      </c>
      <c r="O604" t="s">
        <v>3502</v>
      </c>
      <c r="P604" t="s">
        <v>3503</v>
      </c>
      <c r="Q604" t="s">
        <v>14</v>
      </c>
      <c r="R604" t="s">
        <v>14</v>
      </c>
      <c r="S604" t="s">
        <v>3516</v>
      </c>
      <c r="T604" t="s">
        <v>3517</v>
      </c>
      <c r="U604" t="s">
        <v>2171</v>
      </c>
      <c r="V604" t="s">
        <v>14</v>
      </c>
      <c r="W604" t="b">
        <v>1</v>
      </c>
      <c r="X604" t="s">
        <v>3481</v>
      </c>
      <c r="Y604" t="b">
        <v>0</v>
      </c>
      <c r="Z604" t="s">
        <v>2053</v>
      </c>
    </row>
    <row r="605" spans="1:26" x14ac:dyDescent="0.35">
      <c r="A605" t="s">
        <v>375</v>
      </c>
      <c r="B605" t="s">
        <v>376</v>
      </c>
      <c r="C605" t="s">
        <v>3167</v>
      </c>
      <c r="D605" t="s">
        <v>1963</v>
      </c>
      <c r="E605" t="s">
        <v>2020</v>
      </c>
      <c r="F605" t="s">
        <v>2021</v>
      </c>
      <c r="G605" t="s">
        <v>2022</v>
      </c>
      <c r="H605" t="s">
        <v>2023</v>
      </c>
      <c r="I605" t="s">
        <v>3518</v>
      </c>
      <c r="J605" t="s">
        <v>1963</v>
      </c>
      <c r="K605" t="s">
        <v>3480</v>
      </c>
      <c r="L605" t="s">
        <v>2046</v>
      </c>
      <c r="M605" t="s">
        <v>3519</v>
      </c>
      <c r="N605" t="s">
        <v>3520</v>
      </c>
      <c r="O605" t="s">
        <v>3485</v>
      </c>
      <c r="P605" t="s">
        <v>3486</v>
      </c>
      <c r="Q605" t="s">
        <v>14</v>
      </c>
      <c r="R605" t="s">
        <v>14</v>
      </c>
      <c r="S605" t="s">
        <v>3487</v>
      </c>
      <c r="T605" t="s">
        <v>3488</v>
      </c>
      <c r="U605" t="s">
        <v>2171</v>
      </c>
      <c r="V605" t="s">
        <v>14</v>
      </c>
      <c r="W605" t="b">
        <v>1</v>
      </c>
      <c r="X605" t="s">
        <v>3481</v>
      </c>
      <c r="Y605" t="b">
        <v>0</v>
      </c>
      <c r="Z605" t="s">
        <v>2053</v>
      </c>
    </row>
    <row r="606" spans="1:26" x14ac:dyDescent="0.35">
      <c r="A606" t="s">
        <v>375</v>
      </c>
      <c r="B606" t="s">
        <v>376</v>
      </c>
      <c r="C606" t="s">
        <v>3167</v>
      </c>
      <c r="D606" t="s">
        <v>1963</v>
      </c>
      <c r="E606" t="s">
        <v>2020</v>
      </c>
      <c r="F606" t="s">
        <v>2021</v>
      </c>
      <c r="G606" t="s">
        <v>2022</v>
      </c>
      <c r="H606" t="s">
        <v>2023</v>
      </c>
      <c r="I606" t="s">
        <v>3521</v>
      </c>
      <c r="J606" t="s">
        <v>1963</v>
      </c>
      <c r="K606" t="s">
        <v>3480</v>
      </c>
      <c r="L606" t="s">
        <v>2046</v>
      </c>
      <c r="M606" t="s">
        <v>3522</v>
      </c>
      <c r="N606" t="s">
        <v>3523</v>
      </c>
      <c r="O606" t="s">
        <v>3485</v>
      </c>
      <c r="P606" t="s">
        <v>3486</v>
      </c>
      <c r="Q606" t="s">
        <v>14</v>
      </c>
      <c r="R606" t="s">
        <v>14</v>
      </c>
      <c r="S606" t="s">
        <v>3487</v>
      </c>
      <c r="T606" t="s">
        <v>3488</v>
      </c>
      <c r="U606" t="s">
        <v>2171</v>
      </c>
      <c r="V606" t="s">
        <v>14</v>
      </c>
      <c r="W606" t="b">
        <v>1</v>
      </c>
      <c r="X606" t="s">
        <v>3481</v>
      </c>
      <c r="Y606" t="b">
        <v>0</v>
      </c>
      <c r="Z606" t="s">
        <v>2053</v>
      </c>
    </row>
    <row r="607" spans="1:26" x14ac:dyDescent="0.35">
      <c r="A607" t="s">
        <v>375</v>
      </c>
      <c r="B607" t="s">
        <v>376</v>
      </c>
      <c r="C607" t="s">
        <v>3167</v>
      </c>
      <c r="D607" t="s">
        <v>1963</v>
      </c>
      <c r="E607" t="s">
        <v>2020</v>
      </c>
      <c r="F607" t="s">
        <v>2021</v>
      </c>
      <c r="G607" t="s">
        <v>2022</v>
      </c>
      <c r="H607" t="s">
        <v>2023</v>
      </c>
      <c r="I607" t="s">
        <v>3524</v>
      </c>
      <c r="J607" t="s">
        <v>1963</v>
      </c>
      <c r="K607" t="s">
        <v>3480</v>
      </c>
      <c r="L607" t="s">
        <v>2046</v>
      </c>
      <c r="M607" t="s">
        <v>3009</v>
      </c>
      <c r="N607" t="s">
        <v>3010</v>
      </c>
      <c r="O607" t="s">
        <v>2362</v>
      </c>
      <c r="P607" t="s">
        <v>2363</v>
      </c>
      <c r="Q607" t="s">
        <v>3004</v>
      </c>
      <c r="R607" t="s">
        <v>14</v>
      </c>
      <c r="S607" t="s">
        <v>3005</v>
      </c>
      <c r="T607" t="s">
        <v>3006</v>
      </c>
      <c r="U607" t="s">
        <v>2171</v>
      </c>
      <c r="V607" t="s">
        <v>14</v>
      </c>
      <c r="W607" t="b">
        <v>1</v>
      </c>
      <c r="X607" t="s">
        <v>3481</v>
      </c>
      <c r="Y607" t="b">
        <v>0</v>
      </c>
      <c r="Z607" t="s">
        <v>2053</v>
      </c>
    </row>
    <row r="608" spans="1:26" x14ac:dyDescent="0.35">
      <c r="A608" t="s">
        <v>375</v>
      </c>
      <c r="B608" t="s">
        <v>376</v>
      </c>
      <c r="C608" t="s">
        <v>3167</v>
      </c>
      <c r="D608" t="s">
        <v>1963</v>
      </c>
      <c r="E608" t="s">
        <v>2020</v>
      </c>
      <c r="F608" t="s">
        <v>2021</v>
      </c>
      <c r="G608" t="s">
        <v>2022</v>
      </c>
      <c r="H608" t="s">
        <v>2023</v>
      </c>
      <c r="I608" t="s">
        <v>3525</v>
      </c>
      <c r="J608" t="s">
        <v>1963</v>
      </c>
      <c r="K608" t="s">
        <v>3480</v>
      </c>
      <c r="L608" t="s">
        <v>2046</v>
      </c>
      <c r="M608" t="s">
        <v>3041</v>
      </c>
      <c r="N608" t="s">
        <v>3042</v>
      </c>
      <c r="O608" t="s">
        <v>3013</v>
      </c>
      <c r="P608" t="s">
        <v>3014</v>
      </c>
      <c r="Q608" t="s">
        <v>3021</v>
      </c>
      <c r="R608" t="s">
        <v>14</v>
      </c>
      <c r="S608" t="s">
        <v>3526</v>
      </c>
      <c r="T608" t="s">
        <v>3527</v>
      </c>
      <c r="U608" t="s">
        <v>3015</v>
      </c>
      <c r="V608" t="s">
        <v>14</v>
      </c>
      <c r="W608" t="b">
        <v>1</v>
      </c>
      <c r="X608" t="s">
        <v>3481</v>
      </c>
      <c r="Y608" t="b">
        <v>0</v>
      </c>
      <c r="Z608" t="s">
        <v>2032</v>
      </c>
    </row>
    <row r="609" spans="1:26" x14ac:dyDescent="0.35">
      <c r="A609" t="s">
        <v>375</v>
      </c>
      <c r="B609" t="s">
        <v>376</v>
      </c>
      <c r="C609" t="s">
        <v>3167</v>
      </c>
      <c r="D609" t="s">
        <v>1963</v>
      </c>
      <c r="E609" t="s">
        <v>2020</v>
      </c>
      <c r="F609" t="s">
        <v>2021</v>
      </c>
      <c r="G609" t="s">
        <v>2022</v>
      </c>
      <c r="H609" t="s">
        <v>2023</v>
      </c>
      <c r="I609" t="s">
        <v>3528</v>
      </c>
      <c r="J609" t="s">
        <v>1963</v>
      </c>
      <c r="K609" t="s">
        <v>3480</v>
      </c>
      <c r="L609" t="s">
        <v>2046</v>
      </c>
      <c r="M609" t="s">
        <v>3529</v>
      </c>
      <c r="N609" t="s">
        <v>3530</v>
      </c>
      <c r="O609" t="s">
        <v>2362</v>
      </c>
      <c r="P609" t="s">
        <v>2363</v>
      </c>
      <c r="Q609" t="s">
        <v>2844</v>
      </c>
      <c r="R609" t="s">
        <v>14</v>
      </c>
      <c r="S609" t="s">
        <v>2845</v>
      </c>
      <c r="T609" t="s">
        <v>2846</v>
      </c>
      <c r="U609" t="s">
        <v>2171</v>
      </c>
      <c r="V609" t="s">
        <v>14</v>
      </c>
      <c r="W609" t="b">
        <v>1</v>
      </c>
      <c r="X609" t="s">
        <v>3481</v>
      </c>
      <c r="Y609" t="b">
        <v>0</v>
      </c>
      <c r="Z609" t="s">
        <v>2081</v>
      </c>
    </row>
    <row r="610" spans="1:26" x14ac:dyDescent="0.35">
      <c r="A610" t="s">
        <v>375</v>
      </c>
      <c r="B610" t="s">
        <v>376</v>
      </c>
      <c r="C610" t="s">
        <v>3167</v>
      </c>
      <c r="D610" t="s">
        <v>1963</v>
      </c>
      <c r="E610" t="s">
        <v>2020</v>
      </c>
      <c r="F610" t="s">
        <v>2021</v>
      </c>
      <c r="G610" t="s">
        <v>2022</v>
      </c>
      <c r="H610" t="s">
        <v>2023</v>
      </c>
      <c r="I610" t="s">
        <v>3062</v>
      </c>
      <c r="J610" t="s">
        <v>1963</v>
      </c>
      <c r="K610" t="s">
        <v>3480</v>
      </c>
      <c r="L610" t="s">
        <v>2046</v>
      </c>
      <c r="M610" t="s">
        <v>3041</v>
      </c>
      <c r="N610" t="s">
        <v>3042</v>
      </c>
      <c r="O610" t="s">
        <v>3013</v>
      </c>
      <c r="P610" t="s">
        <v>3014</v>
      </c>
      <c r="Q610" t="s">
        <v>14</v>
      </c>
      <c r="R610" t="s">
        <v>14</v>
      </c>
      <c r="S610" t="s">
        <v>14</v>
      </c>
      <c r="T610" t="s">
        <v>14</v>
      </c>
      <c r="U610" t="s">
        <v>3015</v>
      </c>
      <c r="V610" t="s">
        <v>14</v>
      </c>
      <c r="W610" t="b">
        <v>1</v>
      </c>
      <c r="X610" t="s">
        <v>3481</v>
      </c>
      <c r="Y610" t="b">
        <v>0</v>
      </c>
      <c r="Z610" t="s">
        <v>2081</v>
      </c>
    </row>
    <row r="611" spans="1:26" x14ac:dyDescent="0.35">
      <c r="A611" t="s">
        <v>375</v>
      </c>
      <c r="B611" t="s">
        <v>376</v>
      </c>
      <c r="C611" t="s">
        <v>3167</v>
      </c>
      <c r="D611" t="s">
        <v>1963</v>
      </c>
      <c r="E611" t="s">
        <v>2020</v>
      </c>
      <c r="F611" t="s">
        <v>2021</v>
      </c>
      <c r="G611" t="s">
        <v>2022</v>
      </c>
      <c r="H611" t="s">
        <v>2023</v>
      </c>
      <c r="I611" t="s">
        <v>306</v>
      </c>
      <c r="J611" t="s">
        <v>1963</v>
      </c>
      <c r="K611" t="s">
        <v>3480</v>
      </c>
      <c r="L611" t="s">
        <v>2046</v>
      </c>
      <c r="M611" t="s">
        <v>2026</v>
      </c>
      <c r="N611" t="s">
        <v>2027</v>
      </c>
      <c r="O611" t="s">
        <v>2028</v>
      </c>
      <c r="P611" t="s">
        <v>2029</v>
      </c>
      <c r="Q611" t="s">
        <v>3531</v>
      </c>
      <c r="R611" t="s">
        <v>14</v>
      </c>
      <c r="S611" t="s">
        <v>2991</v>
      </c>
      <c r="T611" t="s">
        <v>2992</v>
      </c>
      <c r="U611" t="s">
        <v>2030</v>
      </c>
      <c r="V611" t="s">
        <v>14</v>
      </c>
      <c r="W611" t="b">
        <v>1</v>
      </c>
      <c r="X611" t="s">
        <v>3481</v>
      </c>
      <c r="Y611" t="b">
        <v>1</v>
      </c>
      <c r="Z611" t="s">
        <v>2032</v>
      </c>
    </row>
    <row r="612" spans="1:26" x14ac:dyDescent="0.35">
      <c r="A612" t="s">
        <v>375</v>
      </c>
      <c r="B612" t="s">
        <v>376</v>
      </c>
      <c r="C612" t="s">
        <v>3167</v>
      </c>
      <c r="D612" t="s">
        <v>1963</v>
      </c>
      <c r="E612" t="s">
        <v>2020</v>
      </c>
      <c r="F612" t="s">
        <v>2021</v>
      </c>
      <c r="G612" t="s">
        <v>2022</v>
      </c>
      <c r="H612" t="s">
        <v>2023</v>
      </c>
      <c r="I612" t="s">
        <v>3056</v>
      </c>
      <c r="J612" t="s">
        <v>1963</v>
      </c>
      <c r="K612" t="s">
        <v>3480</v>
      </c>
      <c r="L612" t="s">
        <v>2046</v>
      </c>
      <c r="M612" t="s">
        <v>3057</v>
      </c>
      <c r="N612" t="s">
        <v>3058</v>
      </c>
      <c r="O612" t="s">
        <v>3013</v>
      </c>
      <c r="P612" t="s">
        <v>3014</v>
      </c>
      <c r="Q612" t="s">
        <v>14</v>
      </c>
      <c r="R612" t="s">
        <v>14</v>
      </c>
      <c r="S612" t="s">
        <v>14</v>
      </c>
      <c r="T612" t="s">
        <v>14</v>
      </c>
      <c r="U612" t="s">
        <v>3015</v>
      </c>
      <c r="V612" t="s">
        <v>14</v>
      </c>
      <c r="W612" t="b">
        <v>1</v>
      </c>
      <c r="X612" t="s">
        <v>3481</v>
      </c>
      <c r="Y612" t="b">
        <v>0</v>
      </c>
      <c r="Z612" t="s">
        <v>2053</v>
      </c>
    </row>
    <row r="613" spans="1:26" x14ac:dyDescent="0.35">
      <c r="A613" t="s">
        <v>375</v>
      </c>
      <c r="B613" t="s">
        <v>376</v>
      </c>
      <c r="C613" t="s">
        <v>3167</v>
      </c>
      <c r="D613" t="s">
        <v>1963</v>
      </c>
      <c r="E613" t="s">
        <v>2020</v>
      </c>
      <c r="F613" t="s">
        <v>2021</v>
      </c>
      <c r="G613" t="s">
        <v>2022</v>
      </c>
      <c r="H613" t="s">
        <v>2023</v>
      </c>
      <c r="I613" t="s">
        <v>3532</v>
      </c>
      <c r="J613" t="s">
        <v>1963</v>
      </c>
      <c r="K613" t="s">
        <v>3480</v>
      </c>
      <c r="L613" t="s">
        <v>2046</v>
      </c>
      <c r="M613" t="s">
        <v>3533</v>
      </c>
      <c r="N613" t="s">
        <v>3534</v>
      </c>
      <c r="O613" t="s">
        <v>2362</v>
      </c>
      <c r="P613" t="s">
        <v>2363</v>
      </c>
      <c r="Q613" t="s">
        <v>2844</v>
      </c>
      <c r="R613" t="s">
        <v>14</v>
      </c>
      <c r="S613" t="s">
        <v>2845</v>
      </c>
      <c r="T613" t="s">
        <v>2846</v>
      </c>
      <c r="U613" t="s">
        <v>2171</v>
      </c>
      <c r="V613" t="s">
        <v>14</v>
      </c>
      <c r="W613" t="b">
        <v>1</v>
      </c>
      <c r="X613" t="s">
        <v>3481</v>
      </c>
      <c r="Y613" t="b">
        <v>0</v>
      </c>
      <c r="Z613" t="s">
        <v>2053</v>
      </c>
    </row>
    <row r="614" spans="1:26" x14ac:dyDescent="0.35">
      <c r="A614" t="s">
        <v>375</v>
      </c>
      <c r="B614" t="s">
        <v>376</v>
      </c>
      <c r="C614" t="s">
        <v>3167</v>
      </c>
      <c r="D614" t="s">
        <v>1963</v>
      </c>
      <c r="E614" t="s">
        <v>2020</v>
      </c>
      <c r="F614" t="s">
        <v>2021</v>
      </c>
      <c r="G614" t="s">
        <v>2022</v>
      </c>
      <c r="H614" t="s">
        <v>2023</v>
      </c>
      <c r="I614" t="s">
        <v>3535</v>
      </c>
      <c r="J614" t="s">
        <v>1963</v>
      </c>
      <c r="K614" t="s">
        <v>3480</v>
      </c>
      <c r="L614" t="s">
        <v>2046</v>
      </c>
      <c r="M614" t="s">
        <v>3152</v>
      </c>
      <c r="N614" t="s">
        <v>3153</v>
      </c>
      <c r="O614" t="s">
        <v>3536</v>
      </c>
      <c r="P614" t="s">
        <v>3537</v>
      </c>
      <c r="Q614" t="s">
        <v>3538</v>
      </c>
      <c r="R614" t="s">
        <v>14</v>
      </c>
      <c r="S614" t="s">
        <v>3539</v>
      </c>
      <c r="T614" t="s">
        <v>3540</v>
      </c>
      <c r="U614" t="s">
        <v>3015</v>
      </c>
      <c r="V614" t="s">
        <v>14</v>
      </c>
      <c r="W614" t="b">
        <v>1</v>
      </c>
      <c r="X614" t="s">
        <v>3481</v>
      </c>
      <c r="Y614" t="b">
        <v>0</v>
      </c>
      <c r="Z614" t="s">
        <v>2081</v>
      </c>
    </row>
    <row r="615" spans="1:26" x14ac:dyDescent="0.35">
      <c r="A615" t="s">
        <v>375</v>
      </c>
      <c r="B615" t="s">
        <v>376</v>
      </c>
      <c r="C615" t="s">
        <v>3167</v>
      </c>
      <c r="D615" t="s">
        <v>1963</v>
      </c>
      <c r="E615" t="s">
        <v>2020</v>
      </c>
      <c r="F615" t="s">
        <v>2021</v>
      </c>
      <c r="G615" t="s">
        <v>2022</v>
      </c>
      <c r="H615" t="s">
        <v>2023</v>
      </c>
      <c r="I615" t="s">
        <v>3541</v>
      </c>
      <c r="J615" t="s">
        <v>1963</v>
      </c>
      <c r="K615" t="s">
        <v>3480</v>
      </c>
      <c r="L615" t="s">
        <v>2046</v>
      </c>
      <c r="M615" t="s">
        <v>3542</v>
      </c>
      <c r="N615" t="s">
        <v>3543</v>
      </c>
      <c r="O615" t="s">
        <v>3485</v>
      </c>
      <c r="P615" t="s">
        <v>3486</v>
      </c>
      <c r="Q615" t="s">
        <v>14</v>
      </c>
      <c r="R615" t="s">
        <v>14</v>
      </c>
      <c r="S615" t="s">
        <v>3487</v>
      </c>
      <c r="T615" t="s">
        <v>3488</v>
      </c>
      <c r="U615" t="s">
        <v>2171</v>
      </c>
      <c r="V615" t="s">
        <v>14</v>
      </c>
      <c r="W615" t="b">
        <v>1</v>
      </c>
      <c r="X615" t="s">
        <v>3481</v>
      </c>
      <c r="Y615" t="b">
        <v>0</v>
      </c>
      <c r="Z615" t="s">
        <v>2053</v>
      </c>
    </row>
    <row r="616" spans="1:26" x14ac:dyDescent="0.35">
      <c r="A616" t="s">
        <v>375</v>
      </c>
      <c r="B616" t="s">
        <v>376</v>
      </c>
      <c r="C616" t="s">
        <v>3167</v>
      </c>
      <c r="D616" t="s">
        <v>1963</v>
      </c>
      <c r="E616" t="s">
        <v>2020</v>
      </c>
      <c r="F616" t="s">
        <v>2021</v>
      </c>
      <c r="G616" t="s">
        <v>2022</v>
      </c>
      <c r="H616" t="s">
        <v>2023</v>
      </c>
      <c r="I616" t="s">
        <v>3440</v>
      </c>
      <c r="J616" t="s">
        <v>1963</v>
      </c>
      <c r="K616" t="s">
        <v>3480</v>
      </c>
      <c r="L616" t="s">
        <v>2046</v>
      </c>
      <c r="M616" t="s">
        <v>3442</v>
      </c>
      <c r="N616" t="s">
        <v>3443</v>
      </c>
      <c r="O616" t="s">
        <v>3013</v>
      </c>
      <c r="P616" t="s">
        <v>3014</v>
      </c>
      <c r="Q616" t="s">
        <v>14</v>
      </c>
      <c r="R616" t="s">
        <v>14</v>
      </c>
      <c r="S616" t="s">
        <v>14</v>
      </c>
      <c r="T616" t="s">
        <v>14</v>
      </c>
      <c r="U616" t="s">
        <v>3015</v>
      </c>
      <c r="V616" t="s">
        <v>14</v>
      </c>
      <c r="W616" t="b">
        <v>1</v>
      </c>
      <c r="X616" t="s">
        <v>3481</v>
      </c>
      <c r="Y616" t="b">
        <v>0</v>
      </c>
      <c r="Z616" t="s">
        <v>2053</v>
      </c>
    </row>
    <row r="617" spans="1:26" x14ac:dyDescent="0.35">
      <c r="A617" t="s">
        <v>375</v>
      </c>
      <c r="B617" t="s">
        <v>376</v>
      </c>
      <c r="C617" t="s">
        <v>3167</v>
      </c>
      <c r="D617" t="s">
        <v>1963</v>
      </c>
      <c r="E617" t="s">
        <v>2020</v>
      </c>
      <c r="F617" t="s">
        <v>2021</v>
      </c>
      <c r="G617" t="s">
        <v>2022</v>
      </c>
      <c r="H617" t="s">
        <v>2023</v>
      </c>
      <c r="I617" t="s">
        <v>3544</v>
      </c>
      <c r="J617" t="s">
        <v>1963</v>
      </c>
      <c r="K617" t="s">
        <v>3480</v>
      </c>
      <c r="L617" t="s">
        <v>2046</v>
      </c>
      <c r="M617" t="s">
        <v>2120</v>
      </c>
      <c r="N617" t="s">
        <v>2121</v>
      </c>
      <c r="O617" t="s">
        <v>2060</v>
      </c>
      <c r="P617" t="s">
        <v>2061</v>
      </c>
      <c r="Q617" t="s">
        <v>2122</v>
      </c>
      <c r="R617" t="s">
        <v>14</v>
      </c>
      <c r="S617" t="s">
        <v>2200</v>
      </c>
      <c r="T617" t="s">
        <v>2201</v>
      </c>
      <c r="U617" t="s">
        <v>2052</v>
      </c>
      <c r="V617" t="s">
        <v>14</v>
      </c>
      <c r="W617" t="b">
        <v>1</v>
      </c>
      <c r="X617" t="s">
        <v>3481</v>
      </c>
      <c r="Y617" t="b">
        <v>0</v>
      </c>
      <c r="Z617" t="s">
        <v>2053</v>
      </c>
    </row>
    <row r="618" spans="1:26" x14ac:dyDescent="0.35">
      <c r="A618" t="s">
        <v>375</v>
      </c>
      <c r="B618" t="s">
        <v>376</v>
      </c>
      <c r="C618" t="s">
        <v>3167</v>
      </c>
      <c r="D618" t="s">
        <v>1963</v>
      </c>
      <c r="E618" t="s">
        <v>2020</v>
      </c>
      <c r="F618" t="s">
        <v>2021</v>
      </c>
      <c r="G618" t="s">
        <v>2022</v>
      </c>
      <c r="H618" t="s">
        <v>2023</v>
      </c>
      <c r="I618" t="s">
        <v>3545</v>
      </c>
      <c r="J618" t="s">
        <v>1963</v>
      </c>
      <c r="K618" t="s">
        <v>3480</v>
      </c>
      <c r="L618" t="s">
        <v>2046</v>
      </c>
      <c r="M618" t="s">
        <v>3546</v>
      </c>
      <c r="N618" t="s">
        <v>3547</v>
      </c>
      <c r="O618" t="s">
        <v>2401</v>
      </c>
      <c r="P618" t="s">
        <v>2402</v>
      </c>
      <c r="Q618" t="s">
        <v>14</v>
      </c>
      <c r="R618" t="s">
        <v>14</v>
      </c>
      <c r="S618" t="s">
        <v>3548</v>
      </c>
      <c r="T618" t="s">
        <v>3549</v>
      </c>
      <c r="U618" t="s">
        <v>2390</v>
      </c>
      <c r="V618" t="s">
        <v>14</v>
      </c>
      <c r="W618" t="b">
        <v>1</v>
      </c>
      <c r="X618" t="s">
        <v>3481</v>
      </c>
      <c r="Y618" t="b">
        <v>0</v>
      </c>
      <c r="Z618" t="s">
        <v>2032</v>
      </c>
    </row>
    <row r="619" spans="1:26" x14ac:dyDescent="0.35">
      <c r="A619" t="s">
        <v>375</v>
      </c>
      <c r="B619" t="s">
        <v>376</v>
      </c>
      <c r="C619" t="s">
        <v>3167</v>
      </c>
      <c r="D619" t="s">
        <v>1963</v>
      </c>
      <c r="E619" t="s">
        <v>2020</v>
      </c>
      <c r="F619" t="s">
        <v>2021</v>
      </c>
      <c r="G619" t="s">
        <v>2022</v>
      </c>
      <c r="H619" t="s">
        <v>2023</v>
      </c>
      <c r="I619" t="s">
        <v>3550</v>
      </c>
      <c r="J619" t="s">
        <v>1963</v>
      </c>
      <c r="K619" t="s">
        <v>3480</v>
      </c>
      <c r="L619" t="s">
        <v>2046</v>
      </c>
      <c r="M619" t="s">
        <v>3551</v>
      </c>
      <c r="N619" t="s">
        <v>3552</v>
      </c>
      <c r="O619" t="s">
        <v>2362</v>
      </c>
      <c r="P619" t="s">
        <v>2363</v>
      </c>
      <c r="Q619" t="s">
        <v>3004</v>
      </c>
      <c r="R619" t="s">
        <v>14</v>
      </c>
      <c r="S619" t="s">
        <v>3005</v>
      </c>
      <c r="T619" t="s">
        <v>3006</v>
      </c>
      <c r="U619" t="s">
        <v>2171</v>
      </c>
      <c r="V619" t="s">
        <v>14</v>
      </c>
      <c r="W619" t="b">
        <v>1</v>
      </c>
      <c r="X619" t="s">
        <v>3481</v>
      </c>
      <c r="Y619" t="b">
        <v>0</v>
      </c>
      <c r="Z619" t="s">
        <v>2053</v>
      </c>
    </row>
    <row r="620" spans="1:26" x14ac:dyDescent="0.35">
      <c r="A620" t="s">
        <v>375</v>
      </c>
      <c r="B620" t="s">
        <v>376</v>
      </c>
      <c r="C620" t="s">
        <v>3167</v>
      </c>
      <c r="D620" t="s">
        <v>1963</v>
      </c>
      <c r="E620" t="s">
        <v>2020</v>
      </c>
      <c r="F620" t="s">
        <v>2021</v>
      </c>
      <c r="G620" t="s">
        <v>2022</v>
      </c>
      <c r="H620" t="s">
        <v>2023</v>
      </c>
      <c r="I620" t="s">
        <v>3553</v>
      </c>
      <c r="J620" t="s">
        <v>1963</v>
      </c>
      <c r="K620" t="s">
        <v>3480</v>
      </c>
      <c r="L620" t="s">
        <v>2046</v>
      </c>
      <c r="M620" t="s">
        <v>3483</v>
      </c>
      <c r="N620" t="s">
        <v>3484</v>
      </c>
      <c r="O620" t="s">
        <v>3485</v>
      </c>
      <c r="P620" t="s">
        <v>3486</v>
      </c>
      <c r="Q620" t="s">
        <v>14</v>
      </c>
      <c r="R620" t="s">
        <v>14</v>
      </c>
      <c r="S620" t="s">
        <v>3487</v>
      </c>
      <c r="T620" t="s">
        <v>3488</v>
      </c>
      <c r="U620" t="s">
        <v>2171</v>
      </c>
      <c r="V620" t="s">
        <v>14</v>
      </c>
      <c r="W620" t="b">
        <v>1</v>
      </c>
      <c r="X620" t="s">
        <v>3481</v>
      </c>
      <c r="Y620" t="b">
        <v>0</v>
      </c>
      <c r="Z620" t="s">
        <v>2032</v>
      </c>
    </row>
    <row r="621" spans="1:26" x14ac:dyDescent="0.35">
      <c r="A621" t="s">
        <v>375</v>
      </c>
      <c r="B621" t="s">
        <v>376</v>
      </c>
      <c r="C621" t="s">
        <v>3167</v>
      </c>
      <c r="D621" t="s">
        <v>1963</v>
      </c>
      <c r="E621" t="s">
        <v>2020</v>
      </c>
      <c r="F621" t="s">
        <v>2021</v>
      </c>
      <c r="G621" t="s">
        <v>2022</v>
      </c>
      <c r="H621" t="s">
        <v>2023</v>
      </c>
      <c r="I621" t="s">
        <v>3059</v>
      </c>
      <c r="J621" t="s">
        <v>1963</v>
      </c>
      <c r="K621" t="s">
        <v>3480</v>
      </c>
      <c r="L621" t="s">
        <v>2046</v>
      </c>
      <c r="M621" t="s">
        <v>3060</v>
      </c>
      <c r="N621" t="s">
        <v>3061</v>
      </c>
      <c r="O621" t="s">
        <v>3035</v>
      </c>
      <c r="P621" t="s">
        <v>3036</v>
      </c>
      <c r="Q621" t="s">
        <v>14</v>
      </c>
      <c r="R621" t="s">
        <v>14</v>
      </c>
      <c r="S621" t="s">
        <v>14</v>
      </c>
      <c r="T621" t="s">
        <v>14</v>
      </c>
      <c r="U621" t="s">
        <v>2390</v>
      </c>
      <c r="V621" t="s">
        <v>14</v>
      </c>
      <c r="W621" t="b">
        <v>1</v>
      </c>
      <c r="X621" t="s">
        <v>3481</v>
      </c>
      <c r="Y621" t="b">
        <v>0</v>
      </c>
      <c r="Z621" t="s">
        <v>2081</v>
      </c>
    </row>
    <row r="622" spans="1:26" x14ac:dyDescent="0.35">
      <c r="A622" t="s">
        <v>375</v>
      </c>
      <c r="B622" t="s">
        <v>376</v>
      </c>
      <c r="C622" t="s">
        <v>3167</v>
      </c>
      <c r="D622" t="s">
        <v>1963</v>
      </c>
      <c r="E622" t="s">
        <v>2020</v>
      </c>
      <c r="F622" t="s">
        <v>2021</v>
      </c>
      <c r="G622" t="s">
        <v>2022</v>
      </c>
      <c r="H622" t="s">
        <v>2023</v>
      </c>
      <c r="I622" t="s">
        <v>3554</v>
      </c>
      <c r="J622" t="s">
        <v>1963</v>
      </c>
      <c r="K622" t="s">
        <v>3480</v>
      </c>
      <c r="L622" t="s">
        <v>2046</v>
      </c>
      <c r="M622" t="s">
        <v>3555</v>
      </c>
      <c r="N622" t="s">
        <v>3556</v>
      </c>
      <c r="O622" t="s">
        <v>3485</v>
      </c>
      <c r="P622" t="s">
        <v>3486</v>
      </c>
      <c r="Q622" t="s">
        <v>14</v>
      </c>
      <c r="R622" t="s">
        <v>14</v>
      </c>
      <c r="S622" t="s">
        <v>3487</v>
      </c>
      <c r="T622" t="s">
        <v>3488</v>
      </c>
      <c r="U622" t="s">
        <v>2171</v>
      </c>
      <c r="V622" t="s">
        <v>14</v>
      </c>
      <c r="W622" t="b">
        <v>1</v>
      </c>
      <c r="X622" t="s">
        <v>3481</v>
      </c>
      <c r="Y622" t="b">
        <v>0</v>
      </c>
      <c r="Z622" t="s">
        <v>2053</v>
      </c>
    </row>
    <row r="623" spans="1:26" x14ac:dyDescent="0.35">
      <c r="A623" t="s">
        <v>375</v>
      </c>
      <c r="B623" t="s">
        <v>376</v>
      </c>
      <c r="C623" t="s">
        <v>3167</v>
      </c>
      <c r="D623" t="s">
        <v>1963</v>
      </c>
      <c r="E623" t="s">
        <v>2020</v>
      </c>
      <c r="F623" t="s">
        <v>2021</v>
      </c>
      <c r="G623" t="s">
        <v>2022</v>
      </c>
      <c r="H623" t="s">
        <v>2023</v>
      </c>
      <c r="I623" t="s">
        <v>3557</v>
      </c>
      <c r="J623" t="s">
        <v>1963</v>
      </c>
      <c r="K623" t="s">
        <v>3480</v>
      </c>
      <c r="L623" t="s">
        <v>2046</v>
      </c>
      <c r="M623" t="s">
        <v>3027</v>
      </c>
      <c r="N623" t="s">
        <v>3028</v>
      </c>
      <c r="O623" t="s">
        <v>3502</v>
      </c>
      <c r="P623" t="s">
        <v>3503</v>
      </c>
      <c r="Q623" t="s">
        <v>14</v>
      </c>
      <c r="R623" t="s">
        <v>14</v>
      </c>
      <c r="S623" t="s">
        <v>3507</v>
      </c>
      <c r="T623" t="s">
        <v>3508</v>
      </c>
      <c r="U623" t="s">
        <v>2171</v>
      </c>
      <c r="V623" t="s">
        <v>14</v>
      </c>
      <c r="W623" t="b">
        <v>1</v>
      </c>
      <c r="X623" t="s">
        <v>3481</v>
      </c>
      <c r="Y623" t="b">
        <v>0</v>
      </c>
      <c r="Z623" t="s">
        <v>2032</v>
      </c>
    </row>
    <row r="624" spans="1:26" x14ac:dyDescent="0.35">
      <c r="A624" t="s">
        <v>375</v>
      </c>
      <c r="B624" t="s">
        <v>376</v>
      </c>
      <c r="C624" t="s">
        <v>3167</v>
      </c>
      <c r="D624" t="s">
        <v>1963</v>
      </c>
      <c r="E624" t="s">
        <v>2020</v>
      </c>
      <c r="F624" t="s">
        <v>2021</v>
      </c>
      <c r="G624" t="s">
        <v>2022</v>
      </c>
      <c r="H624" t="s">
        <v>2023</v>
      </c>
      <c r="I624" t="s">
        <v>3558</v>
      </c>
      <c r="J624" t="s">
        <v>1963</v>
      </c>
      <c r="K624" t="s">
        <v>3480</v>
      </c>
      <c r="L624" t="s">
        <v>2046</v>
      </c>
      <c r="M624" t="s">
        <v>3559</v>
      </c>
      <c r="N624" t="s">
        <v>3560</v>
      </c>
      <c r="O624" t="s">
        <v>2075</v>
      </c>
      <c r="P624" t="s">
        <v>2076</v>
      </c>
      <c r="Q624" t="s">
        <v>2077</v>
      </c>
      <c r="R624" t="s">
        <v>14</v>
      </c>
      <c r="S624" t="s">
        <v>3561</v>
      </c>
      <c r="T624" t="s">
        <v>3562</v>
      </c>
      <c r="U624" t="s">
        <v>2080</v>
      </c>
      <c r="V624" t="s">
        <v>14</v>
      </c>
      <c r="W624" t="b">
        <v>1</v>
      </c>
      <c r="X624" t="s">
        <v>3481</v>
      </c>
      <c r="Y624" t="b">
        <v>0</v>
      </c>
      <c r="Z624" t="s">
        <v>2081</v>
      </c>
    </row>
    <row r="625" spans="1:26" x14ac:dyDescent="0.35">
      <c r="A625" t="s">
        <v>375</v>
      </c>
      <c r="B625" t="s">
        <v>376</v>
      </c>
      <c r="C625" t="s">
        <v>3167</v>
      </c>
      <c r="D625" t="s">
        <v>1963</v>
      </c>
      <c r="E625" t="s">
        <v>2020</v>
      </c>
      <c r="F625" t="s">
        <v>2021</v>
      </c>
      <c r="G625" t="s">
        <v>2022</v>
      </c>
      <c r="H625" t="s">
        <v>2023</v>
      </c>
      <c r="I625" t="s">
        <v>3563</v>
      </c>
      <c r="J625" t="s">
        <v>1963</v>
      </c>
      <c r="K625" t="s">
        <v>3480</v>
      </c>
      <c r="L625" t="s">
        <v>2046</v>
      </c>
      <c r="M625" t="s">
        <v>3564</v>
      </c>
      <c r="N625" t="s">
        <v>3565</v>
      </c>
      <c r="O625" t="s">
        <v>3536</v>
      </c>
      <c r="P625" t="s">
        <v>3537</v>
      </c>
      <c r="Q625" t="s">
        <v>3566</v>
      </c>
      <c r="R625" t="s">
        <v>14</v>
      </c>
      <c r="S625" t="s">
        <v>14</v>
      </c>
      <c r="T625" t="s">
        <v>14</v>
      </c>
      <c r="U625" t="s">
        <v>3015</v>
      </c>
      <c r="V625" t="s">
        <v>14</v>
      </c>
      <c r="W625" t="b">
        <v>1</v>
      </c>
      <c r="X625" t="s">
        <v>3481</v>
      </c>
      <c r="Y625" t="b">
        <v>0</v>
      </c>
      <c r="Z625" t="s">
        <v>2081</v>
      </c>
    </row>
    <row r="626" spans="1:26" x14ac:dyDescent="0.35">
      <c r="A626" t="s">
        <v>375</v>
      </c>
      <c r="B626" t="s">
        <v>376</v>
      </c>
      <c r="C626" t="s">
        <v>3167</v>
      </c>
      <c r="D626" t="s">
        <v>1963</v>
      </c>
      <c r="E626" t="s">
        <v>2020</v>
      </c>
      <c r="F626" t="s">
        <v>2021</v>
      </c>
      <c r="G626" t="s">
        <v>2022</v>
      </c>
      <c r="H626" t="s">
        <v>2023</v>
      </c>
      <c r="I626" t="s">
        <v>3011</v>
      </c>
      <c r="J626" t="s">
        <v>1963</v>
      </c>
      <c r="K626" t="s">
        <v>3480</v>
      </c>
      <c r="L626" t="s">
        <v>2046</v>
      </c>
      <c r="M626" t="s">
        <v>3013</v>
      </c>
      <c r="N626" t="s">
        <v>3014</v>
      </c>
      <c r="O626" t="s">
        <v>3013</v>
      </c>
      <c r="P626" t="s">
        <v>3014</v>
      </c>
      <c r="Q626" t="s">
        <v>14</v>
      </c>
      <c r="R626" t="s">
        <v>14</v>
      </c>
      <c r="S626" t="s">
        <v>14</v>
      </c>
      <c r="T626" t="s">
        <v>14</v>
      </c>
      <c r="U626" t="s">
        <v>3015</v>
      </c>
      <c r="V626" t="s">
        <v>14</v>
      </c>
      <c r="W626" t="b">
        <v>1</v>
      </c>
      <c r="X626" t="s">
        <v>3481</v>
      </c>
      <c r="Y626" t="b">
        <v>0</v>
      </c>
      <c r="Z626" t="s">
        <v>2053</v>
      </c>
    </row>
    <row r="627" spans="1:26" x14ac:dyDescent="0.35">
      <c r="A627" t="s">
        <v>375</v>
      </c>
      <c r="B627" t="s">
        <v>376</v>
      </c>
      <c r="C627" t="s">
        <v>3167</v>
      </c>
      <c r="D627" t="s">
        <v>1963</v>
      </c>
      <c r="E627" t="s">
        <v>2020</v>
      </c>
      <c r="F627" t="s">
        <v>2021</v>
      </c>
      <c r="G627" t="s">
        <v>2022</v>
      </c>
      <c r="H627" t="s">
        <v>2023</v>
      </c>
      <c r="I627" t="s">
        <v>3567</v>
      </c>
      <c r="J627" t="s">
        <v>1963</v>
      </c>
      <c r="K627" t="s">
        <v>3480</v>
      </c>
      <c r="L627" t="s">
        <v>2046</v>
      </c>
      <c r="M627" t="s">
        <v>2338</v>
      </c>
      <c r="N627" t="s">
        <v>2339</v>
      </c>
      <c r="O627" t="s">
        <v>2340</v>
      </c>
      <c r="P627" t="s">
        <v>2341</v>
      </c>
      <c r="Q627" t="s">
        <v>14</v>
      </c>
      <c r="R627" t="s">
        <v>14</v>
      </c>
      <c r="S627" t="s">
        <v>3568</v>
      </c>
      <c r="T627" t="s">
        <v>3569</v>
      </c>
      <c r="U627" t="s">
        <v>2171</v>
      </c>
      <c r="V627" t="s">
        <v>14</v>
      </c>
      <c r="W627" t="b">
        <v>1</v>
      </c>
      <c r="X627" t="s">
        <v>3481</v>
      </c>
      <c r="Y627" t="b">
        <v>0</v>
      </c>
      <c r="Z627" t="s">
        <v>2081</v>
      </c>
    </row>
    <row r="628" spans="1:26" x14ac:dyDescent="0.35">
      <c r="A628" t="s">
        <v>375</v>
      </c>
      <c r="B628" t="s">
        <v>376</v>
      </c>
      <c r="C628" t="s">
        <v>3167</v>
      </c>
      <c r="D628" t="s">
        <v>1963</v>
      </c>
      <c r="E628" t="s">
        <v>2020</v>
      </c>
      <c r="F628" t="s">
        <v>2021</v>
      </c>
      <c r="G628" t="s">
        <v>2022</v>
      </c>
      <c r="H628" t="s">
        <v>2023</v>
      </c>
      <c r="I628" t="s">
        <v>50</v>
      </c>
      <c r="J628" t="s">
        <v>1963</v>
      </c>
      <c r="K628" t="s">
        <v>3480</v>
      </c>
      <c r="L628" t="s">
        <v>2046</v>
      </c>
      <c r="M628" t="s">
        <v>2047</v>
      </c>
      <c r="N628" t="s">
        <v>2048</v>
      </c>
      <c r="O628" t="s">
        <v>2047</v>
      </c>
      <c r="P628" t="s">
        <v>2048</v>
      </c>
      <c r="Q628" t="s">
        <v>14</v>
      </c>
      <c r="R628" t="s">
        <v>14</v>
      </c>
      <c r="S628" t="s">
        <v>3570</v>
      </c>
      <c r="T628" t="s">
        <v>3571</v>
      </c>
      <c r="U628" t="s">
        <v>2052</v>
      </c>
      <c r="V628" t="s">
        <v>14</v>
      </c>
      <c r="W628" t="b">
        <v>1</v>
      </c>
      <c r="X628" t="s">
        <v>3481</v>
      </c>
      <c r="Y628" t="b">
        <v>0</v>
      </c>
      <c r="Z628" t="s">
        <v>2053</v>
      </c>
    </row>
    <row r="629" spans="1:26" x14ac:dyDescent="0.35">
      <c r="A629" t="s">
        <v>375</v>
      </c>
      <c r="B629" t="s">
        <v>376</v>
      </c>
      <c r="C629" t="s">
        <v>3167</v>
      </c>
      <c r="D629" t="s">
        <v>1963</v>
      </c>
      <c r="E629" t="s">
        <v>2020</v>
      </c>
      <c r="F629" t="s">
        <v>2021</v>
      </c>
      <c r="G629" t="s">
        <v>2022</v>
      </c>
      <c r="H629" t="s">
        <v>2023</v>
      </c>
      <c r="I629" t="s">
        <v>3043</v>
      </c>
      <c r="J629" t="s">
        <v>1963</v>
      </c>
      <c r="K629" t="s">
        <v>3480</v>
      </c>
      <c r="L629" t="s">
        <v>2046</v>
      </c>
      <c r="M629" t="s">
        <v>3038</v>
      </c>
      <c r="N629" t="s">
        <v>3039</v>
      </c>
      <c r="O629" t="s">
        <v>2401</v>
      </c>
      <c r="P629" t="s">
        <v>2402</v>
      </c>
      <c r="Q629" t="s">
        <v>2403</v>
      </c>
      <c r="R629" t="s">
        <v>14</v>
      </c>
      <c r="S629" t="s">
        <v>2404</v>
      </c>
      <c r="T629" t="s">
        <v>2405</v>
      </c>
      <c r="U629" t="s">
        <v>2390</v>
      </c>
      <c r="V629" t="s">
        <v>14</v>
      </c>
      <c r="W629" t="b">
        <v>1</v>
      </c>
      <c r="X629" t="s">
        <v>3481</v>
      </c>
      <c r="Y629" t="b">
        <v>0</v>
      </c>
      <c r="Z629" t="s">
        <v>2053</v>
      </c>
    </row>
    <row r="630" spans="1:26" x14ac:dyDescent="0.35">
      <c r="A630" t="s">
        <v>375</v>
      </c>
      <c r="B630" t="s">
        <v>376</v>
      </c>
      <c r="C630" t="s">
        <v>3167</v>
      </c>
      <c r="D630" t="s">
        <v>1963</v>
      </c>
      <c r="E630" t="s">
        <v>2020</v>
      </c>
      <c r="F630" t="s">
        <v>2021</v>
      </c>
      <c r="G630" t="s">
        <v>2022</v>
      </c>
      <c r="H630" t="s">
        <v>2023</v>
      </c>
      <c r="I630" t="s">
        <v>3572</v>
      </c>
      <c r="J630" t="s">
        <v>1963</v>
      </c>
      <c r="K630" t="s">
        <v>3480</v>
      </c>
      <c r="L630" t="s">
        <v>2046</v>
      </c>
      <c r="M630" t="s">
        <v>3573</v>
      </c>
      <c r="N630" t="s">
        <v>3574</v>
      </c>
      <c r="O630" t="s">
        <v>2362</v>
      </c>
      <c r="P630" t="s">
        <v>2363</v>
      </c>
      <c r="Q630" t="s">
        <v>2844</v>
      </c>
      <c r="R630" t="s">
        <v>14</v>
      </c>
      <c r="S630" t="s">
        <v>2845</v>
      </c>
      <c r="T630" t="s">
        <v>2846</v>
      </c>
      <c r="U630" t="s">
        <v>2171</v>
      </c>
      <c r="V630" t="s">
        <v>14</v>
      </c>
      <c r="W630" t="b">
        <v>1</v>
      </c>
      <c r="X630" t="s">
        <v>3481</v>
      </c>
      <c r="Y630" t="b">
        <v>0</v>
      </c>
      <c r="Z630" t="s">
        <v>2081</v>
      </c>
    </row>
    <row r="631" spans="1:26" x14ac:dyDescent="0.35">
      <c r="A631" t="s">
        <v>375</v>
      </c>
      <c r="B631" t="s">
        <v>376</v>
      </c>
      <c r="C631" t="s">
        <v>3167</v>
      </c>
      <c r="D631" t="s">
        <v>1963</v>
      </c>
      <c r="E631" t="s">
        <v>2020</v>
      </c>
      <c r="F631" t="s">
        <v>2021</v>
      </c>
      <c r="G631" t="s">
        <v>2022</v>
      </c>
      <c r="H631" t="s">
        <v>2023</v>
      </c>
      <c r="I631" t="s">
        <v>3575</v>
      </c>
      <c r="J631" t="s">
        <v>1963</v>
      </c>
      <c r="K631" t="s">
        <v>3480</v>
      </c>
      <c r="L631" t="s">
        <v>2046</v>
      </c>
      <c r="M631" t="s">
        <v>3483</v>
      </c>
      <c r="N631" t="s">
        <v>3484</v>
      </c>
      <c r="O631" t="s">
        <v>2635</v>
      </c>
      <c r="P631" t="s">
        <v>2636</v>
      </c>
      <c r="Q631" t="s">
        <v>14</v>
      </c>
      <c r="R631" t="s">
        <v>14</v>
      </c>
      <c r="S631" t="s">
        <v>14</v>
      </c>
      <c r="T631" t="s">
        <v>14</v>
      </c>
      <c r="U631" t="s">
        <v>2171</v>
      </c>
      <c r="V631" t="s">
        <v>14</v>
      </c>
      <c r="W631" t="b">
        <v>1</v>
      </c>
      <c r="X631" t="s">
        <v>3481</v>
      </c>
      <c r="Y631" t="b">
        <v>0</v>
      </c>
      <c r="Z631" t="s">
        <v>2081</v>
      </c>
    </row>
    <row r="632" spans="1:26" x14ac:dyDescent="0.35">
      <c r="A632" t="s">
        <v>375</v>
      </c>
      <c r="B632" t="s">
        <v>376</v>
      </c>
      <c r="C632" t="s">
        <v>3167</v>
      </c>
      <c r="D632" t="s">
        <v>1963</v>
      </c>
      <c r="E632" t="s">
        <v>2020</v>
      </c>
      <c r="F632" t="s">
        <v>2021</v>
      </c>
      <c r="G632" t="s">
        <v>2022</v>
      </c>
      <c r="H632" t="s">
        <v>2023</v>
      </c>
      <c r="I632" t="s">
        <v>3576</v>
      </c>
      <c r="J632" t="s">
        <v>1963</v>
      </c>
      <c r="K632" t="s">
        <v>3480</v>
      </c>
      <c r="L632" t="s">
        <v>2046</v>
      </c>
      <c r="M632" t="s">
        <v>3577</v>
      </c>
      <c r="N632" t="s">
        <v>3578</v>
      </c>
      <c r="O632" t="s">
        <v>3579</v>
      </c>
      <c r="P632" t="s">
        <v>3580</v>
      </c>
      <c r="Q632" t="s">
        <v>14</v>
      </c>
      <c r="R632" t="s">
        <v>14</v>
      </c>
      <c r="S632" t="s">
        <v>3581</v>
      </c>
      <c r="T632" t="s">
        <v>3582</v>
      </c>
      <c r="U632" t="s">
        <v>2390</v>
      </c>
      <c r="V632" t="s">
        <v>14</v>
      </c>
      <c r="W632" t="b">
        <v>1</v>
      </c>
      <c r="X632" t="s">
        <v>3481</v>
      </c>
      <c r="Y632" t="b">
        <v>0</v>
      </c>
      <c r="Z632" t="s">
        <v>2053</v>
      </c>
    </row>
    <row r="633" spans="1:26" x14ac:dyDescent="0.35">
      <c r="A633" t="s">
        <v>375</v>
      </c>
      <c r="B633" t="s">
        <v>376</v>
      </c>
      <c r="C633" t="s">
        <v>3167</v>
      </c>
      <c r="D633" t="s">
        <v>1963</v>
      </c>
      <c r="E633" t="s">
        <v>2020</v>
      </c>
      <c r="F633" t="s">
        <v>2021</v>
      </c>
      <c r="G633" t="s">
        <v>2022</v>
      </c>
      <c r="H633" t="s">
        <v>2023</v>
      </c>
      <c r="I633" t="s">
        <v>3063</v>
      </c>
      <c r="J633" t="s">
        <v>1963</v>
      </c>
      <c r="K633" t="s">
        <v>3480</v>
      </c>
      <c r="L633" t="s">
        <v>2046</v>
      </c>
      <c r="M633" t="s">
        <v>3064</v>
      </c>
      <c r="N633" t="s">
        <v>3065</v>
      </c>
      <c r="O633" t="s">
        <v>2211</v>
      </c>
      <c r="P633" t="s">
        <v>2212</v>
      </c>
      <c r="Q633" t="s">
        <v>3066</v>
      </c>
      <c r="R633" t="s">
        <v>14</v>
      </c>
      <c r="S633" t="s">
        <v>2231</v>
      </c>
      <c r="T633" t="s">
        <v>2232</v>
      </c>
      <c r="U633" t="s">
        <v>2052</v>
      </c>
      <c r="V633" t="s">
        <v>14</v>
      </c>
      <c r="W633" t="b">
        <v>1</v>
      </c>
      <c r="X633" t="s">
        <v>3481</v>
      </c>
      <c r="Y633" t="b">
        <v>0</v>
      </c>
      <c r="Z633" t="s">
        <v>2053</v>
      </c>
    </row>
    <row r="634" spans="1:26" x14ac:dyDescent="0.35">
      <c r="A634" t="s">
        <v>375</v>
      </c>
      <c r="B634" t="s">
        <v>376</v>
      </c>
      <c r="C634" t="s">
        <v>3167</v>
      </c>
      <c r="D634" t="s">
        <v>1963</v>
      </c>
      <c r="E634" t="s">
        <v>2020</v>
      </c>
      <c r="F634" t="s">
        <v>2021</v>
      </c>
      <c r="G634" t="s">
        <v>2022</v>
      </c>
      <c r="H634" t="s">
        <v>2023</v>
      </c>
      <c r="I634" t="s">
        <v>3583</v>
      </c>
      <c r="J634" t="s">
        <v>1963</v>
      </c>
      <c r="K634" t="s">
        <v>3480</v>
      </c>
      <c r="L634" t="s">
        <v>2046</v>
      </c>
      <c r="M634" t="s">
        <v>3584</v>
      </c>
      <c r="N634" t="s">
        <v>3585</v>
      </c>
      <c r="O634" t="s">
        <v>2362</v>
      </c>
      <c r="P634" t="s">
        <v>2363</v>
      </c>
      <c r="Q634" t="s">
        <v>2844</v>
      </c>
      <c r="R634" t="s">
        <v>14</v>
      </c>
      <c r="S634" t="s">
        <v>2845</v>
      </c>
      <c r="T634" t="s">
        <v>2846</v>
      </c>
      <c r="U634" t="s">
        <v>2171</v>
      </c>
      <c r="V634" t="s">
        <v>14</v>
      </c>
      <c r="W634" t="b">
        <v>1</v>
      </c>
      <c r="X634" t="s">
        <v>3481</v>
      </c>
      <c r="Y634" t="b">
        <v>0</v>
      </c>
      <c r="Z634" t="s">
        <v>2032</v>
      </c>
    </row>
    <row r="635" spans="1:26" x14ac:dyDescent="0.35">
      <c r="A635" t="s">
        <v>375</v>
      </c>
      <c r="B635" t="s">
        <v>376</v>
      </c>
      <c r="C635" t="s">
        <v>3167</v>
      </c>
      <c r="D635" t="s">
        <v>1963</v>
      </c>
      <c r="E635" t="s">
        <v>2020</v>
      </c>
      <c r="F635" t="s">
        <v>2021</v>
      </c>
      <c r="G635" t="s">
        <v>2022</v>
      </c>
      <c r="H635" t="s">
        <v>2023</v>
      </c>
      <c r="I635" t="s">
        <v>3586</v>
      </c>
      <c r="J635" t="s">
        <v>1963</v>
      </c>
      <c r="K635" t="s">
        <v>3480</v>
      </c>
      <c r="L635" t="s">
        <v>2046</v>
      </c>
      <c r="M635" t="s">
        <v>3587</v>
      </c>
      <c r="N635" t="s">
        <v>3588</v>
      </c>
      <c r="O635" t="s">
        <v>2047</v>
      </c>
      <c r="P635" t="s">
        <v>2048</v>
      </c>
      <c r="Q635" t="s">
        <v>14</v>
      </c>
      <c r="R635" t="s">
        <v>14</v>
      </c>
      <c r="S635" t="s">
        <v>14</v>
      </c>
      <c r="T635" t="s">
        <v>14</v>
      </c>
      <c r="U635" t="s">
        <v>2052</v>
      </c>
      <c r="V635" t="s">
        <v>14</v>
      </c>
      <c r="W635" t="b">
        <v>1</v>
      </c>
      <c r="X635" t="s">
        <v>3481</v>
      </c>
      <c r="Y635" t="b">
        <v>0</v>
      </c>
      <c r="Z635" t="s">
        <v>2053</v>
      </c>
    </row>
    <row r="636" spans="1:26" x14ac:dyDescent="0.35">
      <c r="A636" t="s">
        <v>375</v>
      </c>
      <c r="B636" t="s">
        <v>376</v>
      </c>
      <c r="C636" t="s">
        <v>3167</v>
      </c>
      <c r="D636" t="s">
        <v>1963</v>
      </c>
      <c r="E636" t="s">
        <v>2020</v>
      </c>
      <c r="F636" t="s">
        <v>2021</v>
      </c>
      <c r="G636" t="s">
        <v>2022</v>
      </c>
      <c r="H636" t="s">
        <v>2023</v>
      </c>
      <c r="I636" t="s">
        <v>3589</v>
      </c>
      <c r="J636" t="s">
        <v>1963</v>
      </c>
      <c r="K636" t="s">
        <v>3480</v>
      </c>
      <c r="L636" t="s">
        <v>2046</v>
      </c>
      <c r="M636" t="s">
        <v>3483</v>
      </c>
      <c r="N636" t="s">
        <v>3484</v>
      </c>
      <c r="O636" t="s">
        <v>3485</v>
      </c>
      <c r="P636" t="s">
        <v>3486</v>
      </c>
      <c r="Q636" t="s">
        <v>14</v>
      </c>
      <c r="R636" t="s">
        <v>14</v>
      </c>
      <c r="S636" t="s">
        <v>3487</v>
      </c>
      <c r="T636" t="s">
        <v>3488</v>
      </c>
      <c r="U636" t="s">
        <v>2171</v>
      </c>
      <c r="V636" t="s">
        <v>14</v>
      </c>
      <c r="W636" t="b">
        <v>1</v>
      </c>
      <c r="X636" t="s">
        <v>3481</v>
      </c>
      <c r="Y636" t="b">
        <v>0</v>
      </c>
      <c r="Z636" t="s">
        <v>2053</v>
      </c>
    </row>
    <row r="637" spans="1:26" x14ac:dyDescent="0.35">
      <c r="A637" t="s">
        <v>375</v>
      </c>
      <c r="B637" t="s">
        <v>376</v>
      </c>
      <c r="C637" t="s">
        <v>3167</v>
      </c>
      <c r="D637" t="s">
        <v>1963</v>
      </c>
      <c r="E637" t="s">
        <v>2020</v>
      </c>
      <c r="F637" t="s">
        <v>2021</v>
      </c>
      <c r="G637" t="s">
        <v>2022</v>
      </c>
      <c r="H637" t="s">
        <v>2023</v>
      </c>
      <c r="I637" t="s">
        <v>3590</v>
      </c>
      <c r="J637" t="s">
        <v>1963</v>
      </c>
      <c r="K637" t="s">
        <v>3480</v>
      </c>
      <c r="L637" t="s">
        <v>2046</v>
      </c>
      <c r="M637" t="s">
        <v>3591</v>
      </c>
      <c r="N637" t="s">
        <v>3592</v>
      </c>
      <c r="O637" t="s">
        <v>2214</v>
      </c>
      <c r="P637" t="s">
        <v>2215</v>
      </c>
      <c r="Q637" t="s">
        <v>3229</v>
      </c>
      <c r="R637" t="s">
        <v>14</v>
      </c>
      <c r="S637" t="s">
        <v>3230</v>
      </c>
      <c r="T637" t="s">
        <v>3231</v>
      </c>
      <c r="U637" t="s">
        <v>2052</v>
      </c>
      <c r="V637" t="s">
        <v>14</v>
      </c>
      <c r="W637" t="b">
        <v>1</v>
      </c>
      <c r="X637" t="s">
        <v>3481</v>
      </c>
      <c r="Y637" t="b">
        <v>0</v>
      </c>
      <c r="Z637" t="s">
        <v>2053</v>
      </c>
    </row>
    <row r="638" spans="1:26" x14ac:dyDescent="0.35">
      <c r="A638" t="s">
        <v>375</v>
      </c>
      <c r="B638" t="s">
        <v>376</v>
      </c>
      <c r="C638" t="s">
        <v>3167</v>
      </c>
      <c r="D638" t="s">
        <v>1963</v>
      </c>
      <c r="E638" t="s">
        <v>2020</v>
      </c>
      <c r="F638" t="s">
        <v>2021</v>
      </c>
      <c r="G638" t="s">
        <v>2022</v>
      </c>
      <c r="H638" t="s">
        <v>2023</v>
      </c>
      <c r="I638" t="s">
        <v>3052</v>
      </c>
      <c r="J638" t="s">
        <v>1963</v>
      </c>
      <c r="K638" t="s">
        <v>3480</v>
      </c>
      <c r="L638" t="s">
        <v>2046</v>
      </c>
      <c r="M638" t="s">
        <v>3038</v>
      </c>
      <c r="N638" t="s">
        <v>3039</v>
      </c>
      <c r="O638" t="s">
        <v>2401</v>
      </c>
      <c r="P638" t="s">
        <v>2402</v>
      </c>
      <c r="Q638" t="s">
        <v>2403</v>
      </c>
      <c r="R638" t="s">
        <v>14</v>
      </c>
      <c r="S638" t="s">
        <v>2404</v>
      </c>
      <c r="T638" t="s">
        <v>2405</v>
      </c>
      <c r="U638" t="s">
        <v>2390</v>
      </c>
      <c r="V638" t="s">
        <v>14</v>
      </c>
      <c r="W638" t="b">
        <v>1</v>
      </c>
      <c r="X638" t="s">
        <v>3481</v>
      </c>
      <c r="Y638" t="b">
        <v>0</v>
      </c>
      <c r="Z638" t="s">
        <v>2053</v>
      </c>
    </row>
    <row r="639" spans="1:26" x14ac:dyDescent="0.35">
      <c r="A639" t="s">
        <v>375</v>
      </c>
      <c r="B639" t="s">
        <v>376</v>
      </c>
      <c r="C639" t="s">
        <v>3167</v>
      </c>
      <c r="D639" t="s">
        <v>1963</v>
      </c>
      <c r="E639" t="s">
        <v>2020</v>
      </c>
      <c r="F639" t="s">
        <v>2021</v>
      </c>
      <c r="G639" t="s">
        <v>2022</v>
      </c>
      <c r="H639" t="s">
        <v>2023</v>
      </c>
      <c r="I639" t="s">
        <v>3593</v>
      </c>
      <c r="J639" t="s">
        <v>1963</v>
      </c>
      <c r="K639" t="s">
        <v>3480</v>
      </c>
      <c r="L639" t="s">
        <v>2046</v>
      </c>
      <c r="M639" t="s">
        <v>3459</v>
      </c>
      <c r="N639" t="s">
        <v>3460</v>
      </c>
      <c r="O639" t="s">
        <v>2075</v>
      </c>
      <c r="P639" t="s">
        <v>2076</v>
      </c>
      <c r="Q639" t="s">
        <v>2077</v>
      </c>
      <c r="R639" t="s">
        <v>14</v>
      </c>
      <c r="S639" t="s">
        <v>2078</v>
      </c>
      <c r="T639" t="s">
        <v>2079</v>
      </c>
      <c r="U639" t="s">
        <v>2080</v>
      </c>
      <c r="V639" t="s">
        <v>14</v>
      </c>
      <c r="W639" t="b">
        <v>1</v>
      </c>
      <c r="X639" t="s">
        <v>3481</v>
      </c>
      <c r="Y639" t="b">
        <v>0</v>
      </c>
      <c r="Z639" t="s">
        <v>2053</v>
      </c>
    </row>
    <row r="640" spans="1:26" x14ac:dyDescent="0.35">
      <c r="A640" t="s">
        <v>375</v>
      </c>
      <c r="B640" t="s">
        <v>376</v>
      </c>
      <c r="C640" t="s">
        <v>3167</v>
      </c>
      <c r="D640" t="s">
        <v>1963</v>
      </c>
      <c r="E640" t="s">
        <v>2020</v>
      </c>
      <c r="F640" t="s">
        <v>2021</v>
      </c>
      <c r="G640" t="s">
        <v>2022</v>
      </c>
      <c r="H640" t="s">
        <v>2023</v>
      </c>
      <c r="I640" t="s">
        <v>3594</v>
      </c>
      <c r="J640" t="s">
        <v>1963</v>
      </c>
      <c r="K640" t="s">
        <v>3480</v>
      </c>
      <c r="L640" t="s">
        <v>2046</v>
      </c>
      <c r="M640" t="s">
        <v>3595</v>
      </c>
      <c r="N640" t="s">
        <v>3596</v>
      </c>
      <c r="O640" t="s">
        <v>2362</v>
      </c>
      <c r="P640" t="s">
        <v>2363</v>
      </c>
      <c r="Q640" t="s">
        <v>2844</v>
      </c>
      <c r="R640" t="s">
        <v>14</v>
      </c>
      <c r="S640" t="s">
        <v>3368</v>
      </c>
      <c r="T640" t="s">
        <v>3369</v>
      </c>
      <c r="U640" t="s">
        <v>2171</v>
      </c>
      <c r="V640" t="s">
        <v>14</v>
      </c>
      <c r="W640" t="b">
        <v>1</v>
      </c>
      <c r="X640" t="s">
        <v>3481</v>
      </c>
      <c r="Y640" t="b">
        <v>0</v>
      </c>
      <c r="Z640" t="s">
        <v>2053</v>
      </c>
    </row>
    <row r="641" spans="1:26" x14ac:dyDescent="0.35">
      <c r="A641" t="s">
        <v>375</v>
      </c>
      <c r="B641" t="s">
        <v>376</v>
      </c>
      <c r="C641" t="s">
        <v>3167</v>
      </c>
      <c r="D641" t="s">
        <v>1963</v>
      </c>
      <c r="E641" t="s">
        <v>2020</v>
      </c>
      <c r="F641" t="s">
        <v>2021</v>
      </c>
      <c r="G641" t="s">
        <v>2022</v>
      </c>
      <c r="H641" t="s">
        <v>2023</v>
      </c>
      <c r="I641" t="s">
        <v>3597</v>
      </c>
      <c r="J641" t="s">
        <v>1963</v>
      </c>
      <c r="K641" t="s">
        <v>3480</v>
      </c>
      <c r="L641" t="s">
        <v>2046</v>
      </c>
      <c r="M641" t="s">
        <v>3041</v>
      </c>
      <c r="N641" t="s">
        <v>3042</v>
      </c>
      <c r="O641" t="s">
        <v>3013</v>
      </c>
      <c r="P641" t="s">
        <v>3014</v>
      </c>
      <c r="Q641" t="s">
        <v>3021</v>
      </c>
      <c r="R641" t="s">
        <v>14</v>
      </c>
      <c r="S641" t="s">
        <v>3598</v>
      </c>
      <c r="T641" t="s">
        <v>3599</v>
      </c>
      <c r="U641" t="s">
        <v>3015</v>
      </c>
      <c r="V641" t="s">
        <v>14</v>
      </c>
      <c r="W641" t="b">
        <v>1</v>
      </c>
      <c r="X641" t="s">
        <v>3481</v>
      </c>
      <c r="Y641" t="b">
        <v>0</v>
      </c>
      <c r="Z641" t="s">
        <v>2081</v>
      </c>
    </row>
    <row r="642" spans="1:26" x14ac:dyDescent="0.35">
      <c r="A642" t="s">
        <v>375</v>
      </c>
      <c r="B642" t="s">
        <v>376</v>
      </c>
      <c r="C642" t="s">
        <v>3167</v>
      </c>
      <c r="D642" t="s">
        <v>1963</v>
      </c>
      <c r="E642" t="s">
        <v>2020</v>
      </c>
      <c r="F642" t="s">
        <v>2021</v>
      </c>
      <c r="G642" t="s">
        <v>2022</v>
      </c>
      <c r="H642" t="s">
        <v>2023</v>
      </c>
      <c r="I642" t="s">
        <v>3600</v>
      </c>
      <c r="J642" t="s">
        <v>1963</v>
      </c>
      <c r="K642" t="s">
        <v>3480</v>
      </c>
      <c r="L642" t="s">
        <v>2046</v>
      </c>
      <c r="M642" t="s">
        <v>3027</v>
      </c>
      <c r="N642" t="s">
        <v>3028</v>
      </c>
      <c r="O642" t="s">
        <v>3502</v>
      </c>
      <c r="P642" t="s">
        <v>3503</v>
      </c>
      <c r="Q642" t="s">
        <v>14</v>
      </c>
      <c r="R642" t="s">
        <v>14</v>
      </c>
      <c r="S642" t="s">
        <v>3601</v>
      </c>
      <c r="T642" t="s">
        <v>3602</v>
      </c>
      <c r="U642" t="s">
        <v>2171</v>
      </c>
      <c r="V642" t="s">
        <v>14</v>
      </c>
      <c r="W642" t="b">
        <v>1</v>
      </c>
      <c r="X642" t="s">
        <v>3481</v>
      </c>
      <c r="Y642" t="b">
        <v>0</v>
      </c>
      <c r="Z642" t="s">
        <v>2053</v>
      </c>
    </row>
    <row r="643" spans="1:26" x14ac:dyDescent="0.35">
      <c r="A643" t="s">
        <v>375</v>
      </c>
      <c r="B643" t="s">
        <v>376</v>
      </c>
      <c r="C643" t="s">
        <v>3167</v>
      </c>
      <c r="D643" t="s">
        <v>1963</v>
      </c>
      <c r="E643" t="s">
        <v>2020</v>
      </c>
      <c r="F643" t="s">
        <v>2021</v>
      </c>
      <c r="G643" t="s">
        <v>2022</v>
      </c>
      <c r="H643" t="s">
        <v>2023</v>
      </c>
      <c r="I643" t="s">
        <v>3603</v>
      </c>
      <c r="J643" t="s">
        <v>1963</v>
      </c>
      <c r="K643" t="s">
        <v>3480</v>
      </c>
      <c r="L643" t="s">
        <v>2046</v>
      </c>
      <c r="M643" t="s">
        <v>2111</v>
      </c>
      <c r="N643" t="s">
        <v>2112</v>
      </c>
      <c r="O643" t="s">
        <v>2111</v>
      </c>
      <c r="P643" t="s">
        <v>2112</v>
      </c>
      <c r="Q643" t="s">
        <v>2049</v>
      </c>
      <c r="R643" t="s">
        <v>14</v>
      </c>
      <c r="S643" t="s">
        <v>3604</v>
      </c>
      <c r="T643" t="s">
        <v>3605</v>
      </c>
      <c r="U643" t="s">
        <v>2052</v>
      </c>
      <c r="V643" t="s">
        <v>14</v>
      </c>
      <c r="W643" t="b">
        <v>1</v>
      </c>
      <c r="X643" t="s">
        <v>3481</v>
      </c>
      <c r="Y643" t="b">
        <v>0</v>
      </c>
      <c r="Z643" t="s">
        <v>2053</v>
      </c>
    </row>
    <row r="644" spans="1:26" x14ac:dyDescent="0.35">
      <c r="A644" t="s">
        <v>375</v>
      </c>
      <c r="B644" t="s">
        <v>376</v>
      </c>
      <c r="C644" t="s">
        <v>3167</v>
      </c>
      <c r="D644" t="s">
        <v>1963</v>
      </c>
      <c r="E644" t="s">
        <v>2020</v>
      </c>
      <c r="F644" t="s">
        <v>2021</v>
      </c>
      <c r="G644" t="s">
        <v>2022</v>
      </c>
      <c r="H644" t="s">
        <v>2023</v>
      </c>
      <c r="I644" t="s">
        <v>3606</v>
      </c>
      <c r="J644" t="s">
        <v>1963</v>
      </c>
      <c r="K644" t="s">
        <v>3480</v>
      </c>
      <c r="L644" t="s">
        <v>2046</v>
      </c>
      <c r="M644" t="s">
        <v>3607</v>
      </c>
      <c r="N644" t="s">
        <v>3608</v>
      </c>
      <c r="O644" t="s">
        <v>2362</v>
      </c>
      <c r="P644" t="s">
        <v>2363</v>
      </c>
      <c r="Q644" t="s">
        <v>2844</v>
      </c>
      <c r="R644" t="s">
        <v>14</v>
      </c>
      <c r="S644" t="s">
        <v>3368</v>
      </c>
      <c r="T644" t="s">
        <v>3369</v>
      </c>
      <c r="U644" t="s">
        <v>2171</v>
      </c>
      <c r="V644" t="s">
        <v>14</v>
      </c>
      <c r="W644" t="b">
        <v>1</v>
      </c>
      <c r="X644" t="s">
        <v>3481</v>
      </c>
      <c r="Y644" t="b">
        <v>0</v>
      </c>
      <c r="Z644" t="s">
        <v>2053</v>
      </c>
    </row>
    <row r="645" spans="1:26" x14ac:dyDescent="0.35">
      <c r="A645" t="s">
        <v>375</v>
      </c>
      <c r="B645" t="s">
        <v>376</v>
      </c>
      <c r="C645" t="s">
        <v>3167</v>
      </c>
      <c r="D645" t="s">
        <v>1963</v>
      </c>
      <c r="E645" t="s">
        <v>2020</v>
      </c>
      <c r="F645" t="s">
        <v>2021</v>
      </c>
      <c r="G645" t="s">
        <v>2022</v>
      </c>
      <c r="H645" t="s">
        <v>2023</v>
      </c>
      <c r="I645" t="s">
        <v>3609</v>
      </c>
      <c r="J645" t="s">
        <v>1963</v>
      </c>
      <c r="K645" t="s">
        <v>3480</v>
      </c>
      <c r="L645" t="s">
        <v>2046</v>
      </c>
      <c r="M645" t="s">
        <v>2073</v>
      </c>
      <c r="N645" t="s">
        <v>2074</v>
      </c>
      <c r="O645" t="s">
        <v>2075</v>
      </c>
      <c r="P645" t="s">
        <v>2076</v>
      </c>
      <c r="Q645" t="s">
        <v>2077</v>
      </c>
      <c r="R645" t="s">
        <v>14</v>
      </c>
      <c r="S645" t="s">
        <v>2078</v>
      </c>
      <c r="T645" t="s">
        <v>2079</v>
      </c>
      <c r="U645" t="s">
        <v>2080</v>
      </c>
      <c r="V645" t="s">
        <v>14</v>
      </c>
      <c r="W645" t="b">
        <v>1</v>
      </c>
      <c r="X645" t="s">
        <v>3481</v>
      </c>
      <c r="Y645" t="b">
        <v>0</v>
      </c>
      <c r="Z645" t="s">
        <v>2053</v>
      </c>
    </row>
    <row r="646" spans="1:26" x14ac:dyDescent="0.35">
      <c r="A646" t="s">
        <v>375</v>
      </c>
      <c r="B646" t="s">
        <v>376</v>
      </c>
      <c r="C646" t="s">
        <v>3167</v>
      </c>
      <c r="D646" t="s">
        <v>1963</v>
      </c>
      <c r="E646" t="s">
        <v>2020</v>
      </c>
      <c r="F646" t="s">
        <v>2021</v>
      </c>
      <c r="G646" t="s">
        <v>2022</v>
      </c>
      <c r="H646" t="s">
        <v>2023</v>
      </c>
      <c r="I646" t="s">
        <v>2225</v>
      </c>
      <c r="J646" t="s">
        <v>1963</v>
      </c>
      <c r="K646" t="s">
        <v>3480</v>
      </c>
      <c r="L646" t="s">
        <v>2046</v>
      </c>
      <c r="M646" t="s">
        <v>2226</v>
      </c>
      <c r="N646" t="s">
        <v>2227</v>
      </c>
      <c r="O646" t="s">
        <v>2205</v>
      </c>
      <c r="P646" t="s">
        <v>2206</v>
      </c>
      <c r="Q646" t="s">
        <v>14</v>
      </c>
      <c r="R646" t="s">
        <v>14</v>
      </c>
      <c r="S646" t="s">
        <v>14</v>
      </c>
      <c r="T646" t="s">
        <v>14</v>
      </c>
      <c r="U646" t="s">
        <v>2052</v>
      </c>
      <c r="V646" t="s">
        <v>14</v>
      </c>
      <c r="W646" t="b">
        <v>1</v>
      </c>
      <c r="X646" t="s">
        <v>3481</v>
      </c>
      <c r="Y646" t="b">
        <v>0</v>
      </c>
      <c r="Z646" t="s">
        <v>2053</v>
      </c>
    </row>
    <row r="647" spans="1:26" x14ac:dyDescent="0.35">
      <c r="A647" t="s">
        <v>375</v>
      </c>
      <c r="B647" t="s">
        <v>376</v>
      </c>
      <c r="C647" t="s">
        <v>3167</v>
      </c>
      <c r="D647" t="s">
        <v>1963</v>
      </c>
      <c r="E647" t="s">
        <v>2020</v>
      </c>
      <c r="F647" t="s">
        <v>2021</v>
      </c>
      <c r="G647" t="s">
        <v>2022</v>
      </c>
      <c r="H647" t="s">
        <v>2023</v>
      </c>
      <c r="I647" t="s">
        <v>3610</v>
      </c>
      <c r="J647" t="s">
        <v>1963</v>
      </c>
      <c r="K647" t="s">
        <v>3480</v>
      </c>
      <c r="L647" t="s">
        <v>2046</v>
      </c>
      <c r="M647" t="s">
        <v>3564</v>
      </c>
      <c r="N647" t="s">
        <v>3565</v>
      </c>
      <c r="O647" t="s">
        <v>3536</v>
      </c>
      <c r="P647" t="s">
        <v>3537</v>
      </c>
      <c r="Q647" t="s">
        <v>3566</v>
      </c>
      <c r="R647" t="s">
        <v>14</v>
      </c>
      <c r="S647" t="s">
        <v>3611</v>
      </c>
      <c r="T647" t="s">
        <v>3612</v>
      </c>
      <c r="U647" t="s">
        <v>3015</v>
      </c>
      <c r="V647" t="s">
        <v>14</v>
      </c>
      <c r="W647" t="b">
        <v>1</v>
      </c>
      <c r="X647" t="s">
        <v>3481</v>
      </c>
      <c r="Y647" t="b">
        <v>0</v>
      </c>
      <c r="Z647" t="s">
        <v>2081</v>
      </c>
    </row>
    <row r="648" spans="1:26" x14ac:dyDescent="0.35">
      <c r="A648" t="s">
        <v>375</v>
      </c>
      <c r="B648" t="s">
        <v>376</v>
      </c>
      <c r="C648" t="s">
        <v>3167</v>
      </c>
      <c r="D648" t="s">
        <v>1963</v>
      </c>
      <c r="E648" t="s">
        <v>2020</v>
      </c>
      <c r="F648" t="s">
        <v>2021</v>
      </c>
      <c r="G648" t="s">
        <v>2022</v>
      </c>
      <c r="H648" t="s">
        <v>2023</v>
      </c>
      <c r="I648" t="s">
        <v>3613</v>
      </c>
      <c r="J648" t="s">
        <v>1963</v>
      </c>
      <c r="K648" t="s">
        <v>3480</v>
      </c>
      <c r="L648" t="s">
        <v>2046</v>
      </c>
      <c r="M648" t="s">
        <v>2243</v>
      </c>
      <c r="N648" t="s">
        <v>2244</v>
      </c>
      <c r="O648" t="s">
        <v>2214</v>
      </c>
      <c r="P648" t="s">
        <v>2215</v>
      </c>
      <c r="Q648" t="s">
        <v>2295</v>
      </c>
      <c r="R648" t="s">
        <v>14</v>
      </c>
      <c r="S648" t="s">
        <v>3614</v>
      </c>
      <c r="T648" t="s">
        <v>3615</v>
      </c>
      <c r="U648" t="s">
        <v>2052</v>
      </c>
      <c r="V648" t="s">
        <v>14</v>
      </c>
      <c r="W648" t="b">
        <v>1</v>
      </c>
      <c r="X648" t="s">
        <v>3481</v>
      </c>
      <c r="Y648" t="b">
        <v>0</v>
      </c>
      <c r="Z648" t="s">
        <v>2053</v>
      </c>
    </row>
    <row r="649" spans="1:26" x14ac:dyDescent="0.35">
      <c r="A649" t="s">
        <v>375</v>
      </c>
      <c r="B649" t="s">
        <v>376</v>
      </c>
      <c r="C649" t="s">
        <v>3167</v>
      </c>
      <c r="D649" t="s">
        <v>1963</v>
      </c>
      <c r="E649" t="s">
        <v>2020</v>
      </c>
      <c r="F649" t="s">
        <v>2021</v>
      </c>
      <c r="G649" t="s">
        <v>2022</v>
      </c>
      <c r="H649" t="s">
        <v>2023</v>
      </c>
      <c r="I649" t="s">
        <v>3616</v>
      </c>
      <c r="J649" t="s">
        <v>1963</v>
      </c>
      <c r="K649" t="s">
        <v>3480</v>
      </c>
      <c r="L649" t="s">
        <v>2046</v>
      </c>
      <c r="M649" t="s">
        <v>3027</v>
      </c>
      <c r="N649" t="s">
        <v>3028</v>
      </c>
      <c r="O649" t="s">
        <v>3502</v>
      </c>
      <c r="P649" t="s">
        <v>3503</v>
      </c>
      <c r="Q649" t="s">
        <v>14</v>
      </c>
      <c r="R649" t="s">
        <v>14</v>
      </c>
      <c r="S649" t="s">
        <v>3507</v>
      </c>
      <c r="T649" t="s">
        <v>3508</v>
      </c>
      <c r="U649" t="s">
        <v>2171</v>
      </c>
      <c r="V649" t="s">
        <v>14</v>
      </c>
      <c r="W649" t="b">
        <v>1</v>
      </c>
      <c r="X649" t="s">
        <v>3481</v>
      </c>
      <c r="Y649" t="b">
        <v>0</v>
      </c>
      <c r="Z649" t="s">
        <v>2032</v>
      </c>
    </row>
    <row r="650" spans="1:26" x14ac:dyDescent="0.35">
      <c r="A650" t="s">
        <v>375</v>
      </c>
      <c r="B650" t="s">
        <v>376</v>
      </c>
      <c r="C650" t="s">
        <v>3167</v>
      </c>
      <c r="D650" t="s">
        <v>1963</v>
      </c>
      <c r="E650" t="s">
        <v>2020</v>
      </c>
      <c r="F650" t="s">
        <v>2021</v>
      </c>
      <c r="G650" t="s">
        <v>2022</v>
      </c>
      <c r="H650" t="s">
        <v>2023</v>
      </c>
      <c r="I650" t="s">
        <v>3617</v>
      </c>
      <c r="J650" t="s">
        <v>1963</v>
      </c>
      <c r="K650" t="s">
        <v>3480</v>
      </c>
      <c r="L650" t="s">
        <v>2046</v>
      </c>
      <c r="M650" t="s">
        <v>3559</v>
      </c>
      <c r="N650" t="s">
        <v>3560</v>
      </c>
      <c r="O650" t="s">
        <v>2075</v>
      </c>
      <c r="P650" t="s">
        <v>2076</v>
      </c>
      <c r="Q650" t="s">
        <v>2077</v>
      </c>
      <c r="R650" t="s">
        <v>14</v>
      </c>
      <c r="S650" t="s">
        <v>3561</v>
      </c>
      <c r="T650" t="s">
        <v>3562</v>
      </c>
      <c r="U650" t="s">
        <v>2080</v>
      </c>
      <c r="V650" t="s">
        <v>14</v>
      </c>
      <c r="W650" t="b">
        <v>1</v>
      </c>
      <c r="X650" t="s">
        <v>3481</v>
      </c>
      <c r="Y650" t="b">
        <v>0</v>
      </c>
      <c r="Z650" t="s">
        <v>2081</v>
      </c>
    </row>
    <row r="651" spans="1:26" x14ac:dyDescent="0.35">
      <c r="A651" t="s">
        <v>375</v>
      </c>
      <c r="B651" t="s">
        <v>376</v>
      </c>
      <c r="C651" t="s">
        <v>3167</v>
      </c>
      <c r="D651" t="s">
        <v>1963</v>
      </c>
      <c r="E651" t="s">
        <v>2020</v>
      </c>
      <c r="F651" t="s">
        <v>2021</v>
      </c>
      <c r="G651" t="s">
        <v>2022</v>
      </c>
      <c r="H651" t="s">
        <v>2023</v>
      </c>
      <c r="I651" t="s">
        <v>3455</v>
      </c>
      <c r="J651" t="s">
        <v>1963</v>
      </c>
      <c r="K651" t="s">
        <v>3480</v>
      </c>
      <c r="L651" t="s">
        <v>2046</v>
      </c>
      <c r="M651" t="s">
        <v>3456</v>
      </c>
      <c r="N651" t="s">
        <v>3457</v>
      </c>
      <c r="O651" t="s">
        <v>3035</v>
      </c>
      <c r="P651" t="s">
        <v>3036</v>
      </c>
      <c r="Q651" t="s">
        <v>14</v>
      </c>
      <c r="R651" t="s">
        <v>14</v>
      </c>
      <c r="S651" t="s">
        <v>14</v>
      </c>
      <c r="T651" t="s">
        <v>14</v>
      </c>
      <c r="U651" t="s">
        <v>3015</v>
      </c>
      <c r="V651" t="s">
        <v>14</v>
      </c>
      <c r="W651" t="b">
        <v>1</v>
      </c>
      <c r="X651" t="s">
        <v>3481</v>
      </c>
      <c r="Y651" t="b">
        <v>0</v>
      </c>
      <c r="Z651" t="s">
        <v>2053</v>
      </c>
    </row>
    <row r="652" spans="1:26" x14ac:dyDescent="0.35">
      <c r="A652" t="s">
        <v>375</v>
      </c>
      <c r="B652" t="s">
        <v>376</v>
      </c>
      <c r="C652" t="s">
        <v>3167</v>
      </c>
      <c r="D652" t="s">
        <v>1963</v>
      </c>
      <c r="E652" t="s">
        <v>2020</v>
      </c>
      <c r="F652" t="s">
        <v>2021</v>
      </c>
      <c r="G652" t="s">
        <v>2022</v>
      </c>
      <c r="H652" t="s">
        <v>2023</v>
      </c>
      <c r="I652" t="s">
        <v>3618</v>
      </c>
      <c r="J652" t="s">
        <v>1963</v>
      </c>
      <c r="K652" t="s">
        <v>3480</v>
      </c>
      <c r="L652" t="s">
        <v>2046</v>
      </c>
      <c r="M652" t="s">
        <v>3559</v>
      </c>
      <c r="N652" t="s">
        <v>3560</v>
      </c>
      <c r="O652" t="s">
        <v>2075</v>
      </c>
      <c r="P652" t="s">
        <v>2076</v>
      </c>
      <c r="Q652" t="s">
        <v>2077</v>
      </c>
      <c r="R652" t="s">
        <v>14</v>
      </c>
      <c r="S652" t="s">
        <v>3561</v>
      </c>
      <c r="T652" t="s">
        <v>3562</v>
      </c>
      <c r="U652" t="s">
        <v>2080</v>
      </c>
      <c r="V652" t="s">
        <v>14</v>
      </c>
      <c r="W652" t="b">
        <v>1</v>
      </c>
      <c r="X652" t="s">
        <v>3481</v>
      </c>
      <c r="Y652" t="b">
        <v>0</v>
      </c>
      <c r="Z652" t="s">
        <v>2081</v>
      </c>
    </row>
    <row r="653" spans="1:26" x14ac:dyDescent="0.35">
      <c r="A653" t="s">
        <v>375</v>
      </c>
      <c r="B653" t="s">
        <v>376</v>
      </c>
      <c r="C653" t="s">
        <v>3167</v>
      </c>
      <c r="D653" t="s">
        <v>1963</v>
      </c>
      <c r="E653" t="s">
        <v>2020</v>
      </c>
      <c r="F653" t="s">
        <v>2021</v>
      </c>
      <c r="G653" t="s">
        <v>2022</v>
      </c>
      <c r="H653" t="s">
        <v>2023</v>
      </c>
      <c r="I653" t="s">
        <v>3037</v>
      </c>
      <c r="J653" t="s">
        <v>1963</v>
      </c>
      <c r="K653" t="s">
        <v>3480</v>
      </c>
      <c r="L653" t="s">
        <v>2046</v>
      </c>
      <c r="M653" t="s">
        <v>3038</v>
      </c>
      <c r="N653" t="s">
        <v>3039</v>
      </c>
      <c r="O653" t="s">
        <v>2401</v>
      </c>
      <c r="P653" t="s">
        <v>2402</v>
      </c>
      <c r="Q653" t="s">
        <v>2403</v>
      </c>
      <c r="R653" t="s">
        <v>14</v>
      </c>
      <c r="S653" t="s">
        <v>2404</v>
      </c>
      <c r="T653" t="s">
        <v>2405</v>
      </c>
      <c r="U653" t="s">
        <v>2390</v>
      </c>
      <c r="V653" t="s">
        <v>14</v>
      </c>
      <c r="W653" t="b">
        <v>1</v>
      </c>
      <c r="X653" t="s">
        <v>3481</v>
      </c>
      <c r="Y653" t="b">
        <v>0</v>
      </c>
      <c r="Z653" t="s">
        <v>2053</v>
      </c>
    </row>
    <row r="654" spans="1:26" x14ac:dyDescent="0.35">
      <c r="A654" t="s">
        <v>375</v>
      </c>
      <c r="B654" t="s">
        <v>376</v>
      </c>
      <c r="C654" t="s">
        <v>3167</v>
      </c>
      <c r="D654" t="s">
        <v>1963</v>
      </c>
      <c r="E654" t="s">
        <v>2020</v>
      </c>
      <c r="F654" t="s">
        <v>2021</v>
      </c>
      <c r="G654" t="s">
        <v>2022</v>
      </c>
      <c r="H654" t="s">
        <v>2023</v>
      </c>
      <c r="I654" t="s">
        <v>3619</v>
      </c>
      <c r="J654" t="s">
        <v>1963</v>
      </c>
      <c r="K654" t="s">
        <v>3480</v>
      </c>
      <c r="L654" t="s">
        <v>2046</v>
      </c>
      <c r="M654" t="s">
        <v>3620</v>
      </c>
      <c r="N654" t="s">
        <v>3621</v>
      </c>
      <c r="O654" t="s">
        <v>2362</v>
      </c>
      <c r="P654" t="s">
        <v>2363</v>
      </c>
      <c r="Q654" t="s">
        <v>2844</v>
      </c>
      <c r="R654" t="s">
        <v>14</v>
      </c>
      <c r="S654" t="s">
        <v>2845</v>
      </c>
      <c r="T654" t="s">
        <v>2846</v>
      </c>
      <c r="U654" t="s">
        <v>2171</v>
      </c>
      <c r="V654" t="s">
        <v>14</v>
      </c>
      <c r="W654" t="b">
        <v>1</v>
      </c>
      <c r="X654" t="s">
        <v>3481</v>
      </c>
      <c r="Y654" t="b">
        <v>0</v>
      </c>
      <c r="Z654" t="s">
        <v>2081</v>
      </c>
    </row>
    <row r="655" spans="1:26" x14ac:dyDescent="0.35">
      <c r="A655" t="s">
        <v>375</v>
      </c>
      <c r="B655" t="s">
        <v>376</v>
      </c>
      <c r="C655" t="s">
        <v>3167</v>
      </c>
      <c r="D655" t="s">
        <v>1963</v>
      </c>
      <c r="E655" t="s">
        <v>2020</v>
      </c>
      <c r="F655" t="s">
        <v>2021</v>
      </c>
      <c r="G655" t="s">
        <v>2022</v>
      </c>
      <c r="H655" t="s">
        <v>2023</v>
      </c>
      <c r="I655" t="s">
        <v>3047</v>
      </c>
      <c r="J655" t="s">
        <v>1963</v>
      </c>
      <c r="K655" t="s">
        <v>3480</v>
      </c>
      <c r="L655" t="s">
        <v>2046</v>
      </c>
      <c r="M655" t="s">
        <v>3048</v>
      </c>
      <c r="N655" t="s">
        <v>3049</v>
      </c>
      <c r="O655" t="s">
        <v>3013</v>
      </c>
      <c r="P655" t="s">
        <v>3014</v>
      </c>
      <c r="Q655" t="s">
        <v>3021</v>
      </c>
      <c r="R655" t="s">
        <v>14</v>
      </c>
      <c r="S655" t="s">
        <v>3050</v>
      </c>
      <c r="T655" t="s">
        <v>3051</v>
      </c>
      <c r="U655" t="s">
        <v>3015</v>
      </c>
      <c r="V655" t="s">
        <v>14</v>
      </c>
      <c r="W655" t="b">
        <v>1</v>
      </c>
      <c r="X655" t="s">
        <v>3481</v>
      </c>
      <c r="Y655" t="b">
        <v>1</v>
      </c>
      <c r="Z655" t="s">
        <v>2032</v>
      </c>
    </row>
    <row r="656" spans="1:26" x14ac:dyDescent="0.35">
      <c r="A656" t="s">
        <v>375</v>
      </c>
      <c r="B656" t="s">
        <v>376</v>
      </c>
      <c r="C656" t="s">
        <v>3167</v>
      </c>
      <c r="D656" t="s">
        <v>1963</v>
      </c>
      <c r="E656" t="s">
        <v>2020</v>
      </c>
      <c r="F656" t="s">
        <v>2021</v>
      </c>
      <c r="G656" t="s">
        <v>2022</v>
      </c>
      <c r="H656" t="s">
        <v>2023</v>
      </c>
      <c r="I656" t="s">
        <v>3622</v>
      </c>
      <c r="J656" t="s">
        <v>1963</v>
      </c>
      <c r="K656" t="s">
        <v>3480</v>
      </c>
      <c r="L656" t="s">
        <v>2046</v>
      </c>
      <c r="M656" t="s">
        <v>3623</v>
      </c>
      <c r="N656" t="s">
        <v>3624</v>
      </c>
      <c r="O656" t="s">
        <v>2292</v>
      </c>
      <c r="P656" t="s">
        <v>2293</v>
      </c>
      <c r="Q656" t="s">
        <v>14</v>
      </c>
      <c r="R656" t="s">
        <v>14</v>
      </c>
      <c r="S656" t="s">
        <v>14</v>
      </c>
      <c r="T656" t="s">
        <v>14</v>
      </c>
      <c r="U656" t="s">
        <v>2052</v>
      </c>
      <c r="V656" t="s">
        <v>14</v>
      </c>
      <c r="W656" t="b">
        <v>1</v>
      </c>
      <c r="X656" t="s">
        <v>3481</v>
      </c>
      <c r="Y656" t="b">
        <v>0</v>
      </c>
      <c r="Z656" t="s">
        <v>2053</v>
      </c>
    </row>
    <row r="657" spans="1:26" x14ac:dyDescent="0.35">
      <c r="A657" t="s">
        <v>375</v>
      </c>
      <c r="B657" t="s">
        <v>376</v>
      </c>
      <c r="C657" t="s">
        <v>3167</v>
      </c>
      <c r="D657" t="s">
        <v>1963</v>
      </c>
      <c r="E657" t="s">
        <v>2020</v>
      </c>
      <c r="F657" t="s">
        <v>2021</v>
      </c>
      <c r="G657" t="s">
        <v>2022</v>
      </c>
      <c r="H657" t="s">
        <v>2023</v>
      </c>
      <c r="I657" t="s">
        <v>3625</v>
      </c>
      <c r="J657" t="s">
        <v>1963</v>
      </c>
      <c r="K657" t="s">
        <v>3480</v>
      </c>
      <c r="L657" t="s">
        <v>2046</v>
      </c>
      <c r="M657" t="s">
        <v>3591</v>
      </c>
      <c r="N657" t="s">
        <v>3592</v>
      </c>
      <c r="O657" t="s">
        <v>2214</v>
      </c>
      <c r="P657" t="s">
        <v>2215</v>
      </c>
      <c r="Q657" t="s">
        <v>3229</v>
      </c>
      <c r="R657" t="s">
        <v>14</v>
      </c>
      <c r="S657" t="s">
        <v>3230</v>
      </c>
      <c r="T657" t="s">
        <v>3231</v>
      </c>
      <c r="U657" t="s">
        <v>2052</v>
      </c>
      <c r="V657" t="s">
        <v>14</v>
      </c>
      <c r="W657" t="b">
        <v>1</v>
      </c>
      <c r="X657" t="s">
        <v>3481</v>
      </c>
      <c r="Y657" t="b">
        <v>0</v>
      </c>
      <c r="Z657" t="s">
        <v>2053</v>
      </c>
    </row>
    <row r="658" spans="1:26" x14ac:dyDescent="0.35">
      <c r="A658" t="s">
        <v>375</v>
      </c>
      <c r="B658" t="s">
        <v>376</v>
      </c>
      <c r="C658" t="s">
        <v>3167</v>
      </c>
      <c r="D658" t="s">
        <v>1963</v>
      </c>
      <c r="E658" t="s">
        <v>2020</v>
      </c>
      <c r="F658" t="s">
        <v>2021</v>
      </c>
      <c r="G658" t="s">
        <v>2022</v>
      </c>
      <c r="H658" t="s">
        <v>2023</v>
      </c>
      <c r="I658" t="s">
        <v>3626</v>
      </c>
      <c r="J658" t="s">
        <v>1963</v>
      </c>
      <c r="K658" t="s">
        <v>3480</v>
      </c>
      <c r="L658" t="s">
        <v>2046</v>
      </c>
      <c r="M658" t="s">
        <v>2965</v>
      </c>
      <c r="N658" t="s">
        <v>2966</v>
      </c>
      <c r="O658" t="s">
        <v>2047</v>
      </c>
      <c r="P658" t="s">
        <v>2048</v>
      </c>
      <c r="Q658" t="s">
        <v>14</v>
      </c>
      <c r="R658" t="s">
        <v>14</v>
      </c>
      <c r="S658" t="s">
        <v>14</v>
      </c>
      <c r="T658" t="s">
        <v>14</v>
      </c>
      <c r="U658" t="s">
        <v>2052</v>
      </c>
      <c r="V658" t="s">
        <v>14</v>
      </c>
      <c r="W658" t="b">
        <v>1</v>
      </c>
      <c r="X658" t="s">
        <v>3481</v>
      </c>
      <c r="Y658" t="b">
        <v>0</v>
      </c>
      <c r="Z658" t="s">
        <v>2053</v>
      </c>
    </row>
    <row r="659" spans="1:26" x14ac:dyDescent="0.35">
      <c r="A659" t="s">
        <v>375</v>
      </c>
      <c r="B659" t="s">
        <v>376</v>
      </c>
      <c r="C659" t="s">
        <v>3167</v>
      </c>
      <c r="D659" t="s">
        <v>1963</v>
      </c>
      <c r="E659" t="s">
        <v>2020</v>
      </c>
      <c r="F659" t="s">
        <v>2021</v>
      </c>
      <c r="G659" t="s">
        <v>2022</v>
      </c>
      <c r="H659" t="s">
        <v>2023</v>
      </c>
      <c r="I659" t="s">
        <v>3627</v>
      </c>
      <c r="J659" t="s">
        <v>1963</v>
      </c>
      <c r="K659" t="s">
        <v>3480</v>
      </c>
      <c r="L659" t="s">
        <v>2046</v>
      </c>
      <c r="M659" t="s">
        <v>3628</v>
      </c>
      <c r="N659" t="s">
        <v>3629</v>
      </c>
      <c r="O659" t="s">
        <v>3485</v>
      </c>
      <c r="P659" t="s">
        <v>3486</v>
      </c>
      <c r="Q659" t="s">
        <v>14</v>
      </c>
      <c r="R659" t="s">
        <v>14</v>
      </c>
      <c r="S659" t="s">
        <v>3487</v>
      </c>
      <c r="T659" t="s">
        <v>3488</v>
      </c>
      <c r="U659" t="s">
        <v>2171</v>
      </c>
      <c r="V659" t="s">
        <v>14</v>
      </c>
      <c r="W659" t="b">
        <v>1</v>
      </c>
      <c r="X659" t="s">
        <v>3481</v>
      </c>
      <c r="Y659" t="b">
        <v>0</v>
      </c>
      <c r="Z659" t="s">
        <v>2053</v>
      </c>
    </row>
    <row r="660" spans="1:26" x14ac:dyDescent="0.35">
      <c r="A660" t="s">
        <v>375</v>
      </c>
      <c r="B660" t="s">
        <v>376</v>
      </c>
      <c r="C660" t="s">
        <v>3167</v>
      </c>
      <c r="D660" t="s">
        <v>1963</v>
      </c>
      <c r="E660" t="s">
        <v>2020</v>
      </c>
      <c r="F660" t="s">
        <v>2021</v>
      </c>
      <c r="G660" t="s">
        <v>2022</v>
      </c>
      <c r="H660" t="s">
        <v>2023</v>
      </c>
      <c r="I660" t="s">
        <v>3044</v>
      </c>
      <c r="J660" t="s">
        <v>1963</v>
      </c>
      <c r="K660" t="s">
        <v>3480</v>
      </c>
      <c r="L660" t="s">
        <v>2046</v>
      </c>
      <c r="M660" t="s">
        <v>3045</v>
      </c>
      <c r="N660" t="s">
        <v>3046</v>
      </c>
      <c r="O660" t="s">
        <v>2401</v>
      </c>
      <c r="P660" t="s">
        <v>2402</v>
      </c>
      <c r="Q660" t="s">
        <v>2403</v>
      </c>
      <c r="R660" t="s">
        <v>14</v>
      </c>
      <c r="S660" t="s">
        <v>2404</v>
      </c>
      <c r="T660" t="s">
        <v>2405</v>
      </c>
      <c r="U660" t="s">
        <v>2390</v>
      </c>
      <c r="V660" t="s">
        <v>14</v>
      </c>
      <c r="W660" t="b">
        <v>1</v>
      </c>
      <c r="X660" t="s">
        <v>3481</v>
      </c>
      <c r="Y660" t="b">
        <v>0</v>
      </c>
      <c r="Z660" t="s">
        <v>2081</v>
      </c>
    </row>
    <row r="661" spans="1:26" x14ac:dyDescent="0.35">
      <c r="A661" t="s">
        <v>375</v>
      </c>
      <c r="B661" t="s">
        <v>376</v>
      </c>
      <c r="C661" t="s">
        <v>3167</v>
      </c>
      <c r="D661" t="s">
        <v>1963</v>
      </c>
      <c r="E661" t="s">
        <v>2020</v>
      </c>
      <c r="F661" t="s">
        <v>2021</v>
      </c>
      <c r="G661" t="s">
        <v>2022</v>
      </c>
      <c r="H661" t="s">
        <v>2023</v>
      </c>
      <c r="I661" t="s">
        <v>3017</v>
      </c>
      <c r="J661" t="s">
        <v>1963</v>
      </c>
      <c r="K661" t="s">
        <v>3480</v>
      </c>
      <c r="L661" t="s">
        <v>2046</v>
      </c>
      <c r="M661" t="s">
        <v>3019</v>
      </c>
      <c r="N661" t="s">
        <v>3020</v>
      </c>
      <c r="O661" t="s">
        <v>3013</v>
      </c>
      <c r="P661" t="s">
        <v>3014</v>
      </c>
      <c r="Q661" t="s">
        <v>3021</v>
      </c>
      <c r="R661" t="s">
        <v>14</v>
      </c>
      <c r="S661" t="s">
        <v>14</v>
      </c>
      <c r="T661" t="s">
        <v>14</v>
      </c>
      <c r="U661" t="s">
        <v>3015</v>
      </c>
      <c r="V661" t="s">
        <v>14</v>
      </c>
      <c r="W661" t="b">
        <v>1</v>
      </c>
      <c r="X661" t="s">
        <v>3481</v>
      </c>
      <c r="Y661" t="b">
        <v>0</v>
      </c>
      <c r="Z661" t="s">
        <v>2053</v>
      </c>
    </row>
    <row r="662" spans="1:26" x14ac:dyDescent="0.35">
      <c r="A662" t="s">
        <v>375</v>
      </c>
      <c r="B662" t="s">
        <v>376</v>
      </c>
      <c r="C662" t="s">
        <v>3167</v>
      </c>
      <c r="D662" t="s">
        <v>1963</v>
      </c>
      <c r="E662" t="s">
        <v>2020</v>
      </c>
      <c r="F662" t="s">
        <v>2021</v>
      </c>
      <c r="G662" t="s">
        <v>2022</v>
      </c>
      <c r="H662" t="s">
        <v>2023</v>
      </c>
      <c r="I662" t="s">
        <v>3053</v>
      </c>
      <c r="J662" t="s">
        <v>1963</v>
      </c>
      <c r="K662" t="s">
        <v>3480</v>
      </c>
      <c r="L662" t="s">
        <v>2046</v>
      </c>
      <c r="M662" t="s">
        <v>3054</v>
      </c>
      <c r="N662" t="s">
        <v>3055</v>
      </c>
      <c r="O662" t="s">
        <v>3035</v>
      </c>
      <c r="P662" t="s">
        <v>3036</v>
      </c>
      <c r="Q662" t="s">
        <v>14</v>
      </c>
      <c r="R662" t="s">
        <v>14</v>
      </c>
      <c r="S662" t="s">
        <v>14</v>
      </c>
      <c r="T662" t="s">
        <v>14</v>
      </c>
      <c r="U662" t="s">
        <v>3015</v>
      </c>
      <c r="V662" t="s">
        <v>14</v>
      </c>
      <c r="W662" t="b">
        <v>1</v>
      </c>
      <c r="X662" t="s">
        <v>3481</v>
      </c>
      <c r="Y662" t="b">
        <v>0</v>
      </c>
      <c r="Z662" t="s">
        <v>2053</v>
      </c>
    </row>
    <row r="663" spans="1:26" x14ac:dyDescent="0.35">
      <c r="A663" t="s">
        <v>375</v>
      </c>
      <c r="B663" t="s">
        <v>376</v>
      </c>
      <c r="C663" t="s">
        <v>3167</v>
      </c>
      <c r="D663" t="s">
        <v>1963</v>
      </c>
      <c r="E663" t="s">
        <v>2020</v>
      </c>
      <c r="F663" t="s">
        <v>2021</v>
      </c>
      <c r="G663" t="s">
        <v>2022</v>
      </c>
      <c r="H663" t="s">
        <v>2023</v>
      </c>
      <c r="I663" t="s">
        <v>3630</v>
      </c>
      <c r="J663" t="s">
        <v>1963</v>
      </c>
      <c r="K663" t="s">
        <v>3480</v>
      </c>
      <c r="L663" t="s">
        <v>2046</v>
      </c>
      <c r="M663" t="s">
        <v>2120</v>
      </c>
      <c r="N663" t="s">
        <v>2121</v>
      </c>
      <c r="O663" t="s">
        <v>2060</v>
      </c>
      <c r="P663" t="s">
        <v>2061</v>
      </c>
      <c r="Q663" t="s">
        <v>2122</v>
      </c>
      <c r="R663" t="s">
        <v>14</v>
      </c>
      <c r="S663" t="s">
        <v>2200</v>
      </c>
      <c r="T663" t="s">
        <v>2201</v>
      </c>
      <c r="U663" t="s">
        <v>2052</v>
      </c>
      <c r="V663" t="s">
        <v>14</v>
      </c>
      <c r="W663" t="b">
        <v>1</v>
      </c>
      <c r="X663" t="s">
        <v>3481</v>
      </c>
      <c r="Y663" t="b">
        <v>0</v>
      </c>
      <c r="Z663" t="s">
        <v>2053</v>
      </c>
    </row>
    <row r="664" spans="1:26" x14ac:dyDescent="0.35">
      <c r="A664" t="s">
        <v>375</v>
      </c>
      <c r="B664" t="s">
        <v>376</v>
      </c>
      <c r="C664" t="s">
        <v>3167</v>
      </c>
      <c r="D664" t="s">
        <v>1963</v>
      </c>
      <c r="E664" t="s">
        <v>2020</v>
      </c>
      <c r="F664" t="s">
        <v>2021</v>
      </c>
      <c r="G664" t="s">
        <v>2022</v>
      </c>
      <c r="H664" t="s">
        <v>2023</v>
      </c>
      <c r="I664" t="s">
        <v>3631</v>
      </c>
      <c r="J664" t="s">
        <v>1963</v>
      </c>
      <c r="K664" t="s">
        <v>3480</v>
      </c>
      <c r="L664" t="s">
        <v>2046</v>
      </c>
      <c r="M664" t="s">
        <v>3459</v>
      </c>
      <c r="N664" t="s">
        <v>3460</v>
      </c>
      <c r="O664" t="s">
        <v>2075</v>
      </c>
      <c r="P664" t="s">
        <v>2076</v>
      </c>
      <c r="Q664" t="s">
        <v>2077</v>
      </c>
      <c r="R664" t="s">
        <v>14</v>
      </c>
      <c r="S664" t="s">
        <v>2078</v>
      </c>
      <c r="T664" t="s">
        <v>2079</v>
      </c>
      <c r="U664" t="s">
        <v>2052</v>
      </c>
      <c r="V664" t="s">
        <v>14</v>
      </c>
      <c r="W664" t="b">
        <v>1</v>
      </c>
      <c r="X664" t="s">
        <v>3481</v>
      </c>
      <c r="Y664" t="b">
        <v>0</v>
      </c>
      <c r="Z664" t="s">
        <v>2053</v>
      </c>
    </row>
    <row r="665" spans="1:26" x14ac:dyDescent="0.35">
      <c r="A665" t="s">
        <v>375</v>
      </c>
      <c r="B665" t="s">
        <v>376</v>
      </c>
      <c r="C665" t="s">
        <v>3167</v>
      </c>
      <c r="D665" t="s">
        <v>1963</v>
      </c>
      <c r="E665" t="s">
        <v>2020</v>
      </c>
      <c r="F665" t="s">
        <v>2021</v>
      </c>
      <c r="G665" t="s">
        <v>2022</v>
      </c>
      <c r="H665" t="s">
        <v>2023</v>
      </c>
      <c r="I665" t="s">
        <v>3632</v>
      </c>
      <c r="J665" t="s">
        <v>1963</v>
      </c>
      <c r="K665" t="s">
        <v>3480</v>
      </c>
      <c r="L665" t="s">
        <v>2046</v>
      </c>
      <c r="M665" t="s">
        <v>3041</v>
      </c>
      <c r="N665" t="s">
        <v>3042</v>
      </c>
      <c r="O665" t="s">
        <v>3013</v>
      </c>
      <c r="P665" t="s">
        <v>3014</v>
      </c>
      <c r="Q665" t="s">
        <v>14</v>
      </c>
      <c r="R665" t="s">
        <v>14</v>
      </c>
      <c r="S665" t="s">
        <v>14</v>
      </c>
      <c r="T665" t="s">
        <v>14</v>
      </c>
      <c r="U665" t="s">
        <v>3015</v>
      </c>
      <c r="V665" t="s">
        <v>14</v>
      </c>
      <c r="W665" t="b">
        <v>1</v>
      </c>
      <c r="X665" t="s">
        <v>3481</v>
      </c>
      <c r="Y665" t="b">
        <v>0</v>
      </c>
      <c r="Z665" t="s">
        <v>2081</v>
      </c>
    </row>
    <row r="666" spans="1:26" x14ac:dyDescent="0.35">
      <c r="A666" t="s">
        <v>375</v>
      </c>
      <c r="B666" t="s">
        <v>376</v>
      </c>
      <c r="C666" t="s">
        <v>3167</v>
      </c>
      <c r="D666" t="s">
        <v>1963</v>
      </c>
      <c r="E666" t="s">
        <v>2020</v>
      </c>
      <c r="F666" t="s">
        <v>2021</v>
      </c>
      <c r="G666" t="s">
        <v>2022</v>
      </c>
      <c r="H666" t="s">
        <v>2023</v>
      </c>
      <c r="I666" t="s">
        <v>3023</v>
      </c>
      <c r="J666" t="s">
        <v>1963</v>
      </c>
      <c r="K666" t="s">
        <v>3480</v>
      </c>
      <c r="L666" t="s">
        <v>2046</v>
      </c>
      <c r="M666" t="s">
        <v>3025</v>
      </c>
      <c r="N666" t="s">
        <v>3026</v>
      </c>
      <c r="O666" t="s">
        <v>3027</v>
      </c>
      <c r="P666" t="s">
        <v>3028</v>
      </c>
      <c r="Q666" t="s">
        <v>14</v>
      </c>
      <c r="R666" t="s">
        <v>14</v>
      </c>
      <c r="S666" t="s">
        <v>3029</v>
      </c>
      <c r="T666" t="s">
        <v>3030</v>
      </c>
      <c r="U666" t="s">
        <v>2390</v>
      </c>
      <c r="V666" t="s">
        <v>14</v>
      </c>
      <c r="W666" t="b">
        <v>1</v>
      </c>
      <c r="X666" t="s">
        <v>3481</v>
      </c>
      <c r="Y666" t="b">
        <v>0</v>
      </c>
      <c r="Z666" t="s">
        <v>2053</v>
      </c>
    </row>
    <row r="667" spans="1:26" x14ac:dyDescent="0.35">
      <c r="A667" t="s">
        <v>375</v>
      </c>
      <c r="B667" t="s">
        <v>376</v>
      </c>
      <c r="C667" t="s">
        <v>3167</v>
      </c>
      <c r="D667" t="s">
        <v>1963</v>
      </c>
      <c r="E667" t="s">
        <v>2020</v>
      </c>
      <c r="F667" t="s">
        <v>2021</v>
      </c>
      <c r="G667" t="s">
        <v>2022</v>
      </c>
      <c r="H667" t="s">
        <v>2023</v>
      </c>
      <c r="I667" t="s">
        <v>3633</v>
      </c>
      <c r="J667" t="s">
        <v>1963</v>
      </c>
      <c r="K667" t="s">
        <v>3480</v>
      </c>
      <c r="L667" t="s">
        <v>2046</v>
      </c>
      <c r="M667" t="s">
        <v>2243</v>
      </c>
      <c r="N667" t="s">
        <v>2244</v>
      </c>
      <c r="O667" t="s">
        <v>2214</v>
      </c>
      <c r="P667" t="s">
        <v>2215</v>
      </c>
      <c r="Q667" t="s">
        <v>2295</v>
      </c>
      <c r="R667" t="s">
        <v>14</v>
      </c>
      <c r="S667" t="s">
        <v>3614</v>
      </c>
      <c r="T667" t="s">
        <v>3615</v>
      </c>
      <c r="U667" t="s">
        <v>2052</v>
      </c>
      <c r="V667" t="s">
        <v>14</v>
      </c>
      <c r="W667" t="b">
        <v>1</v>
      </c>
      <c r="X667" t="s">
        <v>3481</v>
      </c>
      <c r="Y667" t="b">
        <v>0</v>
      </c>
      <c r="Z667" t="s">
        <v>2053</v>
      </c>
    </row>
    <row r="668" spans="1:26" x14ac:dyDescent="0.35">
      <c r="A668" t="s">
        <v>375</v>
      </c>
      <c r="B668" t="s">
        <v>376</v>
      </c>
      <c r="C668" t="s">
        <v>3167</v>
      </c>
      <c r="D668" t="s">
        <v>1963</v>
      </c>
      <c r="E668" t="s">
        <v>2020</v>
      </c>
      <c r="F668" t="s">
        <v>2021</v>
      </c>
      <c r="G668" t="s">
        <v>2022</v>
      </c>
      <c r="H668" t="s">
        <v>2023</v>
      </c>
      <c r="I668" t="s">
        <v>3634</v>
      </c>
      <c r="J668" t="s">
        <v>1963</v>
      </c>
      <c r="K668" t="s">
        <v>3480</v>
      </c>
      <c r="L668" t="s">
        <v>2046</v>
      </c>
      <c r="M668" t="s">
        <v>3483</v>
      </c>
      <c r="N668" t="s">
        <v>3484</v>
      </c>
      <c r="O668" t="s">
        <v>3485</v>
      </c>
      <c r="P668" t="s">
        <v>3486</v>
      </c>
      <c r="Q668" t="s">
        <v>14</v>
      </c>
      <c r="R668" t="s">
        <v>14</v>
      </c>
      <c r="S668" t="s">
        <v>3487</v>
      </c>
      <c r="T668" t="s">
        <v>3488</v>
      </c>
      <c r="U668" t="s">
        <v>2171</v>
      </c>
      <c r="V668" t="s">
        <v>14</v>
      </c>
      <c r="W668" t="b">
        <v>1</v>
      </c>
      <c r="X668" t="s">
        <v>3481</v>
      </c>
      <c r="Y668" t="b">
        <v>0</v>
      </c>
      <c r="Z668" t="s">
        <v>2053</v>
      </c>
    </row>
    <row r="669" spans="1:26" x14ac:dyDescent="0.35">
      <c r="A669" t="s">
        <v>375</v>
      </c>
      <c r="B669" t="s">
        <v>376</v>
      </c>
      <c r="C669" t="s">
        <v>3167</v>
      </c>
      <c r="D669" t="s">
        <v>1963</v>
      </c>
      <c r="E669" t="s">
        <v>2020</v>
      </c>
      <c r="F669" t="s">
        <v>2021</v>
      </c>
      <c r="G669" t="s">
        <v>2022</v>
      </c>
      <c r="H669" t="s">
        <v>2023</v>
      </c>
      <c r="I669" t="s">
        <v>3635</v>
      </c>
      <c r="J669" t="s">
        <v>1963</v>
      </c>
      <c r="K669" t="s">
        <v>3480</v>
      </c>
      <c r="L669" t="s">
        <v>2046</v>
      </c>
      <c r="M669" t="s">
        <v>3390</v>
      </c>
      <c r="N669" t="s">
        <v>3391</v>
      </c>
      <c r="O669" t="s">
        <v>2362</v>
      </c>
      <c r="P669" t="s">
        <v>2363</v>
      </c>
      <c r="Q669" t="s">
        <v>2844</v>
      </c>
      <c r="R669" t="s">
        <v>14</v>
      </c>
      <c r="S669" t="s">
        <v>3397</v>
      </c>
      <c r="T669" t="s">
        <v>3398</v>
      </c>
      <c r="U669" t="s">
        <v>2171</v>
      </c>
      <c r="V669" t="s">
        <v>14</v>
      </c>
      <c r="W669" t="b">
        <v>1</v>
      </c>
      <c r="X669" t="s">
        <v>3481</v>
      </c>
      <c r="Y669" t="b">
        <v>0</v>
      </c>
      <c r="Z669" t="s">
        <v>2032</v>
      </c>
    </row>
    <row r="670" spans="1:26" x14ac:dyDescent="0.35">
      <c r="A670" t="s">
        <v>375</v>
      </c>
      <c r="B670" t="s">
        <v>376</v>
      </c>
      <c r="C670" t="s">
        <v>3167</v>
      </c>
      <c r="D670" t="s">
        <v>1963</v>
      </c>
      <c r="E670" t="s">
        <v>2020</v>
      </c>
      <c r="F670" t="s">
        <v>2021</v>
      </c>
      <c r="G670" t="s">
        <v>2022</v>
      </c>
      <c r="H670" t="s">
        <v>2023</v>
      </c>
      <c r="I670" t="s">
        <v>3636</v>
      </c>
      <c r="J670" t="s">
        <v>1963</v>
      </c>
      <c r="K670" t="s">
        <v>3480</v>
      </c>
      <c r="L670" t="s">
        <v>2046</v>
      </c>
      <c r="M670" t="s">
        <v>2047</v>
      </c>
      <c r="N670" t="s">
        <v>2048</v>
      </c>
      <c r="O670" t="s">
        <v>2047</v>
      </c>
      <c r="P670" t="s">
        <v>2048</v>
      </c>
      <c r="Q670" t="s">
        <v>3637</v>
      </c>
      <c r="R670" t="s">
        <v>14</v>
      </c>
      <c r="S670" t="s">
        <v>14</v>
      </c>
      <c r="T670" t="s">
        <v>14</v>
      </c>
      <c r="U670" t="s">
        <v>2052</v>
      </c>
      <c r="V670" t="s">
        <v>14</v>
      </c>
      <c r="W670" t="b">
        <v>1</v>
      </c>
      <c r="X670" t="s">
        <v>3481</v>
      </c>
      <c r="Y670" t="b">
        <v>0</v>
      </c>
      <c r="Z670" t="s">
        <v>2053</v>
      </c>
    </row>
    <row r="671" spans="1:26" x14ac:dyDescent="0.35">
      <c r="A671" t="s">
        <v>375</v>
      </c>
      <c r="B671" t="s">
        <v>376</v>
      </c>
      <c r="C671" t="s">
        <v>3167</v>
      </c>
      <c r="D671" t="s">
        <v>1963</v>
      </c>
      <c r="E671" t="s">
        <v>2020</v>
      </c>
      <c r="F671" t="s">
        <v>2021</v>
      </c>
      <c r="G671" t="s">
        <v>2022</v>
      </c>
      <c r="H671" t="s">
        <v>2023</v>
      </c>
      <c r="I671" t="s">
        <v>3638</v>
      </c>
      <c r="J671" t="s">
        <v>1963</v>
      </c>
      <c r="K671" t="s">
        <v>3480</v>
      </c>
      <c r="L671" t="s">
        <v>2046</v>
      </c>
      <c r="M671" t="s">
        <v>3639</v>
      </c>
      <c r="N671" t="s">
        <v>3640</v>
      </c>
      <c r="O671" t="s">
        <v>3536</v>
      </c>
      <c r="P671" t="s">
        <v>3537</v>
      </c>
      <c r="Q671" t="s">
        <v>14</v>
      </c>
      <c r="R671" t="s">
        <v>14</v>
      </c>
      <c r="S671" t="s">
        <v>14</v>
      </c>
      <c r="T671" t="s">
        <v>14</v>
      </c>
      <c r="U671" t="s">
        <v>3015</v>
      </c>
      <c r="V671" t="s">
        <v>14</v>
      </c>
      <c r="W671" t="b">
        <v>1</v>
      </c>
      <c r="X671" t="s">
        <v>3481</v>
      </c>
      <c r="Y671" t="b">
        <v>0</v>
      </c>
      <c r="Z671" t="s">
        <v>2081</v>
      </c>
    </row>
    <row r="672" spans="1:26" x14ac:dyDescent="0.35">
      <c r="A672" t="s">
        <v>375</v>
      </c>
      <c r="B672" t="s">
        <v>376</v>
      </c>
      <c r="C672" t="s">
        <v>3167</v>
      </c>
      <c r="D672" t="s">
        <v>1963</v>
      </c>
      <c r="E672" t="s">
        <v>2020</v>
      </c>
      <c r="F672" t="s">
        <v>2021</v>
      </c>
      <c r="G672" t="s">
        <v>2022</v>
      </c>
      <c r="H672" t="s">
        <v>2023</v>
      </c>
      <c r="I672" t="s">
        <v>3641</v>
      </c>
      <c r="J672" t="s">
        <v>1963</v>
      </c>
      <c r="K672" t="s">
        <v>3480</v>
      </c>
      <c r="L672" t="s">
        <v>2046</v>
      </c>
      <c r="M672" t="s">
        <v>3642</v>
      </c>
      <c r="N672" t="s">
        <v>3643</v>
      </c>
      <c r="O672" t="s">
        <v>3536</v>
      </c>
      <c r="P672" t="s">
        <v>3537</v>
      </c>
      <c r="Q672" t="s">
        <v>3566</v>
      </c>
      <c r="R672" t="s">
        <v>14</v>
      </c>
      <c r="S672" t="s">
        <v>3644</v>
      </c>
      <c r="T672" t="s">
        <v>3645</v>
      </c>
      <c r="U672" t="s">
        <v>3015</v>
      </c>
      <c r="V672" t="s">
        <v>14</v>
      </c>
      <c r="W672" t="b">
        <v>1</v>
      </c>
      <c r="X672" t="s">
        <v>3481</v>
      </c>
      <c r="Y672" t="b">
        <v>0</v>
      </c>
      <c r="Z672" t="s">
        <v>2081</v>
      </c>
    </row>
    <row r="673" spans="1:26" x14ac:dyDescent="0.35">
      <c r="A673" t="s">
        <v>375</v>
      </c>
      <c r="B673" t="s">
        <v>376</v>
      </c>
      <c r="C673" t="s">
        <v>3167</v>
      </c>
      <c r="D673" t="s">
        <v>1963</v>
      </c>
      <c r="E673" t="s">
        <v>2020</v>
      </c>
      <c r="F673" t="s">
        <v>2021</v>
      </c>
      <c r="G673" t="s">
        <v>2022</v>
      </c>
      <c r="H673" t="s">
        <v>2023</v>
      </c>
      <c r="I673" t="s">
        <v>3586</v>
      </c>
      <c r="J673" t="s">
        <v>1963</v>
      </c>
      <c r="K673" t="s">
        <v>3480</v>
      </c>
      <c r="L673" t="s">
        <v>2046</v>
      </c>
      <c r="M673" t="s">
        <v>3587</v>
      </c>
      <c r="N673" t="s">
        <v>3588</v>
      </c>
      <c r="O673" t="s">
        <v>2047</v>
      </c>
      <c r="P673" t="s">
        <v>2048</v>
      </c>
      <c r="Q673" t="s">
        <v>14</v>
      </c>
      <c r="R673" t="s">
        <v>14</v>
      </c>
      <c r="S673" t="s">
        <v>14</v>
      </c>
      <c r="T673" t="s">
        <v>14</v>
      </c>
      <c r="U673" t="s">
        <v>2052</v>
      </c>
      <c r="V673" t="s">
        <v>14</v>
      </c>
      <c r="W673" t="b">
        <v>1</v>
      </c>
      <c r="X673" t="s">
        <v>3481</v>
      </c>
      <c r="Y673" t="b">
        <v>0</v>
      </c>
      <c r="Z673" t="s">
        <v>2053</v>
      </c>
    </row>
    <row r="674" spans="1:26" x14ac:dyDescent="0.35">
      <c r="A674" t="s">
        <v>375</v>
      </c>
      <c r="B674" t="s">
        <v>376</v>
      </c>
      <c r="C674" t="s">
        <v>3167</v>
      </c>
      <c r="D674" t="s">
        <v>1963</v>
      </c>
      <c r="E674" t="s">
        <v>2020</v>
      </c>
      <c r="F674" t="s">
        <v>2021</v>
      </c>
      <c r="G674" t="s">
        <v>2022</v>
      </c>
      <c r="H674" t="s">
        <v>2023</v>
      </c>
      <c r="I674" t="s">
        <v>3032</v>
      </c>
      <c r="J674" t="s">
        <v>1963</v>
      </c>
      <c r="K674" t="s">
        <v>3480</v>
      </c>
      <c r="L674" t="s">
        <v>2046</v>
      </c>
      <c r="M674" t="s">
        <v>3033</v>
      </c>
      <c r="N674" t="s">
        <v>3034</v>
      </c>
      <c r="O674" t="s">
        <v>3035</v>
      </c>
      <c r="P674" t="s">
        <v>3036</v>
      </c>
      <c r="Q674" t="s">
        <v>14</v>
      </c>
      <c r="R674" t="s">
        <v>14</v>
      </c>
      <c r="S674" t="s">
        <v>14</v>
      </c>
      <c r="T674" t="s">
        <v>14</v>
      </c>
      <c r="U674" t="s">
        <v>3015</v>
      </c>
      <c r="V674" t="s">
        <v>14</v>
      </c>
      <c r="W674" t="b">
        <v>1</v>
      </c>
      <c r="X674" t="s">
        <v>3481</v>
      </c>
      <c r="Y674" t="b">
        <v>0</v>
      </c>
      <c r="Z674" t="s">
        <v>2081</v>
      </c>
    </row>
    <row r="675" spans="1:26" x14ac:dyDescent="0.35">
      <c r="A675" t="s">
        <v>375</v>
      </c>
      <c r="B675" t="s">
        <v>376</v>
      </c>
      <c r="C675" t="s">
        <v>3167</v>
      </c>
      <c r="D675" t="s">
        <v>1963</v>
      </c>
      <c r="E675" t="s">
        <v>2020</v>
      </c>
      <c r="F675" t="s">
        <v>2021</v>
      </c>
      <c r="G675" t="s">
        <v>2022</v>
      </c>
      <c r="H675" t="s">
        <v>2023</v>
      </c>
      <c r="I675" t="s">
        <v>3646</v>
      </c>
      <c r="J675" t="s">
        <v>1963</v>
      </c>
      <c r="K675" t="s">
        <v>3480</v>
      </c>
      <c r="L675" t="s">
        <v>2046</v>
      </c>
      <c r="M675" t="s">
        <v>2226</v>
      </c>
      <c r="N675" t="s">
        <v>2227</v>
      </c>
      <c r="O675" t="s">
        <v>2047</v>
      </c>
      <c r="P675" t="s">
        <v>2048</v>
      </c>
      <c r="Q675" t="s">
        <v>14</v>
      </c>
      <c r="R675" t="s">
        <v>14</v>
      </c>
      <c r="S675" t="s">
        <v>3570</v>
      </c>
      <c r="T675" t="s">
        <v>3571</v>
      </c>
      <c r="U675" t="s">
        <v>2052</v>
      </c>
      <c r="V675" t="s">
        <v>14</v>
      </c>
      <c r="W675" t="b">
        <v>1</v>
      </c>
      <c r="X675" t="s">
        <v>3481</v>
      </c>
      <c r="Y675" t="b">
        <v>0</v>
      </c>
      <c r="Z675" t="s">
        <v>2053</v>
      </c>
    </row>
    <row r="676" spans="1:26" x14ac:dyDescent="0.35">
      <c r="A676" t="s">
        <v>375</v>
      </c>
      <c r="B676" t="s">
        <v>376</v>
      </c>
      <c r="C676" t="s">
        <v>3167</v>
      </c>
      <c r="D676" t="s">
        <v>1963</v>
      </c>
      <c r="E676" t="s">
        <v>2020</v>
      </c>
      <c r="F676" t="s">
        <v>2021</v>
      </c>
      <c r="G676" t="s">
        <v>2022</v>
      </c>
      <c r="H676" t="s">
        <v>2023</v>
      </c>
      <c r="I676" t="s">
        <v>3040</v>
      </c>
      <c r="J676" t="s">
        <v>1963</v>
      </c>
      <c r="K676" t="s">
        <v>3480</v>
      </c>
      <c r="L676" t="s">
        <v>2046</v>
      </c>
      <c r="M676" t="s">
        <v>3041</v>
      </c>
      <c r="N676" t="s">
        <v>3042</v>
      </c>
      <c r="O676" t="s">
        <v>3013</v>
      </c>
      <c r="P676" t="s">
        <v>3014</v>
      </c>
      <c r="Q676" t="s">
        <v>3021</v>
      </c>
      <c r="R676" t="s">
        <v>14</v>
      </c>
      <c r="S676" t="s">
        <v>14</v>
      </c>
      <c r="T676" t="s">
        <v>14</v>
      </c>
      <c r="U676" t="s">
        <v>3015</v>
      </c>
      <c r="V676" t="s">
        <v>14</v>
      </c>
      <c r="W676" t="b">
        <v>1</v>
      </c>
      <c r="X676" t="s">
        <v>3481</v>
      </c>
      <c r="Y676" t="b">
        <v>0</v>
      </c>
      <c r="Z676" t="s">
        <v>2081</v>
      </c>
    </row>
    <row r="677" spans="1:26" x14ac:dyDescent="0.35">
      <c r="A677" t="s">
        <v>375</v>
      </c>
      <c r="B677" t="s">
        <v>376</v>
      </c>
      <c r="C677" t="s">
        <v>3167</v>
      </c>
      <c r="D677" t="s">
        <v>1963</v>
      </c>
      <c r="E677" t="s">
        <v>2020</v>
      </c>
      <c r="F677" t="s">
        <v>2021</v>
      </c>
      <c r="G677" t="s">
        <v>2022</v>
      </c>
      <c r="H677" t="s">
        <v>2023</v>
      </c>
      <c r="I677" t="s">
        <v>3647</v>
      </c>
      <c r="J677" t="s">
        <v>1963</v>
      </c>
      <c r="K677" t="s">
        <v>3480</v>
      </c>
      <c r="L677" t="s">
        <v>2046</v>
      </c>
      <c r="M677" t="s">
        <v>3559</v>
      </c>
      <c r="N677" t="s">
        <v>3560</v>
      </c>
      <c r="O677" t="s">
        <v>2075</v>
      </c>
      <c r="P677" t="s">
        <v>2076</v>
      </c>
      <c r="Q677" t="s">
        <v>2077</v>
      </c>
      <c r="R677" t="s">
        <v>14</v>
      </c>
      <c r="S677" t="s">
        <v>3561</v>
      </c>
      <c r="T677" t="s">
        <v>3562</v>
      </c>
      <c r="U677" t="s">
        <v>2233</v>
      </c>
      <c r="V677" t="s">
        <v>14</v>
      </c>
      <c r="W677" t="b">
        <v>1</v>
      </c>
      <c r="X677" t="s">
        <v>3481</v>
      </c>
      <c r="Y677" t="b">
        <v>0</v>
      </c>
      <c r="Z677" t="s">
        <v>2053</v>
      </c>
    </row>
    <row r="678" spans="1:26" x14ac:dyDescent="0.35">
      <c r="A678" t="s">
        <v>375</v>
      </c>
      <c r="B678" t="s">
        <v>376</v>
      </c>
      <c r="C678" t="s">
        <v>3167</v>
      </c>
      <c r="D678" t="s">
        <v>1963</v>
      </c>
      <c r="E678" t="s">
        <v>2020</v>
      </c>
      <c r="F678" t="s">
        <v>2021</v>
      </c>
      <c r="G678" t="s">
        <v>2022</v>
      </c>
      <c r="H678" t="s">
        <v>2023</v>
      </c>
      <c r="I678" t="s">
        <v>3648</v>
      </c>
      <c r="J678" t="s">
        <v>1963</v>
      </c>
      <c r="K678" t="s">
        <v>3480</v>
      </c>
      <c r="L678" t="s">
        <v>2046</v>
      </c>
      <c r="M678" t="s">
        <v>3649</v>
      </c>
      <c r="N678" t="s">
        <v>3650</v>
      </c>
      <c r="O678" t="s">
        <v>3502</v>
      </c>
      <c r="P678" t="s">
        <v>3503</v>
      </c>
      <c r="Q678" t="s">
        <v>14</v>
      </c>
      <c r="R678" t="s">
        <v>14</v>
      </c>
      <c r="S678" t="s">
        <v>3507</v>
      </c>
      <c r="T678" t="s">
        <v>3508</v>
      </c>
      <c r="U678" t="s">
        <v>2171</v>
      </c>
      <c r="V678" t="s">
        <v>14</v>
      </c>
      <c r="W678" t="b">
        <v>1</v>
      </c>
      <c r="X678" t="s">
        <v>3481</v>
      </c>
      <c r="Y678" t="b">
        <v>0</v>
      </c>
      <c r="Z678" t="s">
        <v>2081</v>
      </c>
    </row>
    <row r="679" spans="1:26" x14ac:dyDescent="0.35">
      <c r="A679" t="s">
        <v>375</v>
      </c>
      <c r="B679" t="s">
        <v>376</v>
      </c>
      <c r="C679" t="s">
        <v>3167</v>
      </c>
      <c r="D679" t="s">
        <v>1963</v>
      </c>
      <c r="E679" t="s">
        <v>2020</v>
      </c>
      <c r="F679" t="s">
        <v>2021</v>
      </c>
      <c r="G679" t="s">
        <v>2022</v>
      </c>
      <c r="H679" t="s">
        <v>2023</v>
      </c>
      <c r="I679" t="s">
        <v>3651</v>
      </c>
      <c r="J679" t="s">
        <v>1963</v>
      </c>
      <c r="K679" t="s">
        <v>3480</v>
      </c>
      <c r="L679" t="s">
        <v>2046</v>
      </c>
      <c r="M679" t="s">
        <v>3652</v>
      </c>
      <c r="N679" t="s">
        <v>3653</v>
      </c>
      <c r="O679" t="s">
        <v>3485</v>
      </c>
      <c r="P679" t="s">
        <v>3486</v>
      </c>
      <c r="Q679" t="s">
        <v>14</v>
      </c>
      <c r="R679" t="s">
        <v>14</v>
      </c>
      <c r="S679" t="s">
        <v>3487</v>
      </c>
      <c r="T679" t="s">
        <v>3488</v>
      </c>
      <c r="U679" t="s">
        <v>2171</v>
      </c>
      <c r="V679" t="s">
        <v>14</v>
      </c>
      <c r="W679" t="b">
        <v>1</v>
      </c>
      <c r="X679" t="s">
        <v>3481</v>
      </c>
      <c r="Y679" t="b">
        <v>0</v>
      </c>
      <c r="Z679" t="s">
        <v>2081</v>
      </c>
    </row>
    <row r="680" spans="1:26" x14ac:dyDescent="0.35">
      <c r="A680" t="s">
        <v>375</v>
      </c>
      <c r="B680" t="s">
        <v>376</v>
      </c>
      <c r="C680" t="s">
        <v>3167</v>
      </c>
      <c r="D680" t="s">
        <v>1963</v>
      </c>
      <c r="E680" t="s">
        <v>2020</v>
      </c>
      <c r="F680" t="s">
        <v>2021</v>
      </c>
      <c r="G680" t="s">
        <v>2022</v>
      </c>
      <c r="H680" t="s">
        <v>2023</v>
      </c>
      <c r="I680" t="s">
        <v>3567</v>
      </c>
      <c r="J680" t="s">
        <v>1963</v>
      </c>
      <c r="K680" t="s">
        <v>3480</v>
      </c>
      <c r="L680" t="s">
        <v>2046</v>
      </c>
      <c r="M680" t="s">
        <v>2338</v>
      </c>
      <c r="N680" t="s">
        <v>2339</v>
      </c>
      <c r="O680" t="s">
        <v>2340</v>
      </c>
      <c r="P680" t="s">
        <v>2341</v>
      </c>
      <c r="Q680" t="s">
        <v>14</v>
      </c>
      <c r="R680" t="s">
        <v>14</v>
      </c>
      <c r="S680" t="s">
        <v>3568</v>
      </c>
      <c r="T680" t="s">
        <v>3569</v>
      </c>
      <c r="U680" t="s">
        <v>2171</v>
      </c>
      <c r="V680" t="s">
        <v>14</v>
      </c>
      <c r="W680" t="b">
        <v>1</v>
      </c>
      <c r="X680" t="s">
        <v>3481</v>
      </c>
      <c r="Y680" t="b">
        <v>0</v>
      </c>
      <c r="Z680" t="s">
        <v>2081</v>
      </c>
    </row>
    <row r="681" spans="1:26" x14ac:dyDescent="0.35">
      <c r="A681" t="s">
        <v>375</v>
      </c>
      <c r="B681" t="s">
        <v>376</v>
      </c>
      <c r="C681" t="s">
        <v>3167</v>
      </c>
      <c r="D681" t="s">
        <v>1963</v>
      </c>
      <c r="E681" t="s">
        <v>2020</v>
      </c>
      <c r="F681" t="s">
        <v>2021</v>
      </c>
      <c r="G681" t="s">
        <v>2022</v>
      </c>
      <c r="H681" t="s">
        <v>2023</v>
      </c>
      <c r="I681" t="s">
        <v>3654</v>
      </c>
      <c r="J681" t="s">
        <v>1963</v>
      </c>
      <c r="K681" t="s">
        <v>3480</v>
      </c>
      <c r="L681" t="s">
        <v>2046</v>
      </c>
      <c r="M681" t="s">
        <v>3431</v>
      </c>
      <c r="N681" t="s">
        <v>3432</v>
      </c>
      <c r="O681" t="s">
        <v>2362</v>
      </c>
      <c r="P681" t="s">
        <v>2363</v>
      </c>
      <c r="Q681" t="s">
        <v>2844</v>
      </c>
      <c r="R681" t="s">
        <v>14</v>
      </c>
      <c r="S681" t="s">
        <v>3433</v>
      </c>
      <c r="T681" t="s">
        <v>3434</v>
      </c>
      <c r="U681" t="s">
        <v>2171</v>
      </c>
      <c r="V681" t="s">
        <v>14</v>
      </c>
      <c r="W681" t="b">
        <v>1</v>
      </c>
      <c r="X681" t="s">
        <v>3481</v>
      </c>
      <c r="Y681" t="b">
        <v>0</v>
      </c>
      <c r="Z681" t="s">
        <v>2053</v>
      </c>
    </row>
    <row r="682" spans="1:26" x14ac:dyDescent="0.35">
      <c r="A682" t="s">
        <v>375</v>
      </c>
      <c r="B682" t="s">
        <v>376</v>
      </c>
      <c r="C682" t="s">
        <v>3167</v>
      </c>
      <c r="D682" t="s">
        <v>1963</v>
      </c>
      <c r="E682" t="s">
        <v>2020</v>
      </c>
      <c r="F682" t="s">
        <v>2021</v>
      </c>
      <c r="G682" t="s">
        <v>2022</v>
      </c>
      <c r="H682" t="s">
        <v>2023</v>
      </c>
      <c r="I682" t="s">
        <v>3655</v>
      </c>
      <c r="J682" t="s">
        <v>1963</v>
      </c>
      <c r="K682" t="s">
        <v>3480</v>
      </c>
      <c r="L682" t="s">
        <v>2046</v>
      </c>
      <c r="M682" t="s">
        <v>3519</v>
      </c>
      <c r="N682" t="s">
        <v>3520</v>
      </c>
      <c r="O682" t="s">
        <v>3485</v>
      </c>
      <c r="P682" t="s">
        <v>3486</v>
      </c>
      <c r="Q682" t="s">
        <v>14</v>
      </c>
      <c r="R682" t="s">
        <v>14</v>
      </c>
      <c r="S682" t="s">
        <v>3487</v>
      </c>
      <c r="T682" t="s">
        <v>3488</v>
      </c>
      <c r="U682" t="s">
        <v>2171</v>
      </c>
      <c r="V682" t="s">
        <v>14</v>
      </c>
      <c r="W682" t="b">
        <v>1</v>
      </c>
      <c r="X682" t="s">
        <v>3481</v>
      </c>
      <c r="Y682" t="b">
        <v>0</v>
      </c>
      <c r="Z682" t="s">
        <v>2053</v>
      </c>
    </row>
    <row r="683" spans="1:26" x14ac:dyDescent="0.35">
      <c r="A683" t="s">
        <v>375</v>
      </c>
      <c r="B683" t="s">
        <v>376</v>
      </c>
      <c r="C683" t="s">
        <v>3167</v>
      </c>
      <c r="D683" t="s">
        <v>1963</v>
      </c>
      <c r="E683" t="s">
        <v>2020</v>
      </c>
      <c r="F683" t="s">
        <v>2021</v>
      </c>
      <c r="G683" t="s">
        <v>2022</v>
      </c>
      <c r="H683" t="s">
        <v>2023</v>
      </c>
      <c r="I683" t="s">
        <v>3656</v>
      </c>
      <c r="J683" t="s">
        <v>1963</v>
      </c>
      <c r="K683" t="s">
        <v>3480</v>
      </c>
      <c r="L683" t="s">
        <v>2046</v>
      </c>
      <c r="M683" t="s">
        <v>3041</v>
      </c>
      <c r="N683" t="s">
        <v>3042</v>
      </c>
      <c r="O683" t="s">
        <v>3013</v>
      </c>
      <c r="P683" t="s">
        <v>3014</v>
      </c>
      <c r="Q683" t="s">
        <v>14</v>
      </c>
      <c r="R683" t="s">
        <v>14</v>
      </c>
      <c r="S683" t="s">
        <v>14</v>
      </c>
      <c r="T683" t="s">
        <v>14</v>
      </c>
      <c r="U683" t="s">
        <v>3015</v>
      </c>
      <c r="V683" t="s">
        <v>14</v>
      </c>
      <c r="W683" t="b">
        <v>1</v>
      </c>
      <c r="X683" t="s">
        <v>3481</v>
      </c>
      <c r="Y683" t="b">
        <v>0</v>
      </c>
      <c r="Z683" t="s">
        <v>2053</v>
      </c>
    </row>
    <row r="684" spans="1:26" x14ac:dyDescent="0.35">
      <c r="A684" t="s">
        <v>375</v>
      </c>
      <c r="B684" t="s">
        <v>376</v>
      </c>
      <c r="C684" t="s">
        <v>3167</v>
      </c>
      <c r="D684" t="s">
        <v>1963</v>
      </c>
      <c r="E684" t="s">
        <v>2020</v>
      </c>
      <c r="F684" t="s">
        <v>2021</v>
      </c>
      <c r="G684" t="s">
        <v>2022</v>
      </c>
      <c r="H684" t="s">
        <v>2023</v>
      </c>
      <c r="I684" t="s">
        <v>3657</v>
      </c>
      <c r="J684" t="s">
        <v>1963</v>
      </c>
      <c r="K684" t="s">
        <v>3480</v>
      </c>
      <c r="L684" t="s">
        <v>2046</v>
      </c>
      <c r="M684" t="s">
        <v>2243</v>
      </c>
      <c r="N684" t="s">
        <v>2244</v>
      </c>
      <c r="O684" t="s">
        <v>2214</v>
      </c>
      <c r="P684" t="s">
        <v>2215</v>
      </c>
      <c r="Q684" t="s">
        <v>2295</v>
      </c>
      <c r="R684" t="s">
        <v>14</v>
      </c>
      <c r="S684" t="s">
        <v>2307</v>
      </c>
      <c r="T684" t="s">
        <v>2308</v>
      </c>
      <c r="U684" t="s">
        <v>2052</v>
      </c>
      <c r="V684" t="s">
        <v>14</v>
      </c>
      <c r="W684" t="b">
        <v>1</v>
      </c>
      <c r="X684" t="s">
        <v>3481</v>
      </c>
      <c r="Y684" t="b">
        <v>0</v>
      </c>
      <c r="Z684" t="s">
        <v>2053</v>
      </c>
    </row>
    <row r="685" spans="1:26" x14ac:dyDescent="0.35">
      <c r="A685" t="s">
        <v>375</v>
      </c>
      <c r="B685" t="s">
        <v>376</v>
      </c>
      <c r="C685" t="s">
        <v>3167</v>
      </c>
      <c r="D685" t="s">
        <v>1963</v>
      </c>
      <c r="E685" t="s">
        <v>2020</v>
      </c>
      <c r="F685" t="s">
        <v>2021</v>
      </c>
      <c r="G685" t="s">
        <v>2022</v>
      </c>
      <c r="H685" t="s">
        <v>2023</v>
      </c>
      <c r="I685" t="s">
        <v>3658</v>
      </c>
      <c r="J685" t="s">
        <v>1963</v>
      </c>
      <c r="K685" t="s">
        <v>3480</v>
      </c>
      <c r="L685" t="s">
        <v>2046</v>
      </c>
      <c r="M685" t="s">
        <v>3620</v>
      </c>
      <c r="N685" t="s">
        <v>3621</v>
      </c>
      <c r="O685" t="s">
        <v>2362</v>
      </c>
      <c r="P685" t="s">
        <v>2363</v>
      </c>
      <c r="Q685" t="s">
        <v>14</v>
      </c>
      <c r="R685" t="s">
        <v>14</v>
      </c>
      <c r="S685" t="s">
        <v>14</v>
      </c>
      <c r="T685" t="s">
        <v>14</v>
      </c>
      <c r="U685" t="s">
        <v>2171</v>
      </c>
      <c r="V685" t="s">
        <v>14</v>
      </c>
      <c r="W685" t="b">
        <v>1</v>
      </c>
      <c r="X685" t="s">
        <v>3481</v>
      </c>
      <c r="Y685" t="b">
        <v>0</v>
      </c>
      <c r="Z685" t="s">
        <v>2053</v>
      </c>
    </row>
    <row r="686" spans="1:26" x14ac:dyDescent="0.35">
      <c r="A686" t="s">
        <v>375</v>
      </c>
      <c r="B686" t="s">
        <v>376</v>
      </c>
      <c r="C686" t="s">
        <v>3167</v>
      </c>
      <c r="D686" t="s">
        <v>1963</v>
      </c>
      <c r="E686" t="s">
        <v>2020</v>
      </c>
      <c r="F686" t="s">
        <v>2021</v>
      </c>
      <c r="G686" t="s">
        <v>2022</v>
      </c>
      <c r="H686" t="s">
        <v>2023</v>
      </c>
      <c r="I686" t="s">
        <v>3659</v>
      </c>
      <c r="J686" t="s">
        <v>1963</v>
      </c>
      <c r="K686" t="s">
        <v>3480</v>
      </c>
      <c r="L686" t="s">
        <v>2046</v>
      </c>
      <c r="M686" t="s">
        <v>3660</v>
      </c>
      <c r="N686" t="s">
        <v>3661</v>
      </c>
      <c r="O686" t="s">
        <v>2362</v>
      </c>
      <c r="P686" t="s">
        <v>2363</v>
      </c>
      <c r="Q686" t="s">
        <v>14</v>
      </c>
      <c r="R686" t="s">
        <v>14</v>
      </c>
      <c r="S686" t="s">
        <v>2845</v>
      </c>
      <c r="T686" t="s">
        <v>2846</v>
      </c>
      <c r="U686" t="s">
        <v>2171</v>
      </c>
      <c r="V686" t="s">
        <v>14</v>
      </c>
      <c r="W686" t="b">
        <v>1</v>
      </c>
      <c r="X686" t="s">
        <v>3481</v>
      </c>
      <c r="Y686" t="b">
        <v>0</v>
      </c>
      <c r="Z686" t="s">
        <v>2081</v>
      </c>
    </row>
    <row r="687" spans="1:26" x14ac:dyDescent="0.35">
      <c r="A687" t="s">
        <v>377</v>
      </c>
      <c r="B687" t="s">
        <v>378</v>
      </c>
      <c r="C687" t="s">
        <v>3167</v>
      </c>
      <c r="D687" t="s">
        <v>1963</v>
      </c>
      <c r="E687" t="s">
        <v>2020</v>
      </c>
      <c r="F687" t="s">
        <v>2021</v>
      </c>
      <c r="G687" t="s">
        <v>2022</v>
      </c>
      <c r="H687" t="s">
        <v>2023</v>
      </c>
      <c r="I687" t="s">
        <v>3609</v>
      </c>
      <c r="J687" t="s">
        <v>1963</v>
      </c>
      <c r="K687" t="s">
        <v>3662</v>
      </c>
      <c r="L687" t="s">
        <v>2046</v>
      </c>
      <c r="M687" t="s">
        <v>2073</v>
      </c>
      <c r="N687" t="s">
        <v>2074</v>
      </c>
      <c r="O687" t="s">
        <v>2075</v>
      </c>
      <c r="P687" t="s">
        <v>2076</v>
      </c>
      <c r="Q687" t="s">
        <v>2077</v>
      </c>
      <c r="R687" t="s">
        <v>14</v>
      </c>
      <c r="S687" t="s">
        <v>2078</v>
      </c>
      <c r="T687" t="s">
        <v>2079</v>
      </c>
      <c r="U687" t="s">
        <v>2080</v>
      </c>
      <c r="V687" t="s">
        <v>14</v>
      </c>
      <c r="W687" t="b">
        <v>1</v>
      </c>
      <c r="X687" t="s">
        <v>3663</v>
      </c>
      <c r="Y687" t="b">
        <v>0</v>
      </c>
      <c r="Z687" t="s">
        <v>2053</v>
      </c>
    </row>
    <row r="688" spans="1:26" x14ac:dyDescent="0.35">
      <c r="A688" t="s">
        <v>377</v>
      </c>
      <c r="B688" t="s">
        <v>378</v>
      </c>
      <c r="C688" t="s">
        <v>3167</v>
      </c>
      <c r="D688" t="s">
        <v>1963</v>
      </c>
      <c r="E688" t="s">
        <v>2020</v>
      </c>
      <c r="F688" t="s">
        <v>2021</v>
      </c>
      <c r="G688" t="s">
        <v>2022</v>
      </c>
      <c r="H688" t="s">
        <v>2023</v>
      </c>
      <c r="I688" t="s">
        <v>3635</v>
      </c>
      <c r="J688" t="s">
        <v>1963</v>
      </c>
      <c r="K688" t="s">
        <v>3662</v>
      </c>
      <c r="L688" t="s">
        <v>2046</v>
      </c>
      <c r="M688" t="s">
        <v>3390</v>
      </c>
      <c r="N688" t="s">
        <v>3391</v>
      </c>
      <c r="O688" t="s">
        <v>2362</v>
      </c>
      <c r="P688" t="s">
        <v>2363</v>
      </c>
      <c r="Q688" t="s">
        <v>2844</v>
      </c>
      <c r="R688" t="s">
        <v>14</v>
      </c>
      <c r="S688" t="s">
        <v>3397</v>
      </c>
      <c r="T688" t="s">
        <v>3398</v>
      </c>
      <c r="U688" t="s">
        <v>2171</v>
      </c>
      <c r="V688" t="s">
        <v>14</v>
      </c>
      <c r="W688" t="b">
        <v>1</v>
      </c>
      <c r="X688" t="s">
        <v>3663</v>
      </c>
      <c r="Y688" t="b">
        <v>0</v>
      </c>
      <c r="Z688" t="s">
        <v>2032</v>
      </c>
    </row>
    <row r="689" spans="1:26" x14ac:dyDescent="0.35">
      <c r="A689" t="s">
        <v>377</v>
      </c>
      <c r="B689" t="s">
        <v>378</v>
      </c>
      <c r="C689" t="s">
        <v>3167</v>
      </c>
      <c r="D689" t="s">
        <v>1963</v>
      </c>
      <c r="E689" t="s">
        <v>2020</v>
      </c>
      <c r="F689" t="s">
        <v>2021</v>
      </c>
      <c r="G689" t="s">
        <v>2022</v>
      </c>
      <c r="H689" t="s">
        <v>2023</v>
      </c>
      <c r="I689" t="s">
        <v>3567</v>
      </c>
      <c r="J689" t="s">
        <v>1963</v>
      </c>
      <c r="K689" t="s">
        <v>3662</v>
      </c>
      <c r="L689" t="s">
        <v>2046</v>
      </c>
      <c r="M689" t="s">
        <v>2338</v>
      </c>
      <c r="N689" t="s">
        <v>2339</v>
      </c>
      <c r="O689" t="s">
        <v>2340</v>
      </c>
      <c r="P689" t="s">
        <v>2341</v>
      </c>
      <c r="Q689" t="s">
        <v>14</v>
      </c>
      <c r="R689" t="s">
        <v>14</v>
      </c>
      <c r="S689" t="s">
        <v>3568</v>
      </c>
      <c r="T689" t="s">
        <v>3569</v>
      </c>
      <c r="U689" t="s">
        <v>2171</v>
      </c>
      <c r="V689" t="s">
        <v>14</v>
      </c>
      <c r="W689" t="b">
        <v>1</v>
      </c>
      <c r="X689" t="s">
        <v>3663</v>
      </c>
      <c r="Y689" t="b">
        <v>0</v>
      </c>
      <c r="Z689" t="s">
        <v>2081</v>
      </c>
    </row>
    <row r="690" spans="1:26" x14ac:dyDescent="0.35">
      <c r="A690" t="s">
        <v>377</v>
      </c>
      <c r="B690" t="s">
        <v>378</v>
      </c>
      <c r="C690" t="s">
        <v>3167</v>
      </c>
      <c r="D690" t="s">
        <v>1963</v>
      </c>
      <c r="E690" t="s">
        <v>2020</v>
      </c>
      <c r="F690" t="s">
        <v>2021</v>
      </c>
      <c r="G690" t="s">
        <v>2022</v>
      </c>
      <c r="H690" t="s">
        <v>2023</v>
      </c>
      <c r="I690" t="s">
        <v>3509</v>
      </c>
      <c r="J690" t="s">
        <v>1963</v>
      </c>
      <c r="K690" t="s">
        <v>3662</v>
      </c>
      <c r="L690" t="s">
        <v>2046</v>
      </c>
      <c r="M690" t="s">
        <v>2338</v>
      </c>
      <c r="N690" t="s">
        <v>2339</v>
      </c>
      <c r="O690" t="s">
        <v>2340</v>
      </c>
      <c r="P690" t="s">
        <v>2341</v>
      </c>
      <c r="Q690" t="s">
        <v>14</v>
      </c>
      <c r="R690" t="s">
        <v>14</v>
      </c>
      <c r="S690" t="s">
        <v>2436</v>
      </c>
      <c r="T690" t="s">
        <v>2437</v>
      </c>
      <c r="U690" t="s">
        <v>2171</v>
      </c>
      <c r="V690" t="s">
        <v>14</v>
      </c>
      <c r="W690" t="b">
        <v>1</v>
      </c>
      <c r="X690" t="s">
        <v>3663</v>
      </c>
      <c r="Y690" t="b">
        <v>0</v>
      </c>
      <c r="Z690" t="s">
        <v>2081</v>
      </c>
    </row>
    <row r="691" spans="1:26" x14ac:dyDescent="0.35">
      <c r="A691" t="s">
        <v>377</v>
      </c>
      <c r="B691" t="s">
        <v>378</v>
      </c>
      <c r="C691" t="s">
        <v>3167</v>
      </c>
      <c r="D691" t="s">
        <v>1963</v>
      </c>
      <c r="E691" t="s">
        <v>2020</v>
      </c>
      <c r="F691" t="s">
        <v>2021</v>
      </c>
      <c r="G691" t="s">
        <v>2022</v>
      </c>
      <c r="H691" t="s">
        <v>2023</v>
      </c>
      <c r="I691" t="s">
        <v>306</v>
      </c>
      <c r="J691" t="s">
        <v>1963</v>
      </c>
      <c r="K691" t="s">
        <v>3662</v>
      </c>
      <c r="L691" t="s">
        <v>2046</v>
      </c>
      <c r="M691" t="s">
        <v>2026</v>
      </c>
      <c r="N691" t="s">
        <v>2027</v>
      </c>
      <c r="O691" t="s">
        <v>2028</v>
      </c>
      <c r="P691" t="s">
        <v>2029</v>
      </c>
      <c r="Q691" t="s">
        <v>3531</v>
      </c>
      <c r="R691" t="s">
        <v>14</v>
      </c>
      <c r="S691" t="s">
        <v>2991</v>
      </c>
      <c r="T691" t="s">
        <v>2992</v>
      </c>
      <c r="U691" t="s">
        <v>2030</v>
      </c>
      <c r="V691" t="s">
        <v>14</v>
      </c>
      <c r="W691" t="b">
        <v>1</v>
      </c>
      <c r="X691" t="s">
        <v>3663</v>
      </c>
      <c r="Y691" t="b">
        <v>1</v>
      </c>
      <c r="Z691" t="s">
        <v>2032</v>
      </c>
    </row>
    <row r="692" spans="1:26" x14ac:dyDescent="0.35">
      <c r="A692" t="s">
        <v>377</v>
      </c>
      <c r="B692" t="s">
        <v>378</v>
      </c>
      <c r="C692" t="s">
        <v>3167</v>
      </c>
      <c r="D692" t="s">
        <v>1963</v>
      </c>
      <c r="E692" t="s">
        <v>2020</v>
      </c>
      <c r="F692" t="s">
        <v>2021</v>
      </c>
      <c r="G692" t="s">
        <v>2022</v>
      </c>
      <c r="H692" t="s">
        <v>2023</v>
      </c>
      <c r="I692" t="s">
        <v>3583</v>
      </c>
      <c r="J692" t="s">
        <v>1963</v>
      </c>
      <c r="K692" t="s">
        <v>3662</v>
      </c>
      <c r="L692" t="s">
        <v>2046</v>
      </c>
      <c r="M692" t="s">
        <v>3584</v>
      </c>
      <c r="N692" t="s">
        <v>3585</v>
      </c>
      <c r="O692" t="s">
        <v>2362</v>
      </c>
      <c r="P692" t="s">
        <v>2363</v>
      </c>
      <c r="Q692" t="s">
        <v>2844</v>
      </c>
      <c r="R692" t="s">
        <v>14</v>
      </c>
      <c r="S692" t="s">
        <v>2845</v>
      </c>
      <c r="T692" t="s">
        <v>2846</v>
      </c>
      <c r="U692" t="s">
        <v>2171</v>
      </c>
      <c r="V692" t="s">
        <v>14</v>
      </c>
      <c r="W692" t="b">
        <v>1</v>
      </c>
      <c r="X692" t="s">
        <v>3663</v>
      </c>
      <c r="Y692" t="b">
        <v>0</v>
      </c>
      <c r="Z692" t="s">
        <v>2032</v>
      </c>
    </row>
    <row r="693" spans="1:26" x14ac:dyDescent="0.35">
      <c r="A693" t="s">
        <v>377</v>
      </c>
      <c r="B693" t="s">
        <v>378</v>
      </c>
      <c r="C693" t="s">
        <v>3167</v>
      </c>
      <c r="D693" t="s">
        <v>1963</v>
      </c>
      <c r="E693" t="s">
        <v>2020</v>
      </c>
      <c r="F693" t="s">
        <v>2021</v>
      </c>
      <c r="G693" t="s">
        <v>2022</v>
      </c>
      <c r="H693" t="s">
        <v>2023</v>
      </c>
      <c r="I693" t="s">
        <v>3619</v>
      </c>
      <c r="J693" t="s">
        <v>1963</v>
      </c>
      <c r="K693" t="s">
        <v>3662</v>
      </c>
      <c r="L693" t="s">
        <v>2046</v>
      </c>
      <c r="M693" t="s">
        <v>3620</v>
      </c>
      <c r="N693" t="s">
        <v>3621</v>
      </c>
      <c r="O693" t="s">
        <v>2362</v>
      </c>
      <c r="P693" t="s">
        <v>2363</v>
      </c>
      <c r="Q693" t="s">
        <v>2844</v>
      </c>
      <c r="R693" t="s">
        <v>14</v>
      </c>
      <c r="S693" t="s">
        <v>2845</v>
      </c>
      <c r="T693" t="s">
        <v>2846</v>
      </c>
      <c r="U693" t="s">
        <v>2171</v>
      </c>
      <c r="V693" t="s">
        <v>14</v>
      </c>
      <c r="W693" t="b">
        <v>1</v>
      </c>
      <c r="X693" t="s">
        <v>3663</v>
      </c>
      <c r="Y693" t="b">
        <v>0</v>
      </c>
      <c r="Z693" t="s">
        <v>2081</v>
      </c>
    </row>
    <row r="694" spans="1:26" x14ac:dyDescent="0.35">
      <c r="A694" t="s">
        <v>377</v>
      </c>
      <c r="B694" t="s">
        <v>378</v>
      </c>
      <c r="C694" t="s">
        <v>3167</v>
      </c>
      <c r="D694" t="s">
        <v>1963</v>
      </c>
      <c r="E694" t="s">
        <v>2020</v>
      </c>
      <c r="F694" t="s">
        <v>2021</v>
      </c>
      <c r="G694" t="s">
        <v>2022</v>
      </c>
      <c r="H694" t="s">
        <v>2023</v>
      </c>
      <c r="I694" t="s">
        <v>3494</v>
      </c>
      <c r="J694" t="s">
        <v>1963</v>
      </c>
      <c r="K694" t="s">
        <v>3662</v>
      </c>
      <c r="L694" t="s">
        <v>2046</v>
      </c>
      <c r="M694" t="s">
        <v>3495</v>
      </c>
      <c r="N694" t="s">
        <v>3496</v>
      </c>
      <c r="O694" t="s">
        <v>2362</v>
      </c>
      <c r="P694" t="s">
        <v>2363</v>
      </c>
      <c r="Q694" t="s">
        <v>2844</v>
      </c>
      <c r="R694" t="s">
        <v>14</v>
      </c>
      <c r="S694" t="s">
        <v>3397</v>
      </c>
      <c r="T694" t="s">
        <v>3398</v>
      </c>
      <c r="U694" t="s">
        <v>2171</v>
      </c>
      <c r="V694" t="s">
        <v>14</v>
      </c>
      <c r="W694" t="b">
        <v>1</v>
      </c>
      <c r="X694" t="s">
        <v>3663</v>
      </c>
      <c r="Y694" t="b">
        <v>0</v>
      </c>
      <c r="Z694" t="s">
        <v>2053</v>
      </c>
    </row>
    <row r="695" spans="1:26" x14ac:dyDescent="0.35">
      <c r="A695" t="s">
        <v>377</v>
      </c>
      <c r="B695" t="s">
        <v>378</v>
      </c>
      <c r="C695" t="s">
        <v>3167</v>
      </c>
      <c r="D695" t="s">
        <v>1963</v>
      </c>
      <c r="E695" t="s">
        <v>2020</v>
      </c>
      <c r="F695" t="s">
        <v>2021</v>
      </c>
      <c r="G695" t="s">
        <v>2022</v>
      </c>
      <c r="H695" t="s">
        <v>2023</v>
      </c>
      <c r="I695" t="s">
        <v>3606</v>
      </c>
      <c r="J695" t="s">
        <v>1963</v>
      </c>
      <c r="K695" t="s">
        <v>3662</v>
      </c>
      <c r="L695" t="s">
        <v>2046</v>
      </c>
      <c r="M695" t="s">
        <v>3607</v>
      </c>
      <c r="N695" t="s">
        <v>3608</v>
      </c>
      <c r="O695" t="s">
        <v>2362</v>
      </c>
      <c r="P695" t="s">
        <v>2363</v>
      </c>
      <c r="Q695" t="s">
        <v>2844</v>
      </c>
      <c r="R695" t="s">
        <v>14</v>
      </c>
      <c r="S695" t="s">
        <v>3368</v>
      </c>
      <c r="T695" t="s">
        <v>3369</v>
      </c>
      <c r="U695" t="s">
        <v>2171</v>
      </c>
      <c r="V695" t="s">
        <v>14</v>
      </c>
      <c r="W695" t="b">
        <v>1</v>
      </c>
      <c r="X695" t="s">
        <v>3663</v>
      </c>
      <c r="Y695" t="b">
        <v>0</v>
      </c>
      <c r="Z695" t="s">
        <v>2053</v>
      </c>
    </row>
    <row r="696" spans="1:26" x14ac:dyDescent="0.35">
      <c r="A696" t="s">
        <v>377</v>
      </c>
      <c r="B696" t="s">
        <v>378</v>
      </c>
      <c r="C696" t="s">
        <v>3167</v>
      </c>
      <c r="D696" t="s">
        <v>1963</v>
      </c>
      <c r="E696" t="s">
        <v>2020</v>
      </c>
      <c r="F696" t="s">
        <v>2021</v>
      </c>
      <c r="G696" t="s">
        <v>2022</v>
      </c>
      <c r="H696" t="s">
        <v>2023</v>
      </c>
      <c r="I696" t="s">
        <v>3626</v>
      </c>
      <c r="J696" t="s">
        <v>1963</v>
      </c>
      <c r="K696" t="s">
        <v>3662</v>
      </c>
      <c r="L696" t="s">
        <v>2046</v>
      </c>
      <c r="M696" t="s">
        <v>2965</v>
      </c>
      <c r="N696" t="s">
        <v>2966</v>
      </c>
      <c r="O696" t="s">
        <v>2047</v>
      </c>
      <c r="P696" t="s">
        <v>2048</v>
      </c>
      <c r="Q696" t="s">
        <v>14</v>
      </c>
      <c r="R696" t="s">
        <v>14</v>
      </c>
      <c r="S696" t="s">
        <v>14</v>
      </c>
      <c r="T696" t="s">
        <v>14</v>
      </c>
      <c r="U696" t="s">
        <v>2052</v>
      </c>
      <c r="V696" t="s">
        <v>14</v>
      </c>
      <c r="W696" t="b">
        <v>1</v>
      </c>
      <c r="X696" t="s">
        <v>3663</v>
      </c>
      <c r="Y696" t="b">
        <v>0</v>
      </c>
      <c r="Z696" t="s">
        <v>2053</v>
      </c>
    </row>
    <row r="697" spans="1:26" x14ac:dyDescent="0.35">
      <c r="A697" t="s">
        <v>377</v>
      </c>
      <c r="B697" t="s">
        <v>378</v>
      </c>
      <c r="C697" t="s">
        <v>3167</v>
      </c>
      <c r="D697" t="s">
        <v>1963</v>
      </c>
      <c r="E697" t="s">
        <v>2020</v>
      </c>
      <c r="F697" t="s">
        <v>2021</v>
      </c>
      <c r="G697" t="s">
        <v>2022</v>
      </c>
      <c r="H697" t="s">
        <v>2023</v>
      </c>
      <c r="I697" t="s">
        <v>3023</v>
      </c>
      <c r="J697" t="s">
        <v>1963</v>
      </c>
      <c r="K697" t="s">
        <v>3662</v>
      </c>
      <c r="L697" t="s">
        <v>2046</v>
      </c>
      <c r="M697" t="s">
        <v>3025</v>
      </c>
      <c r="N697" t="s">
        <v>3026</v>
      </c>
      <c r="O697" t="s">
        <v>3027</v>
      </c>
      <c r="P697" t="s">
        <v>3028</v>
      </c>
      <c r="Q697" t="s">
        <v>14</v>
      </c>
      <c r="R697" t="s">
        <v>14</v>
      </c>
      <c r="S697" t="s">
        <v>3029</v>
      </c>
      <c r="T697" t="s">
        <v>3030</v>
      </c>
      <c r="U697" t="s">
        <v>2390</v>
      </c>
      <c r="V697" t="s">
        <v>14</v>
      </c>
      <c r="W697" t="b">
        <v>1</v>
      </c>
      <c r="X697" t="s">
        <v>3663</v>
      </c>
      <c r="Y697" t="b">
        <v>0</v>
      </c>
      <c r="Z697" t="s">
        <v>2053</v>
      </c>
    </row>
    <row r="698" spans="1:26" x14ac:dyDescent="0.35">
      <c r="A698" t="s">
        <v>377</v>
      </c>
      <c r="B698" t="s">
        <v>378</v>
      </c>
      <c r="C698" t="s">
        <v>3167</v>
      </c>
      <c r="D698" t="s">
        <v>1963</v>
      </c>
      <c r="E698" t="s">
        <v>2020</v>
      </c>
      <c r="F698" t="s">
        <v>2021</v>
      </c>
      <c r="G698" t="s">
        <v>2022</v>
      </c>
      <c r="H698" t="s">
        <v>2023</v>
      </c>
      <c r="I698" t="s">
        <v>3567</v>
      </c>
      <c r="J698" t="s">
        <v>1963</v>
      </c>
      <c r="K698" t="s">
        <v>3662</v>
      </c>
      <c r="L698" t="s">
        <v>2046</v>
      </c>
      <c r="M698" t="s">
        <v>2338</v>
      </c>
      <c r="N698" t="s">
        <v>2339</v>
      </c>
      <c r="O698" t="s">
        <v>2340</v>
      </c>
      <c r="P698" t="s">
        <v>2341</v>
      </c>
      <c r="Q698" t="s">
        <v>14</v>
      </c>
      <c r="R698" t="s">
        <v>14</v>
      </c>
      <c r="S698" t="s">
        <v>3568</v>
      </c>
      <c r="T698" t="s">
        <v>3569</v>
      </c>
      <c r="U698" t="s">
        <v>2171</v>
      </c>
      <c r="V698" t="s">
        <v>14</v>
      </c>
      <c r="W698" t="b">
        <v>1</v>
      </c>
      <c r="X698" t="s">
        <v>3663</v>
      </c>
      <c r="Y698" t="b">
        <v>0</v>
      </c>
      <c r="Z698" t="s">
        <v>2081</v>
      </c>
    </row>
    <row r="699" spans="1:26" x14ac:dyDescent="0.35">
      <c r="A699" t="s">
        <v>377</v>
      </c>
      <c r="B699" t="s">
        <v>378</v>
      </c>
      <c r="C699" t="s">
        <v>3167</v>
      </c>
      <c r="D699" t="s">
        <v>1963</v>
      </c>
      <c r="E699" t="s">
        <v>2020</v>
      </c>
      <c r="F699" t="s">
        <v>2021</v>
      </c>
      <c r="G699" t="s">
        <v>2022</v>
      </c>
      <c r="H699" t="s">
        <v>2023</v>
      </c>
      <c r="I699" t="s">
        <v>3062</v>
      </c>
      <c r="J699" t="s">
        <v>1963</v>
      </c>
      <c r="K699" t="s">
        <v>3662</v>
      </c>
      <c r="L699" t="s">
        <v>2046</v>
      </c>
      <c r="M699" t="s">
        <v>3041</v>
      </c>
      <c r="N699" t="s">
        <v>3042</v>
      </c>
      <c r="O699" t="s">
        <v>3013</v>
      </c>
      <c r="P699" t="s">
        <v>3014</v>
      </c>
      <c r="Q699" t="s">
        <v>14</v>
      </c>
      <c r="R699" t="s">
        <v>14</v>
      </c>
      <c r="S699" t="s">
        <v>14</v>
      </c>
      <c r="T699" t="s">
        <v>14</v>
      </c>
      <c r="U699" t="s">
        <v>3015</v>
      </c>
      <c r="V699" t="s">
        <v>14</v>
      </c>
      <c r="W699" t="b">
        <v>1</v>
      </c>
      <c r="X699" t="s">
        <v>3663</v>
      </c>
      <c r="Y699" t="b">
        <v>0</v>
      </c>
      <c r="Z699" t="s">
        <v>2081</v>
      </c>
    </row>
    <row r="700" spans="1:26" x14ac:dyDescent="0.35">
      <c r="A700" t="s">
        <v>377</v>
      </c>
      <c r="B700" t="s">
        <v>378</v>
      </c>
      <c r="C700" t="s">
        <v>3167</v>
      </c>
      <c r="D700" t="s">
        <v>1963</v>
      </c>
      <c r="E700" t="s">
        <v>2020</v>
      </c>
      <c r="F700" t="s">
        <v>2021</v>
      </c>
      <c r="G700" t="s">
        <v>2022</v>
      </c>
      <c r="H700" t="s">
        <v>2023</v>
      </c>
      <c r="I700" t="s">
        <v>3040</v>
      </c>
      <c r="J700" t="s">
        <v>1963</v>
      </c>
      <c r="K700" t="s">
        <v>3662</v>
      </c>
      <c r="L700" t="s">
        <v>2046</v>
      </c>
      <c r="M700" t="s">
        <v>3041</v>
      </c>
      <c r="N700" t="s">
        <v>3042</v>
      </c>
      <c r="O700" t="s">
        <v>3013</v>
      </c>
      <c r="P700" t="s">
        <v>3014</v>
      </c>
      <c r="Q700" t="s">
        <v>3021</v>
      </c>
      <c r="R700" t="s">
        <v>14</v>
      </c>
      <c r="S700" t="s">
        <v>14</v>
      </c>
      <c r="T700" t="s">
        <v>14</v>
      </c>
      <c r="U700" t="s">
        <v>3015</v>
      </c>
      <c r="V700" t="s">
        <v>14</v>
      </c>
      <c r="W700" t="b">
        <v>1</v>
      </c>
      <c r="X700" t="s">
        <v>3663</v>
      </c>
      <c r="Y700" t="b">
        <v>0</v>
      </c>
      <c r="Z700" t="s">
        <v>2081</v>
      </c>
    </row>
    <row r="701" spans="1:26" x14ac:dyDescent="0.35">
      <c r="A701" t="s">
        <v>377</v>
      </c>
      <c r="B701" t="s">
        <v>378</v>
      </c>
      <c r="C701" t="s">
        <v>3167</v>
      </c>
      <c r="D701" t="s">
        <v>1963</v>
      </c>
      <c r="E701" t="s">
        <v>2020</v>
      </c>
      <c r="F701" t="s">
        <v>2021</v>
      </c>
      <c r="G701" t="s">
        <v>2022</v>
      </c>
      <c r="H701" t="s">
        <v>2023</v>
      </c>
      <c r="I701" t="s">
        <v>3654</v>
      </c>
      <c r="J701" t="s">
        <v>1963</v>
      </c>
      <c r="K701" t="s">
        <v>3662</v>
      </c>
      <c r="L701" t="s">
        <v>2046</v>
      </c>
      <c r="M701" t="s">
        <v>3431</v>
      </c>
      <c r="N701" t="s">
        <v>3432</v>
      </c>
      <c r="O701" t="s">
        <v>2362</v>
      </c>
      <c r="P701" t="s">
        <v>2363</v>
      </c>
      <c r="Q701" t="s">
        <v>2844</v>
      </c>
      <c r="R701" t="s">
        <v>14</v>
      </c>
      <c r="S701" t="s">
        <v>3433</v>
      </c>
      <c r="T701" t="s">
        <v>3434</v>
      </c>
      <c r="U701" t="s">
        <v>2171</v>
      </c>
      <c r="V701" t="s">
        <v>14</v>
      </c>
      <c r="W701" t="b">
        <v>1</v>
      </c>
      <c r="X701" t="s">
        <v>3663</v>
      </c>
      <c r="Y701" t="b">
        <v>0</v>
      </c>
      <c r="Z701" t="s">
        <v>2053</v>
      </c>
    </row>
    <row r="702" spans="1:26" x14ac:dyDescent="0.35">
      <c r="A702" t="s">
        <v>377</v>
      </c>
      <c r="B702" t="s">
        <v>378</v>
      </c>
      <c r="C702" t="s">
        <v>3167</v>
      </c>
      <c r="D702" t="s">
        <v>1963</v>
      </c>
      <c r="E702" t="s">
        <v>2020</v>
      </c>
      <c r="F702" t="s">
        <v>2021</v>
      </c>
      <c r="G702" t="s">
        <v>2022</v>
      </c>
      <c r="H702" t="s">
        <v>2023</v>
      </c>
      <c r="I702" t="s">
        <v>3497</v>
      </c>
      <c r="J702" t="s">
        <v>1963</v>
      </c>
      <c r="K702" t="s">
        <v>3662</v>
      </c>
      <c r="L702" t="s">
        <v>2046</v>
      </c>
      <c r="M702" t="s">
        <v>2338</v>
      </c>
      <c r="N702" t="s">
        <v>2339</v>
      </c>
      <c r="O702" t="s">
        <v>2340</v>
      </c>
      <c r="P702" t="s">
        <v>2341</v>
      </c>
      <c r="Q702" t="s">
        <v>3498</v>
      </c>
      <c r="R702" t="s">
        <v>14</v>
      </c>
      <c r="S702" t="s">
        <v>2436</v>
      </c>
      <c r="T702" t="s">
        <v>2437</v>
      </c>
      <c r="U702" t="s">
        <v>2171</v>
      </c>
      <c r="V702" t="s">
        <v>14</v>
      </c>
      <c r="W702" t="b">
        <v>1</v>
      </c>
      <c r="X702" t="s">
        <v>3663</v>
      </c>
      <c r="Y702" t="b">
        <v>0</v>
      </c>
      <c r="Z702" t="s">
        <v>2032</v>
      </c>
    </row>
    <row r="703" spans="1:26" x14ac:dyDescent="0.35">
      <c r="A703" t="s">
        <v>377</v>
      </c>
      <c r="B703" t="s">
        <v>378</v>
      </c>
      <c r="C703" t="s">
        <v>3167</v>
      </c>
      <c r="D703" t="s">
        <v>1963</v>
      </c>
      <c r="E703" t="s">
        <v>2020</v>
      </c>
      <c r="F703" t="s">
        <v>2021</v>
      </c>
      <c r="G703" t="s">
        <v>2022</v>
      </c>
      <c r="H703" t="s">
        <v>2023</v>
      </c>
      <c r="I703" t="s">
        <v>3532</v>
      </c>
      <c r="J703" t="s">
        <v>1963</v>
      </c>
      <c r="K703" t="s">
        <v>3662</v>
      </c>
      <c r="L703" t="s">
        <v>2046</v>
      </c>
      <c r="M703" t="s">
        <v>3533</v>
      </c>
      <c r="N703" t="s">
        <v>3534</v>
      </c>
      <c r="O703" t="s">
        <v>2362</v>
      </c>
      <c r="P703" t="s">
        <v>2363</v>
      </c>
      <c r="Q703" t="s">
        <v>2844</v>
      </c>
      <c r="R703" t="s">
        <v>14</v>
      </c>
      <c r="S703" t="s">
        <v>2845</v>
      </c>
      <c r="T703" t="s">
        <v>2846</v>
      </c>
      <c r="U703" t="s">
        <v>2171</v>
      </c>
      <c r="V703" t="s">
        <v>14</v>
      </c>
      <c r="W703" t="b">
        <v>1</v>
      </c>
      <c r="X703" t="s">
        <v>3663</v>
      </c>
      <c r="Y703" t="b">
        <v>0</v>
      </c>
      <c r="Z703" t="s">
        <v>2053</v>
      </c>
    </row>
    <row r="704" spans="1:26" x14ac:dyDescent="0.35">
      <c r="A704" t="s">
        <v>377</v>
      </c>
      <c r="B704" t="s">
        <v>378</v>
      </c>
      <c r="C704" t="s">
        <v>3167</v>
      </c>
      <c r="D704" t="s">
        <v>1963</v>
      </c>
      <c r="E704" t="s">
        <v>2020</v>
      </c>
      <c r="F704" t="s">
        <v>2021</v>
      </c>
      <c r="G704" t="s">
        <v>2022</v>
      </c>
      <c r="H704" t="s">
        <v>2023</v>
      </c>
      <c r="I704" t="s">
        <v>3528</v>
      </c>
      <c r="J704" t="s">
        <v>1963</v>
      </c>
      <c r="K704" t="s">
        <v>3662</v>
      </c>
      <c r="L704" t="s">
        <v>2046</v>
      </c>
      <c r="M704" t="s">
        <v>3529</v>
      </c>
      <c r="N704" t="s">
        <v>3530</v>
      </c>
      <c r="O704" t="s">
        <v>2362</v>
      </c>
      <c r="P704" t="s">
        <v>2363</v>
      </c>
      <c r="Q704" t="s">
        <v>2844</v>
      </c>
      <c r="R704" t="s">
        <v>14</v>
      </c>
      <c r="S704" t="s">
        <v>2845</v>
      </c>
      <c r="T704" t="s">
        <v>2846</v>
      </c>
      <c r="U704" t="s">
        <v>2171</v>
      </c>
      <c r="V704" t="s">
        <v>14</v>
      </c>
      <c r="W704" t="b">
        <v>1</v>
      </c>
      <c r="X704" t="s">
        <v>3663</v>
      </c>
      <c r="Y704" t="b">
        <v>0</v>
      </c>
      <c r="Z704" t="s">
        <v>2081</v>
      </c>
    </row>
    <row r="705" spans="1:26" x14ac:dyDescent="0.35">
      <c r="A705" t="s">
        <v>377</v>
      </c>
      <c r="B705" t="s">
        <v>378</v>
      </c>
      <c r="C705" t="s">
        <v>3167</v>
      </c>
      <c r="D705" t="s">
        <v>1963</v>
      </c>
      <c r="E705" t="s">
        <v>2020</v>
      </c>
      <c r="F705" t="s">
        <v>2021</v>
      </c>
      <c r="G705" t="s">
        <v>2022</v>
      </c>
      <c r="H705" t="s">
        <v>2023</v>
      </c>
      <c r="I705" t="s">
        <v>3586</v>
      </c>
      <c r="J705" t="s">
        <v>1963</v>
      </c>
      <c r="K705" t="s">
        <v>3662</v>
      </c>
      <c r="L705" t="s">
        <v>2046</v>
      </c>
      <c r="M705" t="s">
        <v>3587</v>
      </c>
      <c r="N705" t="s">
        <v>3588</v>
      </c>
      <c r="O705" t="s">
        <v>2047</v>
      </c>
      <c r="P705" t="s">
        <v>2048</v>
      </c>
      <c r="Q705" t="s">
        <v>14</v>
      </c>
      <c r="R705" t="s">
        <v>14</v>
      </c>
      <c r="S705" t="s">
        <v>14</v>
      </c>
      <c r="T705" t="s">
        <v>14</v>
      </c>
      <c r="U705" t="s">
        <v>2052</v>
      </c>
      <c r="V705" t="s">
        <v>14</v>
      </c>
      <c r="W705" t="b">
        <v>1</v>
      </c>
      <c r="X705" t="s">
        <v>3663</v>
      </c>
      <c r="Y705" t="b">
        <v>0</v>
      </c>
      <c r="Z705" t="s">
        <v>2053</v>
      </c>
    </row>
    <row r="706" spans="1:26" x14ac:dyDescent="0.35">
      <c r="A706" t="s">
        <v>377</v>
      </c>
      <c r="B706" t="s">
        <v>378</v>
      </c>
      <c r="C706" t="s">
        <v>3167</v>
      </c>
      <c r="D706" t="s">
        <v>1963</v>
      </c>
      <c r="E706" t="s">
        <v>2020</v>
      </c>
      <c r="F706" t="s">
        <v>2021</v>
      </c>
      <c r="G706" t="s">
        <v>2022</v>
      </c>
      <c r="H706" t="s">
        <v>2023</v>
      </c>
      <c r="I706" t="s">
        <v>3658</v>
      </c>
      <c r="J706" t="s">
        <v>1963</v>
      </c>
      <c r="K706" t="s">
        <v>3662</v>
      </c>
      <c r="L706" t="s">
        <v>2046</v>
      </c>
      <c r="M706" t="s">
        <v>3620</v>
      </c>
      <c r="N706" t="s">
        <v>3621</v>
      </c>
      <c r="O706" t="s">
        <v>2362</v>
      </c>
      <c r="P706" t="s">
        <v>2363</v>
      </c>
      <c r="Q706" t="s">
        <v>14</v>
      </c>
      <c r="R706" t="s">
        <v>14</v>
      </c>
      <c r="S706" t="s">
        <v>14</v>
      </c>
      <c r="T706" t="s">
        <v>14</v>
      </c>
      <c r="U706" t="s">
        <v>2171</v>
      </c>
      <c r="V706" t="s">
        <v>14</v>
      </c>
      <c r="W706" t="b">
        <v>1</v>
      </c>
      <c r="X706" t="s">
        <v>3663</v>
      </c>
      <c r="Y706" t="b">
        <v>0</v>
      </c>
      <c r="Z706" t="s">
        <v>2053</v>
      </c>
    </row>
    <row r="707" spans="1:26" x14ac:dyDescent="0.35">
      <c r="A707" t="s">
        <v>377</v>
      </c>
      <c r="B707" t="s">
        <v>378</v>
      </c>
      <c r="C707" t="s">
        <v>3167</v>
      </c>
      <c r="D707" t="s">
        <v>1963</v>
      </c>
      <c r="E707" t="s">
        <v>2020</v>
      </c>
      <c r="F707" t="s">
        <v>2021</v>
      </c>
      <c r="G707" t="s">
        <v>2022</v>
      </c>
      <c r="H707" t="s">
        <v>2023</v>
      </c>
      <c r="I707" t="s">
        <v>3524</v>
      </c>
      <c r="J707" t="s">
        <v>1963</v>
      </c>
      <c r="K707" t="s">
        <v>3662</v>
      </c>
      <c r="L707" t="s">
        <v>2046</v>
      </c>
      <c r="M707" t="s">
        <v>3009</v>
      </c>
      <c r="N707" t="s">
        <v>3010</v>
      </c>
      <c r="O707" t="s">
        <v>2362</v>
      </c>
      <c r="P707" t="s">
        <v>2363</v>
      </c>
      <c r="Q707" t="s">
        <v>3004</v>
      </c>
      <c r="R707" t="s">
        <v>14</v>
      </c>
      <c r="S707" t="s">
        <v>3005</v>
      </c>
      <c r="T707" t="s">
        <v>3006</v>
      </c>
      <c r="U707" t="s">
        <v>2171</v>
      </c>
      <c r="V707" t="s">
        <v>14</v>
      </c>
      <c r="W707" t="b">
        <v>1</v>
      </c>
      <c r="X707" t="s">
        <v>3663</v>
      </c>
      <c r="Y707" t="b">
        <v>0</v>
      </c>
      <c r="Z707" t="s">
        <v>2053</v>
      </c>
    </row>
    <row r="708" spans="1:26" x14ac:dyDescent="0.35">
      <c r="A708" t="s">
        <v>377</v>
      </c>
      <c r="B708" t="s">
        <v>378</v>
      </c>
      <c r="C708" t="s">
        <v>3167</v>
      </c>
      <c r="D708" t="s">
        <v>1963</v>
      </c>
      <c r="E708" t="s">
        <v>2020</v>
      </c>
      <c r="F708" t="s">
        <v>2021</v>
      </c>
      <c r="G708" t="s">
        <v>2022</v>
      </c>
      <c r="H708" t="s">
        <v>2023</v>
      </c>
      <c r="I708" t="s">
        <v>3572</v>
      </c>
      <c r="J708" t="s">
        <v>1963</v>
      </c>
      <c r="K708" t="s">
        <v>3662</v>
      </c>
      <c r="L708" t="s">
        <v>2046</v>
      </c>
      <c r="M708" t="s">
        <v>3573</v>
      </c>
      <c r="N708" t="s">
        <v>3574</v>
      </c>
      <c r="O708" t="s">
        <v>2362</v>
      </c>
      <c r="P708" t="s">
        <v>2363</v>
      </c>
      <c r="Q708" t="s">
        <v>2844</v>
      </c>
      <c r="R708" t="s">
        <v>14</v>
      </c>
      <c r="S708" t="s">
        <v>2845</v>
      </c>
      <c r="T708" t="s">
        <v>2846</v>
      </c>
      <c r="U708" t="s">
        <v>2171</v>
      </c>
      <c r="V708" t="s">
        <v>14</v>
      </c>
      <c r="W708" t="b">
        <v>1</v>
      </c>
      <c r="X708" t="s">
        <v>3663</v>
      </c>
      <c r="Y708" t="b">
        <v>0</v>
      </c>
      <c r="Z708" t="s">
        <v>2081</v>
      </c>
    </row>
    <row r="709" spans="1:26" x14ac:dyDescent="0.35">
      <c r="A709" t="s">
        <v>377</v>
      </c>
      <c r="B709" t="s">
        <v>378</v>
      </c>
      <c r="C709" t="s">
        <v>3167</v>
      </c>
      <c r="D709" t="s">
        <v>1963</v>
      </c>
      <c r="E709" t="s">
        <v>2020</v>
      </c>
      <c r="F709" t="s">
        <v>2021</v>
      </c>
      <c r="G709" t="s">
        <v>2022</v>
      </c>
      <c r="H709" t="s">
        <v>2023</v>
      </c>
      <c r="I709" t="s">
        <v>3056</v>
      </c>
      <c r="J709" t="s">
        <v>1963</v>
      </c>
      <c r="K709" t="s">
        <v>3662</v>
      </c>
      <c r="L709" t="s">
        <v>2046</v>
      </c>
      <c r="M709" t="s">
        <v>3057</v>
      </c>
      <c r="N709" t="s">
        <v>3058</v>
      </c>
      <c r="O709" t="s">
        <v>3013</v>
      </c>
      <c r="P709" t="s">
        <v>3014</v>
      </c>
      <c r="Q709" t="s">
        <v>14</v>
      </c>
      <c r="R709" t="s">
        <v>14</v>
      </c>
      <c r="S709" t="s">
        <v>14</v>
      </c>
      <c r="T709" t="s">
        <v>14</v>
      </c>
      <c r="U709" t="s">
        <v>3015</v>
      </c>
      <c r="V709" t="s">
        <v>14</v>
      </c>
      <c r="W709" t="b">
        <v>1</v>
      </c>
      <c r="X709" t="s">
        <v>3663</v>
      </c>
      <c r="Y709" t="b">
        <v>0</v>
      </c>
      <c r="Z709" t="s">
        <v>2053</v>
      </c>
    </row>
    <row r="710" spans="1:26" x14ac:dyDescent="0.35">
      <c r="A710" t="s">
        <v>377</v>
      </c>
      <c r="B710" t="s">
        <v>378</v>
      </c>
      <c r="C710" t="s">
        <v>3167</v>
      </c>
      <c r="D710" t="s">
        <v>1963</v>
      </c>
      <c r="E710" t="s">
        <v>2020</v>
      </c>
      <c r="F710" t="s">
        <v>2021</v>
      </c>
      <c r="G710" t="s">
        <v>2022</v>
      </c>
      <c r="H710" t="s">
        <v>2023</v>
      </c>
      <c r="I710" t="s">
        <v>3664</v>
      </c>
      <c r="J710" t="s">
        <v>1963</v>
      </c>
      <c r="K710" t="s">
        <v>3662</v>
      </c>
      <c r="L710" t="s">
        <v>2046</v>
      </c>
      <c r="M710" t="s">
        <v>3665</v>
      </c>
      <c r="N710" t="s">
        <v>3666</v>
      </c>
      <c r="O710" t="s">
        <v>2362</v>
      </c>
      <c r="P710" t="s">
        <v>2363</v>
      </c>
      <c r="Q710" t="s">
        <v>2844</v>
      </c>
      <c r="R710" t="s">
        <v>14</v>
      </c>
      <c r="S710" t="s">
        <v>3433</v>
      </c>
      <c r="T710" t="s">
        <v>3434</v>
      </c>
      <c r="U710" t="s">
        <v>2171</v>
      </c>
      <c r="V710" t="s">
        <v>14</v>
      </c>
      <c r="W710" t="b">
        <v>1</v>
      </c>
      <c r="X710" t="s">
        <v>3663</v>
      </c>
      <c r="Y710" t="b">
        <v>0</v>
      </c>
      <c r="Z710" t="s">
        <v>2032</v>
      </c>
    </row>
    <row r="711" spans="1:26" x14ac:dyDescent="0.35">
      <c r="A711" t="s">
        <v>377</v>
      </c>
      <c r="B711" t="s">
        <v>378</v>
      </c>
      <c r="C711" t="s">
        <v>3167</v>
      </c>
      <c r="D711" t="s">
        <v>1963</v>
      </c>
      <c r="E711" t="s">
        <v>2020</v>
      </c>
      <c r="F711" t="s">
        <v>2021</v>
      </c>
      <c r="G711" t="s">
        <v>2022</v>
      </c>
      <c r="H711" t="s">
        <v>2023</v>
      </c>
      <c r="I711" t="s">
        <v>3594</v>
      </c>
      <c r="J711" t="s">
        <v>1963</v>
      </c>
      <c r="K711" t="s">
        <v>3662</v>
      </c>
      <c r="L711" t="s">
        <v>2046</v>
      </c>
      <c r="M711" t="s">
        <v>3595</v>
      </c>
      <c r="N711" t="s">
        <v>3596</v>
      </c>
      <c r="O711" t="s">
        <v>2362</v>
      </c>
      <c r="P711" t="s">
        <v>2363</v>
      </c>
      <c r="Q711" t="s">
        <v>2844</v>
      </c>
      <c r="R711" t="s">
        <v>14</v>
      </c>
      <c r="S711" t="s">
        <v>3368</v>
      </c>
      <c r="T711" t="s">
        <v>3369</v>
      </c>
      <c r="U711" t="s">
        <v>2171</v>
      </c>
      <c r="V711" t="s">
        <v>14</v>
      </c>
      <c r="W711" t="b">
        <v>1</v>
      </c>
      <c r="X711" t="s">
        <v>3663</v>
      </c>
      <c r="Y711" t="b">
        <v>0</v>
      </c>
      <c r="Z711" t="s">
        <v>2053</v>
      </c>
    </row>
    <row r="712" spans="1:26" x14ac:dyDescent="0.35">
      <c r="A712" t="s">
        <v>377</v>
      </c>
      <c r="B712" t="s">
        <v>378</v>
      </c>
      <c r="C712" t="s">
        <v>3167</v>
      </c>
      <c r="D712" t="s">
        <v>1963</v>
      </c>
      <c r="E712" t="s">
        <v>2020</v>
      </c>
      <c r="F712" t="s">
        <v>2021</v>
      </c>
      <c r="G712" t="s">
        <v>2022</v>
      </c>
      <c r="H712" t="s">
        <v>2023</v>
      </c>
      <c r="I712" t="s">
        <v>3627</v>
      </c>
      <c r="J712" t="s">
        <v>1963</v>
      </c>
      <c r="K712" t="s">
        <v>3662</v>
      </c>
      <c r="L712" t="s">
        <v>2046</v>
      </c>
      <c r="M712" t="s">
        <v>3628</v>
      </c>
      <c r="N712" t="s">
        <v>3629</v>
      </c>
      <c r="O712" t="s">
        <v>3485</v>
      </c>
      <c r="P712" t="s">
        <v>3486</v>
      </c>
      <c r="Q712" t="s">
        <v>14</v>
      </c>
      <c r="R712" t="s">
        <v>14</v>
      </c>
      <c r="S712" t="s">
        <v>3487</v>
      </c>
      <c r="T712" t="s">
        <v>3488</v>
      </c>
      <c r="U712" t="s">
        <v>2171</v>
      </c>
      <c r="V712" t="s">
        <v>14</v>
      </c>
      <c r="W712" t="b">
        <v>1</v>
      </c>
      <c r="X712" t="s">
        <v>3663</v>
      </c>
      <c r="Y712" t="b">
        <v>0</v>
      </c>
      <c r="Z712" t="s">
        <v>2053</v>
      </c>
    </row>
    <row r="713" spans="1:26" x14ac:dyDescent="0.35">
      <c r="A713" t="s">
        <v>377</v>
      </c>
      <c r="B713" t="s">
        <v>378</v>
      </c>
      <c r="C713" t="s">
        <v>3167</v>
      </c>
      <c r="D713" t="s">
        <v>1963</v>
      </c>
      <c r="E713" t="s">
        <v>2020</v>
      </c>
      <c r="F713" t="s">
        <v>2021</v>
      </c>
      <c r="G713" t="s">
        <v>2022</v>
      </c>
      <c r="H713" t="s">
        <v>2023</v>
      </c>
      <c r="I713" t="s">
        <v>3558</v>
      </c>
      <c r="J713" t="s">
        <v>1963</v>
      </c>
      <c r="K713" t="s">
        <v>3662</v>
      </c>
      <c r="L713" t="s">
        <v>2046</v>
      </c>
      <c r="M713" t="s">
        <v>3559</v>
      </c>
      <c r="N713" t="s">
        <v>3560</v>
      </c>
      <c r="O713" t="s">
        <v>2075</v>
      </c>
      <c r="P713" t="s">
        <v>2076</v>
      </c>
      <c r="Q713" t="s">
        <v>2077</v>
      </c>
      <c r="R713" t="s">
        <v>14</v>
      </c>
      <c r="S713" t="s">
        <v>3561</v>
      </c>
      <c r="T713" t="s">
        <v>3562</v>
      </c>
      <c r="U713" t="s">
        <v>2080</v>
      </c>
      <c r="V713" t="s">
        <v>14</v>
      </c>
      <c r="W713" t="b">
        <v>1</v>
      </c>
      <c r="X713" t="s">
        <v>3663</v>
      </c>
      <c r="Y713" t="b">
        <v>0</v>
      </c>
      <c r="Z713" t="s">
        <v>2081</v>
      </c>
    </row>
    <row r="714" spans="1:26" x14ac:dyDescent="0.35">
      <c r="A714" t="s">
        <v>379</v>
      </c>
      <c r="B714" t="s">
        <v>380</v>
      </c>
      <c r="C714" t="s">
        <v>3167</v>
      </c>
      <c r="D714" t="s">
        <v>1963</v>
      </c>
      <c r="E714" t="s">
        <v>2020</v>
      </c>
      <c r="F714" t="s">
        <v>2021</v>
      </c>
      <c r="G714" t="s">
        <v>2022</v>
      </c>
      <c r="H714" t="s">
        <v>2023</v>
      </c>
      <c r="I714" t="s">
        <v>3609</v>
      </c>
      <c r="J714" t="s">
        <v>1963</v>
      </c>
      <c r="K714" t="s">
        <v>3667</v>
      </c>
      <c r="L714" t="s">
        <v>2046</v>
      </c>
      <c r="M714" t="s">
        <v>2073</v>
      </c>
      <c r="N714" t="s">
        <v>2074</v>
      </c>
      <c r="O714" t="s">
        <v>2075</v>
      </c>
      <c r="P714" t="s">
        <v>2076</v>
      </c>
      <c r="Q714" t="s">
        <v>2077</v>
      </c>
      <c r="R714" t="s">
        <v>14</v>
      </c>
      <c r="S714" t="s">
        <v>2078</v>
      </c>
      <c r="T714" t="s">
        <v>2079</v>
      </c>
      <c r="U714" t="s">
        <v>2080</v>
      </c>
      <c r="V714" t="s">
        <v>14</v>
      </c>
      <c r="W714" t="b">
        <v>1</v>
      </c>
      <c r="X714" t="s">
        <v>3668</v>
      </c>
      <c r="Y714" t="b">
        <v>0</v>
      </c>
      <c r="Z714" t="s">
        <v>2053</v>
      </c>
    </row>
    <row r="715" spans="1:26" x14ac:dyDescent="0.35">
      <c r="A715" t="s">
        <v>379</v>
      </c>
      <c r="B715" t="s">
        <v>380</v>
      </c>
      <c r="C715" t="s">
        <v>3167</v>
      </c>
      <c r="D715" t="s">
        <v>1963</v>
      </c>
      <c r="E715" t="s">
        <v>2020</v>
      </c>
      <c r="F715" t="s">
        <v>2021</v>
      </c>
      <c r="G715" t="s">
        <v>2022</v>
      </c>
      <c r="H715" t="s">
        <v>2023</v>
      </c>
      <c r="I715" t="s">
        <v>3567</v>
      </c>
      <c r="J715" t="s">
        <v>1963</v>
      </c>
      <c r="K715" t="s">
        <v>3667</v>
      </c>
      <c r="L715" t="s">
        <v>2046</v>
      </c>
      <c r="M715" t="s">
        <v>2338</v>
      </c>
      <c r="N715" t="s">
        <v>2339</v>
      </c>
      <c r="O715" t="s">
        <v>2340</v>
      </c>
      <c r="P715" t="s">
        <v>2341</v>
      </c>
      <c r="Q715" t="s">
        <v>14</v>
      </c>
      <c r="R715" t="s">
        <v>14</v>
      </c>
      <c r="S715" t="s">
        <v>3568</v>
      </c>
      <c r="T715" t="s">
        <v>3569</v>
      </c>
      <c r="U715" t="s">
        <v>2171</v>
      </c>
      <c r="V715" t="s">
        <v>14</v>
      </c>
      <c r="W715" t="b">
        <v>1</v>
      </c>
      <c r="X715" t="s">
        <v>3668</v>
      </c>
      <c r="Y715" t="b">
        <v>0</v>
      </c>
      <c r="Z715" t="s">
        <v>2081</v>
      </c>
    </row>
    <row r="716" spans="1:26" x14ac:dyDescent="0.35">
      <c r="A716" t="s">
        <v>379</v>
      </c>
      <c r="B716" t="s">
        <v>380</v>
      </c>
      <c r="C716" t="s">
        <v>3167</v>
      </c>
      <c r="D716" t="s">
        <v>1963</v>
      </c>
      <c r="E716" t="s">
        <v>2020</v>
      </c>
      <c r="F716" t="s">
        <v>2021</v>
      </c>
      <c r="G716" t="s">
        <v>2022</v>
      </c>
      <c r="H716" t="s">
        <v>2023</v>
      </c>
      <c r="I716" t="s">
        <v>3062</v>
      </c>
      <c r="J716" t="s">
        <v>1963</v>
      </c>
      <c r="K716" t="s">
        <v>3667</v>
      </c>
      <c r="L716" t="s">
        <v>2046</v>
      </c>
      <c r="M716" t="s">
        <v>3041</v>
      </c>
      <c r="N716" t="s">
        <v>3042</v>
      </c>
      <c r="O716" t="s">
        <v>3013</v>
      </c>
      <c r="P716" t="s">
        <v>3014</v>
      </c>
      <c r="Q716" t="s">
        <v>14</v>
      </c>
      <c r="R716" t="s">
        <v>14</v>
      </c>
      <c r="S716" t="s">
        <v>14</v>
      </c>
      <c r="T716" t="s">
        <v>14</v>
      </c>
      <c r="U716" t="s">
        <v>3015</v>
      </c>
      <c r="V716" t="s">
        <v>14</v>
      </c>
      <c r="W716" t="b">
        <v>1</v>
      </c>
      <c r="X716" t="s">
        <v>3668</v>
      </c>
      <c r="Y716" t="b">
        <v>0</v>
      </c>
      <c r="Z716" t="s">
        <v>2081</v>
      </c>
    </row>
    <row r="717" spans="1:26" x14ac:dyDescent="0.35">
      <c r="A717" t="s">
        <v>379</v>
      </c>
      <c r="B717" t="s">
        <v>380</v>
      </c>
      <c r="C717" t="s">
        <v>3167</v>
      </c>
      <c r="D717" t="s">
        <v>1963</v>
      </c>
      <c r="E717" t="s">
        <v>2020</v>
      </c>
      <c r="F717" t="s">
        <v>2021</v>
      </c>
      <c r="G717" t="s">
        <v>2022</v>
      </c>
      <c r="H717" t="s">
        <v>2023</v>
      </c>
      <c r="I717" t="s">
        <v>3654</v>
      </c>
      <c r="J717" t="s">
        <v>1963</v>
      </c>
      <c r="K717" t="s">
        <v>3667</v>
      </c>
      <c r="L717" t="s">
        <v>2046</v>
      </c>
      <c r="M717" t="s">
        <v>3431</v>
      </c>
      <c r="N717" t="s">
        <v>3432</v>
      </c>
      <c r="O717" t="s">
        <v>2362</v>
      </c>
      <c r="P717" t="s">
        <v>2363</v>
      </c>
      <c r="Q717" t="s">
        <v>2844</v>
      </c>
      <c r="R717" t="s">
        <v>14</v>
      </c>
      <c r="S717" t="s">
        <v>3433</v>
      </c>
      <c r="T717" t="s">
        <v>3434</v>
      </c>
      <c r="U717" t="s">
        <v>2171</v>
      </c>
      <c r="V717" t="s">
        <v>14</v>
      </c>
      <c r="W717" t="b">
        <v>1</v>
      </c>
      <c r="X717" t="s">
        <v>3668</v>
      </c>
      <c r="Y717" t="b">
        <v>0</v>
      </c>
      <c r="Z717" t="s">
        <v>2053</v>
      </c>
    </row>
    <row r="718" spans="1:26" x14ac:dyDescent="0.35">
      <c r="A718" t="s">
        <v>379</v>
      </c>
      <c r="B718" t="s">
        <v>380</v>
      </c>
      <c r="C718" t="s">
        <v>3167</v>
      </c>
      <c r="D718" t="s">
        <v>1963</v>
      </c>
      <c r="E718" t="s">
        <v>2020</v>
      </c>
      <c r="F718" t="s">
        <v>2021</v>
      </c>
      <c r="G718" t="s">
        <v>2022</v>
      </c>
      <c r="H718" t="s">
        <v>2023</v>
      </c>
      <c r="I718" t="s">
        <v>3532</v>
      </c>
      <c r="J718" t="s">
        <v>1963</v>
      </c>
      <c r="K718" t="s">
        <v>3667</v>
      </c>
      <c r="L718" t="s">
        <v>2046</v>
      </c>
      <c r="M718" t="s">
        <v>3533</v>
      </c>
      <c r="N718" t="s">
        <v>3534</v>
      </c>
      <c r="O718" t="s">
        <v>2362</v>
      </c>
      <c r="P718" t="s">
        <v>2363</v>
      </c>
      <c r="Q718" t="s">
        <v>2844</v>
      </c>
      <c r="R718" t="s">
        <v>14</v>
      </c>
      <c r="S718" t="s">
        <v>2845</v>
      </c>
      <c r="T718" t="s">
        <v>2846</v>
      </c>
      <c r="U718" t="s">
        <v>2171</v>
      </c>
      <c r="V718" t="s">
        <v>14</v>
      </c>
      <c r="W718" t="b">
        <v>1</v>
      </c>
      <c r="X718" t="s">
        <v>3668</v>
      </c>
      <c r="Y718" t="b">
        <v>0</v>
      </c>
      <c r="Z718" t="s">
        <v>2053</v>
      </c>
    </row>
    <row r="719" spans="1:26" x14ac:dyDescent="0.35">
      <c r="A719" t="s">
        <v>379</v>
      </c>
      <c r="B719" t="s">
        <v>380</v>
      </c>
      <c r="C719" t="s">
        <v>3167</v>
      </c>
      <c r="D719" t="s">
        <v>1963</v>
      </c>
      <c r="E719" t="s">
        <v>2020</v>
      </c>
      <c r="F719" t="s">
        <v>2021</v>
      </c>
      <c r="G719" t="s">
        <v>2022</v>
      </c>
      <c r="H719" t="s">
        <v>2023</v>
      </c>
      <c r="I719" t="s">
        <v>3594</v>
      </c>
      <c r="J719" t="s">
        <v>1963</v>
      </c>
      <c r="K719" t="s">
        <v>3667</v>
      </c>
      <c r="L719" t="s">
        <v>2046</v>
      </c>
      <c r="M719" t="s">
        <v>3595</v>
      </c>
      <c r="N719" t="s">
        <v>3596</v>
      </c>
      <c r="O719" t="s">
        <v>2362</v>
      </c>
      <c r="P719" t="s">
        <v>2363</v>
      </c>
      <c r="Q719" t="s">
        <v>2844</v>
      </c>
      <c r="R719" t="s">
        <v>14</v>
      </c>
      <c r="S719" t="s">
        <v>3368</v>
      </c>
      <c r="T719" t="s">
        <v>3369</v>
      </c>
      <c r="U719" t="s">
        <v>2171</v>
      </c>
      <c r="V719" t="s">
        <v>14</v>
      </c>
      <c r="W719" t="b">
        <v>1</v>
      </c>
      <c r="X719" t="s">
        <v>3668</v>
      </c>
      <c r="Y719" t="b">
        <v>0</v>
      </c>
      <c r="Z719" t="s">
        <v>2053</v>
      </c>
    </row>
    <row r="720" spans="1:26" x14ac:dyDescent="0.35">
      <c r="A720" t="s">
        <v>379</v>
      </c>
      <c r="B720" t="s">
        <v>380</v>
      </c>
      <c r="C720" t="s">
        <v>3167</v>
      </c>
      <c r="D720" t="s">
        <v>1963</v>
      </c>
      <c r="E720" t="s">
        <v>2020</v>
      </c>
      <c r="F720" t="s">
        <v>2021</v>
      </c>
      <c r="G720" t="s">
        <v>2022</v>
      </c>
      <c r="H720" t="s">
        <v>2023</v>
      </c>
      <c r="I720" t="s">
        <v>3528</v>
      </c>
      <c r="J720" t="s">
        <v>1963</v>
      </c>
      <c r="K720" t="s">
        <v>3667</v>
      </c>
      <c r="L720" t="s">
        <v>2046</v>
      </c>
      <c r="M720" t="s">
        <v>3529</v>
      </c>
      <c r="N720" t="s">
        <v>3530</v>
      </c>
      <c r="O720" t="s">
        <v>2362</v>
      </c>
      <c r="P720" t="s">
        <v>2363</v>
      </c>
      <c r="Q720" t="s">
        <v>2844</v>
      </c>
      <c r="R720" t="s">
        <v>14</v>
      </c>
      <c r="S720" t="s">
        <v>2845</v>
      </c>
      <c r="T720" t="s">
        <v>2846</v>
      </c>
      <c r="U720" t="s">
        <v>2171</v>
      </c>
      <c r="V720" t="s">
        <v>14</v>
      </c>
      <c r="W720" t="b">
        <v>1</v>
      </c>
      <c r="X720" t="s">
        <v>3668</v>
      </c>
      <c r="Y720" t="b">
        <v>0</v>
      </c>
      <c r="Z720" t="s">
        <v>2081</v>
      </c>
    </row>
    <row r="721" spans="1:26" x14ac:dyDescent="0.35">
      <c r="A721" t="s">
        <v>379</v>
      </c>
      <c r="B721" t="s">
        <v>380</v>
      </c>
      <c r="C721" t="s">
        <v>3167</v>
      </c>
      <c r="D721" t="s">
        <v>1963</v>
      </c>
      <c r="E721" t="s">
        <v>2020</v>
      </c>
      <c r="F721" t="s">
        <v>2021</v>
      </c>
      <c r="G721" t="s">
        <v>2022</v>
      </c>
      <c r="H721" t="s">
        <v>2023</v>
      </c>
      <c r="I721" t="s">
        <v>3524</v>
      </c>
      <c r="J721" t="s">
        <v>1963</v>
      </c>
      <c r="K721" t="s">
        <v>3667</v>
      </c>
      <c r="L721" t="s">
        <v>2046</v>
      </c>
      <c r="M721" t="s">
        <v>3009</v>
      </c>
      <c r="N721" t="s">
        <v>3010</v>
      </c>
      <c r="O721" t="s">
        <v>2362</v>
      </c>
      <c r="P721" t="s">
        <v>2363</v>
      </c>
      <c r="Q721" t="s">
        <v>3004</v>
      </c>
      <c r="R721" t="s">
        <v>14</v>
      </c>
      <c r="S721" t="s">
        <v>3005</v>
      </c>
      <c r="T721" t="s">
        <v>3006</v>
      </c>
      <c r="U721" t="s">
        <v>2171</v>
      </c>
      <c r="V721" t="s">
        <v>14</v>
      </c>
      <c r="W721" t="b">
        <v>1</v>
      </c>
      <c r="X721" t="s">
        <v>3668</v>
      </c>
      <c r="Y721" t="b">
        <v>0</v>
      </c>
      <c r="Z721" t="s">
        <v>2053</v>
      </c>
    </row>
    <row r="722" spans="1:26" x14ac:dyDescent="0.35">
      <c r="A722" t="s">
        <v>379</v>
      </c>
      <c r="B722" t="s">
        <v>380</v>
      </c>
      <c r="C722" t="s">
        <v>3167</v>
      </c>
      <c r="D722" t="s">
        <v>1963</v>
      </c>
      <c r="E722" t="s">
        <v>2020</v>
      </c>
      <c r="F722" t="s">
        <v>2021</v>
      </c>
      <c r="G722" t="s">
        <v>2022</v>
      </c>
      <c r="H722" t="s">
        <v>2023</v>
      </c>
      <c r="I722" t="s">
        <v>3586</v>
      </c>
      <c r="J722" t="s">
        <v>1963</v>
      </c>
      <c r="K722" t="s">
        <v>3667</v>
      </c>
      <c r="L722" t="s">
        <v>2046</v>
      </c>
      <c r="M722" t="s">
        <v>3587</v>
      </c>
      <c r="N722" t="s">
        <v>3588</v>
      </c>
      <c r="O722" t="s">
        <v>2047</v>
      </c>
      <c r="P722" t="s">
        <v>2048</v>
      </c>
      <c r="Q722" t="s">
        <v>14</v>
      </c>
      <c r="R722" t="s">
        <v>14</v>
      </c>
      <c r="S722" t="s">
        <v>14</v>
      </c>
      <c r="T722" t="s">
        <v>14</v>
      </c>
      <c r="U722" t="s">
        <v>2052</v>
      </c>
      <c r="V722" t="s">
        <v>14</v>
      </c>
      <c r="W722" t="b">
        <v>1</v>
      </c>
      <c r="X722" t="s">
        <v>3668</v>
      </c>
      <c r="Y722" t="b">
        <v>0</v>
      </c>
      <c r="Z722" t="s">
        <v>2053</v>
      </c>
    </row>
    <row r="723" spans="1:26" x14ac:dyDescent="0.35">
      <c r="A723" t="s">
        <v>379</v>
      </c>
      <c r="B723" t="s">
        <v>380</v>
      </c>
      <c r="C723" t="s">
        <v>3167</v>
      </c>
      <c r="D723" t="s">
        <v>1963</v>
      </c>
      <c r="E723" t="s">
        <v>2020</v>
      </c>
      <c r="F723" t="s">
        <v>2021</v>
      </c>
      <c r="G723" t="s">
        <v>2022</v>
      </c>
      <c r="H723" t="s">
        <v>2023</v>
      </c>
      <c r="I723" t="s">
        <v>3627</v>
      </c>
      <c r="J723" t="s">
        <v>1963</v>
      </c>
      <c r="K723" t="s">
        <v>3667</v>
      </c>
      <c r="L723" t="s">
        <v>2046</v>
      </c>
      <c r="M723" t="s">
        <v>3628</v>
      </c>
      <c r="N723" t="s">
        <v>3629</v>
      </c>
      <c r="O723" t="s">
        <v>3485</v>
      </c>
      <c r="P723" t="s">
        <v>3486</v>
      </c>
      <c r="Q723" t="s">
        <v>14</v>
      </c>
      <c r="R723" t="s">
        <v>14</v>
      </c>
      <c r="S723" t="s">
        <v>3487</v>
      </c>
      <c r="T723" t="s">
        <v>3488</v>
      </c>
      <c r="U723" t="s">
        <v>2171</v>
      </c>
      <c r="V723" t="s">
        <v>14</v>
      </c>
      <c r="W723" t="b">
        <v>1</v>
      </c>
      <c r="X723" t="s">
        <v>3668</v>
      </c>
      <c r="Y723" t="b">
        <v>0</v>
      </c>
      <c r="Z723" t="s">
        <v>2053</v>
      </c>
    </row>
    <row r="724" spans="1:26" x14ac:dyDescent="0.35">
      <c r="A724" t="s">
        <v>379</v>
      </c>
      <c r="B724" t="s">
        <v>380</v>
      </c>
      <c r="C724" t="s">
        <v>3167</v>
      </c>
      <c r="D724" t="s">
        <v>1963</v>
      </c>
      <c r="E724" t="s">
        <v>2020</v>
      </c>
      <c r="F724" t="s">
        <v>2021</v>
      </c>
      <c r="G724" t="s">
        <v>2022</v>
      </c>
      <c r="H724" t="s">
        <v>2023</v>
      </c>
      <c r="I724" t="s">
        <v>3567</v>
      </c>
      <c r="J724" t="s">
        <v>1963</v>
      </c>
      <c r="K724" t="s">
        <v>3667</v>
      </c>
      <c r="L724" t="s">
        <v>2046</v>
      </c>
      <c r="M724" t="s">
        <v>2338</v>
      </c>
      <c r="N724" t="s">
        <v>2339</v>
      </c>
      <c r="O724" t="s">
        <v>2340</v>
      </c>
      <c r="P724" t="s">
        <v>2341</v>
      </c>
      <c r="Q724" t="s">
        <v>14</v>
      </c>
      <c r="R724" t="s">
        <v>14</v>
      </c>
      <c r="S724" t="s">
        <v>3568</v>
      </c>
      <c r="T724" t="s">
        <v>3569</v>
      </c>
      <c r="U724" t="s">
        <v>2171</v>
      </c>
      <c r="V724" t="s">
        <v>14</v>
      </c>
      <c r="W724" t="b">
        <v>1</v>
      </c>
      <c r="X724" t="s">
        <v>3668</v>
      </c>
      <c r="Y724" t="b">
        <v>0</v>
      </c>
      <c r="Z724" t="s">
        <v>2081</v>
      </c>
    </row>
    <row r="725" spans="1:26" x14ac:dyDescent="0.35">
      <c r="A725" t="s">
        <v>379</v>
      </c>
      <c r="B725" t="s">
        <v>380</v>
      </c>
      <c r="C725" t="s">
        <v>3167</v>
      </c>
      <c r="D725" t="s">
        <v>1963</v>
      </c>
      <c r="E725" t="s">
        <v>2020</v>
      </c>
      <c r="F725" t="s">
        <v>2021</v>
      </c>
      <c r="G725" t="s">
        <v>2022</v>
      </c>
      <c r="H725" t="s">
        <v>2023</v>
      </c>
      <c r="I725" t="s">
        <v>3494</v>
      </c>
      <c r="J725" t="s">
        <v>1963</v>
      </c>
      <c r="K725" t="s">
        <v>3667</v>
      </c>
      <c r="L725" t="s">
        <v>2046</v>
      </c>
      <c r="M725" t="s">
        <v>3495</v>
      </c>
      <c r="N725" t="s">
        <v>3496</v>
      </c>
      <c r="O725" t="s">
        <v>2362</v>
      </c>
      <c r="P725" t="s">
        <v>2363</v>
      </c>
      <c r="Q725" t="s">
        <v>2844</v>
      </c>
      <c r="R725" t="s">
        <v>14</v>
      </c>
      <c r="S725" t="s">
        <v>3397</v>
      </c>
      <c r="T725" t="s">
        <v>3398</v>
      </c>
      <c r="U725" t="s">
        <v>2171</v>
      </c>
      <c r="V725" t="s">
        <v>14</v>
      </c>
      <c r="W725" t="b">
        <v>1</v>
      </c>
      <c r="X725" t="s">
        <v>3668</v>
      </c>
      <c r="Y725" t="b">
        <v>0</v>
      </c>
      <c r="Z725" t="s">
        <v>2053</v>
      </c>
    </row>
    <row r="726" spans="1:26" x14ac:dyDescent="0.35">
      <c r="A726" t="s">
        <v>379</v>
      </c>
      <c r="B726" t="s">
        <v>380</v>
      </c>
      <c r="C726" t="s">
        <v>3167</v>
      </c>
      <c r="D726" t="s">
        <v>1963</v>
      </c>
      <c r="E726" t="s">
        <v>2020</v>
      </c>
      <c r="F726" t="s">
        <v>2021</v>
      </c>
      <c r="G726" t="s">
        <v>2022</v>
      </c>
      <c r="H726" t="s">
        <v>2023</v>
      </c>
      <c r="I726" t="s">
        <v>3658</v>
      </c>
      <c r="J726" t="s">
        <v>1963</v>
      </c>
      <c r="K726" t="s">
        <v>3667</v>
      </c>
      <c r="L726" t="s">
        <v>2046</v>
      </c>
      <c r="M726" t="s">
        <v>3620</v>
      </c>
      <c r="N726" t="s">
        <v>3621</v>
      </c>
      <c r="O726" t="s">
        <v>2362</v>
      </c>
      <c r="P726" t="s">
        <v>2363</v>
      </c>
      <c r="Q726" t="s">
        <v>14</v>
      </c>
      <c r="R726" t="s">
        <v>14</v>
      </c>
      <c r="S726" t="s">
        <v>14</v>
      </c>
      <c r="T726" t="s">
        <v>14</v>
      </c>
      <c r="U726" t="s">
        <v>2171</v>
      </c>
      <c r="V726" t="s">
        <v>14</v>
      </c>
      <c r="W726" t="b">
        <v>1</v>
      </c>
      <c r="X726" t="s">
        <v>3668</v>
      </c>
      <c r="Y726" t="b">
        <v>0</v>
      </c>
      <c r="Z726" t="s">
        <v>2053</v>
      </c>
    </row>
    <row r="727" spans="1:26" x14ac:dyDescent="0.35">
      <c r="A727" t="s">
        <v>379</v>
      </c>
      <c r="B727" t="s">
        <v>380</v>
      </c>
      <c r="C727" t="s">
        <v>3167</v>
      </c>
      <c r="D727" t="s">
        <v>1963</v>
      </c>
      <c r="E727" t="s">
        <v>2020</v>
      </c>
      <c r="F727" t="s">
        <v>2021</v>
      </c>
      <c r="G727" t="s">
        <v>2022</v>
      </c>
      <c r="H727" t="s">
        <v>2023</v>
      </c>
      <c r="I727" t="s">
        <v>3558</v>
      </c>
      <c r="J727" t="s">
        <v>1963</v>
      </c>
      <c r="K727" t="s">
        <v>3667</v>
      </c>
      <c r="L727" t="s">
        <v>2046</v>
      </c>
      <c r="M727" t="s">
        <v>3559</v>
      </c>
      <c r="N727" t="s">
        <v>3560</v>
      </c>
      <c r="O727" t="s">
        <v>2075</v>
      </c>
      <c r="P727" t="s">
        <v>2076</v>
      </c>
      <c r="Q727" t="s">
        <v>2077</v>
      </c>
      <c r="R727" t="s">
        <v>14</v>
      </c>
      <c r="S727" t="s">
        <v>3561</v>
      </c>
      <c r="T727" t="s">
        <v>3562</v>
      </c>
      <c r="U727" t="s">
        <v>2080</v>
      </c>
      <c r="V727" t="s">
        <v>14</v>
      </c>
      <c r="W727" t="b">
        <v>1</v>
      </c>
      <c r="X727" t="s">
        <v>3668</v>
      </c>
      <c r="Y727" t="b">
        <v>0</v>
      </c>
      <c r="Z727" t="s">
        <v>2081</v>
      </c>
    </row>
    <row r="728" spans="1:26" x14ac:dyDescent="0.35">
      <c r="A728" t="s">
        <v>379</v>
      </c>
      <c r="B728" t="s">
        <v>380</v>
      </c>
      <c r="C728" t="s">
        <v>3167</v>
      </c>
      <c r="D728" t="s">
        <v>1963</v>
      </c>
      <c r="E728" t="s">
        <v>2020</v>
      </c>
      <c r="F728" t="s">
        <v>2021</v>
      </c>
      <c r="G728" t="s">
        <v>2022</v>
      </c>
      <c r="H728" t="s">
        <v>2023</v>
      </c>
      <c r="I728" t="s">
        <v>3550</v>
      </c>
      <c r="J728" t="s">
        <v>1963</v>
      </c>
      <c r="K728" t="s">
        <v>3667</v>
      </c>
      <c r="L728" t="s">
        <v>2046</v>
      </c>
      <c r="M728" t="s">
        <v>3551</v>
      </c>
      <c r="N728" t="s">
        <v>3552</v>
      </c>
      <c r="O728" t="s">
        <v>2362</v>
      </c>
      <c r="P728" t="s">
        <v>2363</v>
      </c>
      <c r="Q728" t="s">
        <v>3004</v>
      </c>
      <c r="R728" t="s">
        <v>14</v>
      </c>
      <c r="S728" t="s">
        <v>3005</v>
      </c>
      <c r="T728" t="s">
        <v>3006</v>
      </c>
      <c r="U728" t="s">
        <v>2171</v>
      </c>
      <c r="V728" t="s">
        <v>14</v>
      </c>
      <c r="W728" t="b">
        <v>1</v>
      </c>
      <c r="X728" t="s">
        <v>3668</v>
      </c>
      <c r="Y728" t="b">
        <v>0</v>
      </c>
      <c r="Z728" t="s">
        <v>2053</v>
      </c>
    </row>
    <row r="729" spans="1:26" x14ac:dyDescent="0.35">
      <c r="A729" t="s">
        <v>379</v>
      </c>
      <c r="B729" t="s">
        <v>380</v>
      </c>
      <c r="C729" t="s">
        <v>3167</v>
      </c>
      <c r="D729" t="s">
        <v>1963</v>
      </c>
      <c r="E729" t="s">
        <v>2020</v>
      </c>
      <c r="F729" t="s">
        <v>2021</v>
      </c>
      <c r="G729" t="s">
        <v>2022</v>
      </c>
      <c r="H729" t="s">
        <v>2023</v>
      </c>
      <c r="I729" t="s">
        <v>3635</v>
      </c>
      <c r="J729" t="s">
        <v>1963</v>
      </c>
      <c r="K729" t="s">
        <v>3667</v>
      </c>
      <c r="L729" t="s">
        <v>2046</v>
      </c>
      <c r="M729" t="s">
        <v>3390</v>
      </c>
      <c r="N729" t="s">
        <v>3391</v>
      </c>
      <c r="O729" t="s">
        <v>2362</v>
      </c>
      <c r="P729" t="s">
        <v>2363</v>
      </c>
      <c r="Q729" t="s">
        <v>2844</v>
      </c>
      <c r="R729" t="s">
        <v>14</v>
      </c>
      <c r="S729" t="s">
        <v>3397</v>
      </c>
      <c r="T729" t="s">
        <v>3398</v>
      </c>
      <c r="U729" t="s">
        <v>2171</v>
      </c>
      <c r="V729" t="s">
        <v>14</v>
      </c>
      <c r="W729" t="b">
        <v>1</v>
      </c>
      <c r="X729" t="s">
        <v>3668</v>
      </c>
      <c r="Y729" t="b">
        <v>0</v>
      </c>
      <c r="Z729" t="s">
        <v>2032</v>
      </c>
    </row>
    <row r="730" spans="1:26" x14ac:dyDescent="0.35">
      <c r="A730" t="s">
        <v>379</v>
      </c>
      <c r="B730" t="s">
        <v>380</v>
      </c>
      <c r="C730" t="s">
        <v>3167</v>
      </c>
      <c r="D730" t="s">
        <v>1963</v>
      </c>
      <c r="E730" t="s">
        <v>2020</v>
      </c>
      <c r="F730" t="s">
        <v>2021</v>
      </c>
      <c r="G730" t="s">
        <v>2022</v>
      </c>
      <c r="H730" t="s">
        <v>2023</v>
      </c>
      <c r="I730" t="s">
        <v>3056</v>
      </c>
      <c r="J730" t="s">
        <v>1963</v>
      </c>
      <c r="K730" t="s">
        <v>3667</v>
      </c>
      <c r="L730" t="s">
        <v>2046</v>
      </c>
      <c r="M730" t="s">
        <v>3057</v>
      </c>
      <c r="N730" t="s">
        <v>3058</v>
      </c>
      <c r="O730" t="s">
        <v>3013</v>
      </c>
      <c r="P730" t="s">
        <v>3014</v>
      </c>
      <c r="Q730" t="s">
        <v>14</v>
      </c>
      <c r="R730" t="s">
        <v>14</v>
      </c>
      <c r="S730" t="s">
        <v>14</v>
      </c>
      <c r="T730" t="s">
        <v>14</v>
      </c>
      <c r="U730" t="s">
        <v>3015</v>
      </c>
      <c r="V730" t="s">
        <v>14</v>
      </c>
      <c r="W730" t="b">
        <v>1</v>
      </c>
      <c r="X730" t="s">
        <v>3668</v>
      </c>
      <c r="Y730" t="b">
        <v>0</v>
      </c>
      <c r="Z730" t="s">
        <v>2053</v>
      </c>
    </row>
    <row r="731" spans="1:26" x14ac:dyDescent="0.35">
      <c r="A731" t="s">
        <v>379</v>
      </c>
      <c r="B731" t="s">
        <v>380</v>
      </c>
      <c r="C731" t="s">
        <v>3167</v>
      </c>
      <c r="D731" t="s">
        <v>1963</v>
      </c>
      <c r="E731" t="s">
        <v>2020</v>
      </c>
      <c r="F731" t="s">
        <v>2021</v>
      </c>
      <c r="G731" t="s">
        <v>2022</v>
      </c>
      <c r="H731" t="s">
        <v>2023</v>
      </c>
      <c r="I731" t="s">
        <v>3619</v>
      </c>
      <c r="J731" t="s">
        <v>1963</v>
      </c>
      <c r="K731" t="s">
        <v>3667</v>
      </c>
      <c r="L731" t="s">
        <v>2046</v>
      </c>
      <c r="M731" t="s">
        <v>3620</v>
      </c>
      <c r="N731" t="s">
        <v>3621</v>
      </c>
      <c r="O731" t="s">
        <v>2362</v>
      </c>
      <c r="P731" t="s">
        <v>2363</v>
      </c>
      <c r="Q731" t="s">
        <v>2844</v>
      </c>
      <c r="R731" t="s">
        <v>14</v>
      </c>
      <c r="S731" t="s">
        <v>2845</v>
      </c>
      <c r="T731" t="s">
        <v>2846</v>
      </c>
      <c r="U731" t="s">
        <v>2171</v>
      </c>
      <c r="V731" t="s">
        <v>14</v>
      </c>
      <c r="W731" t="b">
        <v>1</v>
      </c>
      <c r="X731" t="s">
        <v>3668</v>
      </c>
      <c r="Y731" t="b">
        <v>0</v>
      </c>
      <c r="Z731" t="s">
        <v>2081</v>
      </c>
    </row>
    <row r="732" spans="1:26" x14ac:dyDescent="0.35">
      <c r="A732" t="s">
        <v>379</v>
      </c>
      <c r="B732" t="s">
        <v>380</v>
      </c>
      <c r="C732" t="s">
        <v>3167</v>
      </c>
      <c r="D732" t="s">
        <v>1963</v>
      </c>
      <c r="E732" t="s">
        <v>2020</v>
      </c>
      <c r="F732" t="s">
        <v>2021</v>
      </c>
      <c r="G732" t="s">
        <v>2022</v>
      </c>
      <c r="H732" t="s">
        <v>2023</v>
      </c>
      <c r="I732" t="s">
        <v>3583</v>
      </c>
      <c r="J732" t="s">
        <v>1963</v>
      </c>
      <c r="K732" t="s">
        <v>3667</v>
      </c>
      <c r="L732" t="s">
        <v>2046</v>
      </c>
      <c r="M732" t="s">
        <v>3584</v>
      </c>
      <c r="N732" t="s">
        <v>3585</v>
      </c>
      <c r="O732" t="s">
        <v>2362</v>
      </c>
      <c r="P732" t="s">
        <v>2363</v>
      </c>
      <c r="Q732" t="s">
        <v>2844</v>
      </c>
      <c r="R732" t="s">
        <v>14</v>
      </c>
      <c r="S732" t="s">
        <v>2845</v>
      </c>
      <c r="T732" t="s">
        <v>2846</v>
      </c>
      <c r="U732" t="s">
        <v>2171</v>
      </c>
      <c r="V732" t="s">
        <v>14</v>
      </c>
      <c r="W732" t="b">
        <v>1</v>
      </c>
      <c r="X732" t="s">
        <v>3668</v>
      </c>
      <c r="Y732" t="b">
        <v>0</v>
      </c>
      <c r="Z732" t="s">
        <v>2032</v>
      </c>
    </row>
    <row r="733" spans="1:26" x14ac:dyDescent="0.35">
      <c r="A733" t="s">
        <v>379</v>
      </c>
      <c r="B733" t="s">
        <v>380</v>
      </c>
      <c r="C733" t="s">
        <v>3167</v>
      </c>
      <c r="D733" t="s">
        <v>1963</v>
      </c>
      <c r="E733" t="s">
        <v>2020</v>
      </c>
      <c r="F733" t="s">
        <v>2021</v>
      </c>
      <c r="G733" t="s">
        <v>2022</v>
      </c>
      <c r="H733" t="s">
        <v>2023</v>
      </c>
      <c r="I733" t="s">
        <v>3509</v>
      </c>
      <c r="J733" t="s">
        <v>1963</v>
      </c>
      <c r="K733" t="s">
        <v>3667</v>
      </c>
      <c r="L733" t="s">
        <v>2046</v>
      </c>
      <c r="M733" t="s">
        <v>2338</v>
      </c>
      <c r="N733" t="s">
        <v>2339</v>
      </c>
      <c r="O733" t="s">
        <v>2340</v>
      </c>
      <c r="P733" t="s">
        <v>2341</v>
      </c>
      <c r="Q733" t="s">
        <v>14</v>
      </c>
      <c r="R733" t="s">
        <v>14</v>
      </c>
      <c r="S733" t="s">
        <v>2436</v>
      </c>
      <c r="T733" t="s">
        <v>2437</v>
      </c>
      <c r="U733" t="s">
        <v>2171</v>
      </c>
      <c r="V733" t="s">
        <v>14</v>
      </c>
      <c r="W733" t="b">
        <v>1</v>
      </c>
      <c r="X733" t="s">
        <v>3668</v>
      </c>
      <c r="Y733" t="b">
        <v>0</v>
      </c>
      <c r="Z733" t="s">
        <v>2081</v>
      </c>
    </row>
    <row r="734" spans="1:26" x14ac:dyDescent="0.35">
      <c r="A734" t="s">
        <v>379</v>
      </c>
      <c r="B734" t="s">
        <v>380</v>
      </c>
      <c r="C734" t="s">
        <v>3167</v>
      </c>
      <c r="D734" t="s">
        <v>1963</v>
      </c>
      <c r="E734" t="s">
        <v>2020</v>
      </c>
      <c r="F734" t="s">
        <v>2021</v>
      </c>
      <c r="G734" t="s">
        <v>2022</v>
      </c>
      <c r="H734" t="s">
        <v>2023</v>
      </c>
      <c r="I734" t="s">
        <v>3497</v>
      </c>
      <c r="J734" t="s">
        <v>1963</v>
      </c>
      <c r="K734" t="s">
        <v>3667</v>
      </c>
      <c r="L734" t="s">
        <v>2046</v>
      </c>
      <c r="M734" t="s">
        <v>2338</v>
      </c>
      <c r="N734" t="s">
        <v>2339</v>
      </c>
      <c r="O734" t="s">
        <v>2340</v>
      </c>
      <c r="P734" t="s">
        <v>2341</v>
      </c>
      <c r="Q734" t="s">
        <v>3498</v>
      </c>
      <c r="R734" t="s">
        <v>14</v>
      </c>
      <c r="S734" t="s">
        <v>2436</v>
      </c>
      <c r="T734" t="s">
        <v>2437</v>
      </c>
      <c r="U734" t="s">
        <v>2171</v>
      </c>
      <c r="V734" t="s">
        <v>14</v>
      </c>
      <c r="W734" t="b">
        <v>1</v>
      </c>
      <c r="X734" t="s">
        <v>3668</v>
      </c>
      <c r="Y734" t="b">
        <v>0</v>
      </c>
      <c r="Z734" t="s">
        <v>2032</v>
      </c>
    </row>
    <row r="735" spans="1:26" x14ac:dyDescent="0.35">
      <c r="A735" t="s">
        <v>379</v>
      </c>
      <c r="B735" t="s">
        <v>380</v>
      </c>
      <c r="C735" t="s">
        <v>3167</v>
      </c>
      <c r="D735" t="s">
        <v>1963</v>
      </c>
      <c r="E735" t="s">
        <v>2020</v>
      </c>
      <c r="F735" t="s">
        <v>2021</v>
      </c>
      <c r="G735" t="s">
        <v>2022</v>
      </c>
      <c r="H735" t="s">
        <v>2023</v>
      </c>
      <c r="I735" t="s">
        <v>3023</v>
      </c>
      <c r="J735" t="s">
        <v>1963</v>
      </c>
      <c r="K735" t="s">
        <v>3667</v>
      </c>
      <c r="L735" t="s">
        <v>2046</v>
      </c>
      <c r="M735" t="s">
        <v>3025</v>
      </c>
      <c r="N735" t="s">
        <v>3026</v>
      </c>
      <c r="O735" t="s">
        <v>3027</v>
      </c>
      <c r="P735" t="s">
        <v>3028</v>
      </c>
      <c r="Q735" t="s">
        <v>14</v>
      </c>
      <c r="R735" t="s">
        <v>14</v>
      </c>
      <c r="S735" t="s">
        <v>3029</v>
      </c>
      <c r="T735" t="s">
        <v>3030</v>
      </c>
      <c r="U735" t="s">
        <v>2390</v>
      </c>
      <c r="V735" t="s">
        <v>14</v>
      </c>
      <c r="W735" t="b">
        <v>1</v>
      </c>
      <c r="X735" t="s">
        <v>3668</v>
      </c>
      <c r="Y735" t="b">
        <v>0</v>
      </c>
      <c r="Z735" t="s">
        <v>2053</v>
      </c>
    </row>
    <row r="736" spans="1:26" x14ac:dyDescent="0.35">
      <c r="A736" t="s">
        <v>379</v>
      </c>
      <c r="B736" t="s">
        <v>380</v>
      </c>
      <c r="C736" t="s">
        <v>3167</v>
      </c>
      <c r="D736" t="s">
        <v>1963</v>
      </c>
      <c r="E736" t="s">
        <v>2020</v>
      </c>
      <c r="F736" t="s">
        <v>2021</v>
      </c>
      <c r="G736" t="s">
        <v>2022</v>
      </c>
      <c r="H736" t="s">
        <v>2023</v>
      </c>
      <c r="I736" t="s">
        <v>3040</v>
      </c>
      <c r="J736" t="s">
        <v>1963</v>
      </c>
      <c r="K736" t="s">
        <v>3667</v>
      </c>
      <c r="L736" t="s">
        <v>2046</v>
      </c>
      <c r="M736" t="s">
        <v>3041</v>
      </c>
      <c r="N736" t="s">
        <v>3042</v>
      </c>
      <c r="O736" t="s">
        <v>3013</v>
      </c>
      <c r="P736" t="s">
        <v>3014</v>
      </c>
      <c r="Q736" t="s">
        <v>3021</v>
      </c>
      <c r="R736" t="s">
        <v>14</v>
      </c>
      <c r="S736" t="s">
        <v>14</v>
      </c>
      <c r="T736" t="s">
        <v>14</v>
      </c>
      <c r="U736" t="s">
        <v>3015</v>
      </c>
      <c r="V736" t="s">
        <v>14</v>
      </c>
      <c r="W736" t="b">
        <v>1</v>
      </c>
      <c r="X736" t="s">
        <v>3668</v>
      </c>
      <c r="Y736" t="b">
        <v>0</v>
      </c>
      <c r="Z736" t="s">
        <v>2081</v>
      </c>
    </row>
    <row r="737" spans="1:26" x14ac:dyDescent="0.35">
      <c r="A737" t="s">
        <v>379</v>
      </c>
      <c r="B737" t="s">
        <v>380</v>
      </c>
      <c r="C737" t="s">
        <v>3167</v>
      </c>
      <c r="D737" t="s">
        <v>1963</v>
      </c>
      <c r="E737" t="s">
        <v>2020</v>
      </c>
      <c r="F737" t="s">
        <v>2021</v>
      </c>
      <c r="G737" t="s">
        <v>2022</v>
      </c>
      <c r="H737" t="s">
        <v>2023</v>
      </c>
      <c r="I737" t="s">
        <v>3664</v>
      </c>
      <c r="J737" t="s">
        <v>1963</v>
      </c>
      <c r="K737" t="s">
        <v>3667</v>
      </c>
      <c r="L737" t="s">
        <v>2046</v>
      </c>
      <c r="M737" t="s">
        <v>3665</v>
      </c>
      <c r="N737" t="s">
        <v>3666</v>
      </c>
      <c r="O737" t="s">
        <v>2362</v>
      </c>
      <c r="P737" t="s">
        <v>2363</v>
      </c>
      <c r="Q737" t="s">
        <v>2844</v>
      </c>
      <c r="R737" t="s">
        <v>14</v>
      </c>
      <c r="S737" t="s">
        <v>3433</v>
      </c>
      <c r="T737" t="s">
        <v>3434</v>
      </c>
      <c r="U737" t="s">
        <v>2171</v>
      </c>
      <c r="V737" t="s">
        <v>14</v>
      </c>
      <c r="W737" t="b">
        <v>1</v>
      </c>
      <c r="X737" t="s">
        <v>3668</v>
      </c>
      <c r="Y737" t="b">
        <v>0</v>
      </c>
      <c r="Z737" t="s">
        <v>2032</v>
      </c>
    </row>
    <row r="738" spans="1:26" x14ac:dyDescent="0.35">
      <c r="A738" t="s">
        <v>379</v>
      </c>
      <c r="B738" t="s">
        <v>380</v>
      </c>
      <c r="C738" t="s">
        <v>3167</v>
      </c>
      <c r="D738" t="s">
        <v>1963</v>
      </c>
      <c r="E738" t="s">
        <v>2020</v>
      </c>
      <c r="F738" t="s">
        <v>2021</v>
      </c>
      <c r="G738" t="s">
        <v>2022</v>
      </c>
      <c r="H738" t="s">
        <v>2023</v>
      </c>
      <c r="I738" t="s">
        <v>3572</v>
      </c>
      <c r="J738" t="s">
        <v>1963</v>
      </c>
      <c r="K738" t="s">
        <v>3667</v>
      </c>
      <c r="L738" t="s">
        <v>2046</v>
      </c>
      <c r="M738" t="s">
        <v>3573</v>
      </c>
      <c r="N738" t="s">
        <v>3574</v>
      </c>
      <c r="O738" t="s">
        <v>2362</v>
      </c>
      <c r="P738" t="s">
        <v>2363</v>
      </c>
      <c r="Q738" t="s">
        <v>2844</v>
      </c>
      <c r="R738" t="s">
        <v>14</v>
      </c>
      <c r="S738" t="s">
        <v>2845</v>
      </c>
      <c r="T738" t="s">
        <v>2846</v>
      </c>
      <c r="U738" t="s">
        <v>2171</v>
      </c>
      <c r="V738" t="s">
        <v>14</v>
      </c>
      <c r="W738" t="b">
        <v>1</v>
      </c>
      <c r="X738" t="s">
        <v>3668</v>
      </c>
      <c r="Y738" t="b">
        <v>0</v>
      </c>
      <c r="Z738" t="s">
        <v>2081</v>
      </c>
    </row>
    <row r="739" spans="1:26" x14ac:dyDescent="0.35">
      <c r="A739" t="s">
        <v>379</v>
      </c>
      <c r="B739" t="s">
        <v>380</v>
      </c>
      <c r="C739" t="s">
        <v>3167</v>
      </c>
      <c r="D739" t="s">
        <v>1963</v>
      </c>
      <c r="E739" t="s">
        <v>2020</v>
      </c>
      <c r="F739" t="s">
        <v>2021</v>
      </c>
      <c r="G739" t="s">
        <v>2022</v>
      </c>
      <c r="H739" t="s">
        <v>2023</v>
      </c>
      <c r="I739" t="s">
        <v>306</v>
      </c>
      <c r="J739" t="s">
        <v>1963</v>
      </c>
      <c r="K739" t="s">
        <v>3667</v>
      </c>
      <c r="L739" t="s">
        <v>2046</v>
      </c>
      <c r="M739" t="s">
        <v>2026</v>
      </c>
      <c r="N739" t="s">
        <v>2027</v>
      </c>
      <c r="O739" t="s">
        <v>2028</v>
      </c>
      <c r="P739" t="s">
        <v>2029</v>
      </c>
      <c r="Q739" t="s">
        <v>3531</v>
      </c>
      <c r="R739" t="s">
        <v>14</v>
      </c>
      <c r="S739" t="s">
        <v>2991</v>
      </c>
      <c r="T739" t="s">
        <v>2992</v>
      </c>
      <c r="U739" t="s">
        <v>2030</v>
      </c>
      <c r="V739" t="s">
        <v>14</v>
      </c>
      <c r="W739" t="b">
        <v>1</v>
      </c>
      <c r="X739" t="s">
        <v>3668</v>
      </c>
      <c r="Y739" t="b">
        <v>1</v>
      </c>
      <c r="Z739" t="s">
        <v>2032</v>
      </c>
    </row>
    <row r="740" spans="1:26" x14ac:dyDescent="0.35">
      <c r="A740" t="s">
        <v>379</v>
      </c>
      <c r="B740" t="s">
        <v>380</v>
      </c>
      <c r="C740" t="s">
        <v>3167</v>
      </c>
      <c r="D740" t="s">
        <v>1963</v>
      </c>
      <c r="E740" t="s">
        <v>2020</v>
      </c>
      <c r="F740" t="s">
        <v>2021</v>
      </c>
      <c r="G740" t="s">
        <v>2022</v>
      </c>
      <c r="H740" t="s">
        <v>2023</v>
      </c>
      <c r="I740" t="s">
        <v>3606</v>
      </c>
      <c r="J740" t="s">
        <v>1963</v>
      </c>
      <c r="K740" t="s">
        <v>3667</v>
      </c>
      <c r="L740" t="s">
        <v>2046</v>
      </c>
      <c r="M740" t="s">
        <v>3607</v>
      </c>
      <c r="N740" t="s">
        <v>3608</v>
      </c>
      <c r="O740" t="s">
        <v>2362</v>
      </c>
      <c r="P740" t="s">
        <v>2363</v>
      </c>
      <c r="Q740" t="s">
        <v>2844</v>
      </c>
      <c r="R740" t="s">
        <v>14</v>
      </c>
      <c r="S740" t="s">
        <v>3368</v>
      </c>
      <c r="T740" t="s">
        <v>3369</v>
      </c>
      <c r="U740" t="s">
        <v>2171</v>
      </c>
      <c r="V740" t="s">
        <v>14</v>
      </c>
      <c r="W740" t="b">
        <v>1</v>
      </c>
      <c r="X740" t="s">
        <v>3668</v>
      </c>
      <c r="Y740" t="b">
        <v>0</v>
      </c>
      <c r="Z740" t="s">
        <v>2053</v>
      </c>
    </row>
    <row r="741" spans="1:26" x14ac:dyDescent="0.35">
      <c r="A741" t="s">
        <v>379</v>
      </c>
      <c r="B741" t="s">
        <v>380</v>
      </c>
      <c r="C741" t="s">
        <v>3167</v>
      </c>
      <c r="D741" t="s">
        <v>1963</v>
      </c>
      <c r="E741" t="s">
        <v>2020</v>
      </c>
      <c r="F741" t="s">
        <v>2021</v>
      </c>
      <c r="G741" t="s">
        <v>2022</v>
      </c>
      <c r="H741" t="s">
        <v>2023</v>
      </c>
      <c r="I741" t="s">
        <v>3626</v>
      </c>
      <c r="J741" t="s">
        <v>1963</v>
      </c>
      <c r="K741" t="s">
        <v>3667</v>
      </c>
      <c r="L741" t="s">
        <v>2046</v>
      </c>
      <c r="M741" t="s">
        <v>2965</v>
      </c>
      <c r="N741" t="s">
        <v>2966</v>
      </c>
      <c r="O741" t="s">
        <v>2047</v>
      </c>
      <c r="P741" t="s">
        <v>2048</v>
      </c>
      <c r="Q741" t="s">
        <v>14</v>
      </c>
      <c r="R741" t="s">
        <v>14</v>
      </c>
      <c r="S741" t="s">
        <v>14</v>
      </c>
      <c r="T741" t="s">
        <v>14</v>
      </c>
      <c r="U741" t="s">
        <v>2052</v>
      </c>
      <c r="V741" t="s">
        <v>14</v>
      </c>
      <c r="W741" t="b">
        <v>1</v>
      </c>
      <c r="X741" t="s">
        <v>3668</v>
      </c>
      <c r="Y741" t="b">
        <v>0</v>
      </c>
      <c r="Z741" t="s">
        <v>2053</v>
      </c>
    </row>
    <row r="742" spans="1:26" x14ac:dyDescent="0.35">
      <c r="A742" t="s">
        <v>381</v>
      </c>
      <c r="B742" t="s">
        <v>382</v>
      </c>
      <c r="C742" t="s">
        <v>2967</v>
      </c>
      <c r="D742" t="s">
        <v>1963</v>
      </c>
      <c r="E742" t="s">
        <v>2020</v>
      </c>
      <c r="F742" t="s">
        <v>2021</v>
      </c>
      <c r="G742" t="s">
        <v>2022</v>
      </c>
      <c r="H742" t="s">
        <v>2023</v>
      </c>
      <c r="I742" t="s">
        <v>3557</v>
      </c>
      <c r="J742" t="s">
        <v>1963</v>
      </c>
      <c r="K742" t="s">
        <v>3669</v>
      </c>
      <c r="L742" t="s">
        <v>2046</v>
      </c>
      <c r="M742" t="s">
        <v>3027</v>
      </c>
      <c r="N742" t="s">
        <v>3028</v>
      </c>
      <c r="O742" t="s">
        <v>3502</v>
      </c>
      <c r="P742" t="s">
        <v>3503</v>
      </c>
      <c r="Q742" t="s">
        <v>14</v>
      </c>
      <c r="R742" t="s">
        <v>14</v>
      </c>
      <c r="S742" t="s">
        <v>3507</v>
      </c>
      <c r="T742" t="s">
        <v>3508</v>
      </c>
      <c r="U742" t="s">
        <v>2171</v>
      </c>
      <c r="V742" t="s">
        <v>14</v>
      </c>
      <c r="W742" t="b">
        <v>1</v>
      </c>
      <c r="X742" t="s">
        <v>3670</v>
      </c>
      <c r="Y742" t="b">
        <v>0</v>
      </c>
      <c r="Z742" t="s">
        <v>2032</v>
      </c>
    </row>
    <row r="743" spans="1:26" x14ac:dyDescent="0.35">
      <c r="A743" t="s">
        <v>381</v>
      </c>
      <c r="B743" t="s">
        <v>382</v>
      </c>
      <c r="C743" t="s">
        <v>2967</v>
      </c>
      <c r="D743" t="s">
        <v>1963</v>
      </c>
      <c r="E743" t="s">
        <v>2020</v>
      </c>
      <c r="F743" t="s">
        <v>2021</v>
      </c>
      <c r="G743" t="s">
        <v>2022</v>
      </c>
      <c r="H743" t="s">
        <v>2023</v>
      </c>
      <c r="I743" t="s">
        <v>3671</v>
      </c>
      <c r="J743" t="s">
        <v>1963</v>
      </c>
      <c r="K743" t="s">
        <v>3669</v>
      </c>
      <c r="L743" t="s">
        <v>2046</v>
      </c>
      <c r="M743" t="s">
        <v>3672</v>
      </c>
      <c r="N743" t="s">
        <v>3673</v>
      </c>
      <c r="O743" t="s">
        <v>3502</v>
      </c>
      <c r="P743" t="s">
        <v>3503</v>
      </c>
      <c r="Q743" t="s">
        <v>14</v>
      </c>
      <c r="R743" t="s">
        <v>14</v>
      </c>
      <c r="S743" t="s">
        <v>3507</v>
      </c>
      <c r="T743" t="s">
        <v>3508</v>
      </c>
      <c r="U743" t="s">
        <v>2171</v>
      </c>
      <c r="V743" t="s">
        <v>14</v>
      </c>
      <c r="W743" t="b">
        <v>1</v>
      </c>
      <c r="X743" t="s">
        <v>3670</v>
      </c>
      <c r="Y743" t="b">
        <v>0</v>
      </c>
      <c r="Z743" t="s">
        <v>2081</v>
      </c>
    </row>
    <row r="744" spans="1:26" x14ac:dyDescent="0.35">
      <c r="A744" t="s">
        <v>381</v>
      </c>
      <c r="B744" t="s">
        <v>382</v>
      </c>
      <c r="C744" t="s">
        <v>2967</v>
      </c>
      <c r="D744" t="s">
        <v>1963</v>
      </c>
      <c r="E744" t="s">
        <v>2020</v>
      </c>
      <c r="F744" t="s">
        <v>2021</v>
      </c>
      <c r="G744" t="s">
        <v>2022</v>
      </c>
      <c r="H744" t="s">
        <v>2023</v>
      </c>
      <c r="I744" t="s">
        <v>1416</v>
      </c>
      <c r="J744" t="s">
        <v>1963</v>
      </c>
      <c r="K744" t="s">
        <v>3669</v>
      </c>
      <c r="L744" t="s">
        <v>2046</v>
      </c>
      <c r="M744" t="s">
        <v>3483</v>
      </c>
      <c r="N744" t="s">
        <v>3484</v>
      </c>
      <c r="O744" t="s">
        <v>2362</v>
      </c>
      <c r="P744" t="s">
        <v>2363</v>
      </c>
      <c r="Q744" t="s">
        <v>3674</v>
      </c>
      <c r="R744" t="s">
        <v>14</v>
      </c>
      <c r="S744" t="s">
        <v>3675</v>
      </c>
      <c r="T744" t="s">
        <v>3676</v>
      </c>
      <c r="U744" t="s">
        <v>2171</v>
      </c>
      <c r="V744" t="s">
        <v>14</v>
      </c>
      <c r="W744" t="b">
        <v>1</v>
      </c>
      <c r="X744" t="s">
        <v>3670</v>
      </c>
      <c r="Y744" t="b">
        <v>1</v>
      </c>
      <c r="Z744" t="s">
        <v>2032</v>
      </c>
    </row>
    <row r="745" spans="1:26" x14ac:dyDescent="0.35">
      <c r="A745" t="s">
        <v>381</v>
      </c>
      <c r="B745" t="s">
        <v>382</v>
      </c>
      <c r="C745" t="s">
        <v>2967</v>
      </c>
      <c r="D745" t="s">
        <v>1963</v>
      </c>
      <c r="E745" t="s">
        <v>2020</v>
      </c>
      <c r="F745" t="s">
        <v>2021</v>
      </c>
      <c r="G745" t="s">
        <v>2022</v>
      </c>
      <c r="H745" t="s">
        <v>2023</v>
      </c>
      <c r="I745" t="s">
        <v>3635</v>
      </c>
      <c r="J745" t="s">
        <v>1963</v>
      </c>
      <c r="K745" t="s">
        <v>3669</v>
      </c>
      <c r="L745" t="s">
        <v>2046</v>
      </c>
      <c r="M745" t="s">
        <v>3390</v>
      </c>
      <c r="N745" t="s">
        <v>3391</v>
      </c>
      <c r="O745" t="s">
        <v>2362</v>
      </c>
      <c r="P745" t="s">
        <v>2363</v>
      </c>
      <c r="Q745" t="s">
        <v>2844</v>
      </c>
      <c r="R745" t="s">
        <v>14</v>
      </c>
      <c r="S745" t="s">
        <v>3397</v>
      </c>
      <c r="T745" t="s">
        <v>3398</v>
      </c>
      <c r="U745" t="s">
        <v>2171</v>
      </c>
      <c r="V745" t="s">
        <v>14</v>
      </c>
      <c r="W745" t="b">
        <v>1</v>
      </c>
      <c r="X745" t="s">
        <v>3670</v>
      </c>
      <c r="Y745" t="b">
        <v>0</v>
      </c>
      <c r="Z745" t="s">
        <v>2032</v>
      </c>
    </row>
    <row r="746" spans="1:26" x14ac:dyDescent="0.35">
      <c r="A746" t="s">
        <v>381</v>
      </c>
      <c r="B746" t="s">
        <v>382</v>
      </c>
      <c r="C746" t="s">
        <v>2967</v>
      </c>
      <c r="D746" t="s">
        <v>1963</v>
      </c>
      <c r="E746" t="s">
        <v>2020</v>
      </c>
      <c r="F746" t="s">
        <v>2021</v>
      </c>
      <c r="G746" t="s">
        <v>2022</v>
      </c>
      <c r="H746" t="s">
        <v>2023</v>
      </c>
      <c r="I746" t="s">
        <v>3677</v>
      </c>
      <c r="J746" t="s">
        <v>1963</v>
      </c>
      <c r="K746" t="s">
        <v>3669</v>
      </c>
      <c r="L746" t="s">
        <v>2046</v>
      </c>
      <c r="M746" t="s">
        <v>3665</v>
      </c>
      <c r="N746" t="s">
        <v>3666</v>
      </c>
      <c r="O746" t="s">
        <v>2362</v>
      </c>
      <c r="P746" t="s">
        <v>2363</v>
      </c>
      <c r="Q746" t="s">
        <v>2844</v>
      </c>
      <c r="R746" t="s">
        <v>14</v>
      </c>
      <c r="S746" t="s">
        <v>3368</v>
      </c>
      <c r="T746" t="s">
        <v>3369</v>
      </c>
      <c r="U746" t="s">
        <v>2171</v>
      </c>
      <c r="V746" t="s">
        <v>14</v>
      </c>
      <c r="W746" t="b">
        <v>1</v>
      </c>
      <c r="X746" t="s">
        <v>3670</v>
      </c>
      <c r="Y746" t="b">
        <v>0</v>
      </c>
      <c r="Z746" t="s">
        <v>2053</v>
      </c>
    </row>
    <row r="747" spans="1:26" x14ac:dyDescent="0.35">
      <c r="A747" t="s">
        <v>381</v>
      </c>
      <c r="B747" t="s">
        <v>382</v>
      </c>
      <c r="C747" t="s">
        <v>2967</v>
      </c>
      <c r="D747" t="s">
        <v>1963</v>
      </c>
      <c r="E747" t="s">
        <v>2020</v>
      </c>
      <c r="F747" t="s">
        <v>2021</v>
      </c>
      <c r="G747" t="s">
        <v>2022</v>
      </c>
      <c r="H747" t="s">
        <v>2023</v>
      </c>
      <c r="I747" t="s">
        <v>306</v>
      </c>
      <c r="J747" t="s">
        <v>1963</v>
      </c>
      <c r="K747" t="s">
        <v>3669</v>
      </c>
      <c r="L747" t="s">
        <v>2046</v>
      </c>
      <c r="M747" t="s">
        <v>2026</v>
      </c>
      <c r="N747" t="s">
        <v>2027</v>
      </c>
      <c r="O747" t="s">
        <v>2028</v>
      </c>
      <c r="P747" t="s">
        <v>2029</v>
      </c>
      <c r="Q747" t="s">
        <v>3531</v>
      </c>
      <c r="R747" t="s">
        <v>14</v>
      </c>
      <c r="S747" t="s">
        <v>2991</v>
      </c>
      <c r="T747" t="s">
        <v>2992</v>
      </c>
      <c r="U747" t="s">
        <v>2030</v>
      </c>
      <c r="V747" t="s">
        <v>14</v>
      </c>
      <c r="W747" t="b">
        <v>1</v>
      </c>
      <c r="X747" t="s">
        <v>3670</v>
      </c>
      <c r="Y747" t="b">
        <v>1</v>
      </c>
      <c r="Z747" t="s">
        <v>2032</v>
      </c>
    </row>
    <row r="748" spans="1:26" x14ac:dyDescent="0.35">
      <c r="A748" t="s">
        <v>383</v>
      </c>
      <c r="B748" t="s">
        <v>384</v>
      </c>
      <c r="C748" t="s">
        <v>2967</v>
      </c>
      <c r="D748" t="s">
        <v>1963</v>
      </c>
      <c r="E748" t="s">
        <v>2020</v>
      </c>
      <c r="F748" t="s">
        <v>2021</v>
      </c>
      <c r="G748" t="s">
        <v>2022</v>
      </c>
      <c r="H748" t="s">
        <v>2023</v>
      </c>
      <c r="I748" t="s">
        <v>1801</v>
      </c>
      <c r="J748" t="s">
        <v>1963</v>
      </c>
      <c r="K748" t="s">
        <v>3678</v>
      </c>
      <c r="L748" t="s">
        <v>2046</v>
      </c>
      <c r="M748" t="s">
        <v>2026</v>
      </c>
      <c r="N748" t="s">
        <v>2027</v>
      </c>
      <c r="O748" t="s">
        <v>2028</v>
      </c>
      <c r="P748" t="s">
        <v>2029</v>
      </c>
      <c r="Q748" t="s">
        <v>3679</v>
      </c>
      <c r="R748" t="s">
        <v>14</v>
      </c>
      <c r="S748" t="s">
        <v>3680</v>
      </c>
      <c r="T748" t="s">
        <v>3681</v>
      </c>
      <c r="U748" t="s">
        <v>2030</v>
      </c>
      <c r="V748" t="s">
        <v>14</v>
      </c>
      <c r="W748" t="b">
        <v>1</v>
      </c>
      <c r="X748" t="s">
        <v>3682</v>
      </c>
      <c r="Y748" t="b">
        <v>0</v>
      </c>
      <c r="Z748" t="s">
        <v>2053</v>
      </c>
    </row>
    <row r="749" spans="1:26" x14ac:dyDescent="0.35">
      <c r="A749" t="s">
        <v>385</v>
      </c>
      <c r="B749" t="s">
        <v>386</v>
      </c>
      <c r="C749" t="s">
        <v>3167</v>
      </c>
      <c r="D749" t="s">
        <v>1963</v>
      </c>
      <c r="E749" t="s">
        <v>2020</v>
      </c>
      <c r="F749" t="s">
        <v>2021</v>
      </c>
      <c r="G749" t="s">
        <v>2022</v>
      </c>
      <c r="H749" t="s">
        <v>2023</v>
      </c>
      <c r="I749" t="s">
        <v>1801</v>
      </c>
      <c r="J749" t="s">
        <v>1963</v>
      </c>
      <c r="K749" t="s">
        <v>3683</v>
      </c>
      <c r="L749" t="s">
        <v>2046</v>
      </c>
      <c r="M749" t="s">
        <v>2026</v>
      </c>
      <c r="N749" t="s">
        <v>2027</v>
      </c>
      <c r="O749" t="s">
        <v>2028</v>
      </c>
      <c r="P749" t="s">
        <v>2029</v>
      </c>
      <c r="Q749" t="s">
        <v>3679</v>
      </c>
      <c r="R749" t="s">
        <v>14</v>
      </c>
      <c r="S749" t="s">
        <v>3680</v>
      </c>
      <c r="T749" t="s">
        <v>3681</v>
      </c>
      <c r="U749" t="s">
        <v>2030</v>
      </c>
      <c r="V749" t="s">
        <v>14</v>
      </c>
      <c r="W749" t="b">
        <v>1</v>
      </c>
      <c r="X749" t="s">
        <v>3684</v>
      </c>
      <c r="Y749" t="b">
        <v>0</v>
      </c>
      <c r="Z749" t="s">
        <v>2053</v>
      </c>
    </row>
    <row r="750" spans="1:26" x14ac:dyDescent="0.35">
      <c r="A750" t="s">
        <v>387</v>
      </c>
      <c r="B750" t="s">
        <v>388</v>
      </c>
      <c r="C750" t="s">
        <v>3167</v>
      </c>
      <c r="D750" t="s">
        <v>1963</v>
      </c>
      <c r="E750" t="s">
        <v>2020</v>
      </c>
      <c r="F750" t="s">
        <v>2021</v>
      </c>
      <c r="G750" t="s">
        <v>2022</v>
      </c>
      <c r="H750" t="s">
        <v>2023</v>
      </c>
      <c r="I750" t="s">
        <v>356</v>
      </c>
      <c r="J750" t="s">
        <v>1963</v>
      </c>
      <c r="K750" t="s">
        <v>3685</v>
      </c>
      <c r="L750" t="s">
        <v>2046</v>
      </c>
      <c r="M750" t="s">
        <v>3686</v>
      </c>
      <c r="N750" t="s">
        <v>3687</v>
      </c>
      <c r="O750" t="s">
        <v>2214</v>
      </c>
      <c r="P750" t="s">
        <v>2215</v>
      </c>
      <c r="Q750" t="s">
        <v>2103</v>
      </c>
      <c r="R750" t="s">
        <v>14</v>
      </c>
      <c r="S750" t="s">
        <v>2101</v>
      </c>
      <c r="T750" t="s">
        <v>2102</v>
      </c>
      <c r="U750" t="s">
        <v>2052</v>
      </c>
      <c r="V750" t="s">
        <v>14</v>
      </c>
      <c r="W750" t="b">
        <v>1</v>
      </c>
      <c r="X750" t="s">
        <v>3688</v>
      </c>
      <c r="Y750" t="b">
        <v>0</v>
      </c>
      <c r="Z750" t="s">
        <v>2053</v>
      </c>
    </row>
    <row r="751" spans="1:26" x14ac:dyDescent="0.35">
      <c r="A751" t="s">
        <v>389</v>
      </c>
      <c r="B751" t="s">
        <v>390</v>
      </c>
      <c r="C751" t="s">
        <v>3167</v>
      </c>
      <c r="D751" t="s">
        <v>1963</v>
      </c>
      <c r="E751" t="s">
        <v>2020</v>
      </c>
      <c r="F751" t="s">
        <v>2021</v>
      </c>
      <c r="G751" t="s">
        <v>2022</v>
      </c>
      <c r="H751" t="s">
        <v>2023</v>
      </c>
      <c r="I751" t="s">
        <v>2431</v>
      </c>
      <c r="J751" t="s">
        <v>1963</v>
      </c>
      <c r="K751" t="s">
        <v>3689</v>
      </c>
      <c r="L751" t="s">
        <v>2046</v>
      </c>
      <c r="M751" t="s">
        <v>2338</v>
      </c>
      <c r="N751" t="s">
        <v>2339</v>
      </c>
      <c r="O751" t="s">
        <v>2340</v>
      </c>
      <c r="P751" t="s">
        <v>2341</v>
      </c>
      <c r="Q751" t="s">
        <v>14</v>
      </c>
      <c r="R751" t="s">
        <v>14</v>
      </c>
      <c r="S751" t="s">
        <v>2342</v>
      </c>
      <c r="T751" t="s">
        <v>2343</v>
      </c>
      <c r="U751" t="s">
        <v>2171</v>
      </c>
      <c r="V751" t="s">
        <v>14</v>
      </c>
      <c r="W751" t="b">
        <v>1</v>
      </c>
      <c r="X751" t="s">
        <v>3690</v>
      </c>
      <c r="Y751" t="b">
        <v>0</v>
      </c>
      <c r="Z751" t="s">
        <v>2032</v>
      </c>
    </row>
    <row r="752" spans="1:26" x14ac:dyDescent="0.35">
      <c r="A752" t="s">
        <v>391</v>
      </c>
      <c r="B752" t="s">
        <v>392</v>
      </c>
      <c r="C752" t="s">
        <v>3167</v>
      </c>
      <c r="D752" t="s">
        <v>1963</v>
      </c>
      <c r="E752" t="s">
        <v>2020</v>
      </c>
      <c r="F752" t="s">
        <v>2021</v>
      </c>
      <c r="G752" t="s">
        <v>2022</v>
      </c>
      <c r="H752" t="s">
        <v>2023</v>
      </c>
      <c r="I752" t="s">
        <v>3691</v>
      </c>
      <c r="J752" t="s">
        <v>1963</v>
      </c>
      <c r="K752" t="s">
        <v>3692</v>
      </c>
      <c r="L752" t="s">
        <v>2046</v>
      </c>
      <c r="M752" t="s">
        <v>3693</v>
      </c>
      <c r="N752" t="s">
        <v>3694</v>
      </c>
      <c r="O752" t="s">
        <v>2075</v>
      </c>
      <c r="P752" t="s">
        <v>2076</v>
      </c>
      <c r="Q752" t="s">
        <v>2077</v>
      </c>
      <c r="R752" t="s">
        <v>14</v>
      </c>
      <c r="S752" t="s">
        <v>3579</v>
      </c>
      <c r="T752" t="s">
        <v>3580</v>
      </c>
      <c r="U752" t="s">
        <v>2080</v>
      </c>
      <c r="V752" t="s">
        <v>14</v>
      </c>
      <c r="W752" t="b">
        <v>1</v>
      </c>
      <c r="X752" t="s">
        <v>3695</v>
      </c>
      <c r="Y752" t="b">
        <v>0</v>
      </c>
      <c r="Z752" t="s">
        <v>2081</v>
      </c>
    </row>
    <row r="753" spans="1:26" x14ac:dyDescent="0.35">
      <c r="A753" t="s">
        <v>391</v>
      </c>
      <c r="B753" t="s">
        <v>392</v>
      </c>
      <c r="C753" t="s">
        <v>3167</v>
      </c>
      <c r="D753" t="s">
        <v>1963</v>
      </c>
      <c r="E753" t="s">
        <v>2020</v>
      </c>
      <c r="F753" t="s">
        <v>2021</v>
      </c>
      <c r="G753" t="s">
        <v>2022</v>
      </c>
      <c r="H753" t="s">
        <v>2023</v>
      </c>
      <c r="I753" t="s">
        <v>3696</v>
      </c>
      <c r="J753" t="s">
        <v>1963</v>
      </c>
      <c r="K753" t="s">
        <v>3692</v>
      </c>
      <c r="L753" t="s">
        <v>2046</v>
      </c>
      <c r="M753" t="s">
        <v>3693</v>
      </c>
      <c r="N753" t="s">
        <v>3694</v>
      </c>
      <c r="O753" t="s">
        <v>2075</v>
      </c>
      <c r="P753" t="s">
        <v>2076</v>
      </c>
      <c r="Q753" t="s">
        <v>2077</v>
      </c>
      <c r="R753" t="s">
        <v>14</v>
      </c>
      <c r="S753" t="s">
        <v>3579</v>
      </c>
      <c r="T753" t="s">
        <v>3580</v>
      </c>
      <c r="U753" t="s">
        <v>3357</v>
      </c>
      <c r="V753" t="s">
        <v>14</v>
      </c>
      <c r="W753" t="b">
        <v>1</v>
      </c>
      <c r="X753" t="s">
        <v>3695</v>
      </c>
      <c r="Y753" t="b">
        <v>0</v>
      </c>
      <c r="Z753" t="s">
        <v>2081</v>
      </c>
    </row>
    <row r="754" spans="1:26" x14ac:dyDescent="0.35">
      <c r="A754" t="s">
        <v>393</v>
      </c>
      <c r="B754" t="s">
        <v>394</v>
      </c>
      <c r="C754" t="s">
        <v>3167</v>
      </c>
      <c r="D754" t="s">
        <v>1963</v>
      </c>
      <c r="E754" t="s">
        <v>2020</v>
      </c>
      <c r="F754" t="s">
        <v>2021</v>
      </c>
      <c r="G754" t="s">
        <v>2022</v>
      </c>
      <c r="H754" t="s">
        <v>2023</v>
      </c>
      <c r="I754" t="s">
        <v>3469</v>
      </c>
      <c r="J754" t="s">
        <v>1963</v>
      </c>
      <c r="K754" t="s">
        <v>3697</v>
      </c>
      <c r="L754" t="s">
        <v>2046</v>
      </c>
      <c r="M754" t="s">
        <v>2243</v>
      </c>
      <c r="N754" t="s">
        <v>2244</v>
      </c>
      <c r="O754" t="s">
        <v>2214</v>
      </c>
      <c r="P754" t="s">
        <v>2215</v>
      </c>
      <c r="Q754" t="s">
        <v>2295</v>
      </c>
      <c r="R754" t="s">
        <v>14</v>
      </c>
      <c r="S754" t="s">
        <v>2307</v>
      </c>
      <c r="T754" t="s">
        <v>2308</v>
      </c>
      <c r="U754" t="s">
        <v>2052</v>
      </c>
      <c r="V754" t="s">
        <v>14</v>
      </c>
      <c r="W754" t="b">
        <v>1</v>
      </c>
      <c r="X754" t="s">
        <v>3698</v>
      </c>
      <c r="Y754" t="b">
        <v>0</v>
      </c>
      <c r="Z754" t="s">
        <v>2053</v>
      </c>
    </row>
    <row r="755" spans="1:26" x14ac:dyDescent="0.35">
      <c r="A755" t="s">
        <v>395</v>
      </c>
      <c r="B755" t="s">
        <v>396</v>
      </c>
      <c r="C755" t="s">
        <v>3167</v>
      </c>
      <c r="D755" t="s">
        <v>1963</v>
      </c>
      <c r="E755" t="s">
        <v>2020</v>
      </c>
      <c r="F755" t="s">
        <v>2021</v>
      </c>
      <c r="G755" t="s">
        <v>2022</v>
      </c>
      <c r="H755" t="s">
        <v>2023</v>
      </c>
      <c r="I755" t="s">
        <v>3469</v>
      </c>
      <c r="J755" t="s">
        <v>1963</v>
      </c>
      <c r="K755" t="s">
        <v>3699</v>
      </c>
      <c r="L755" t="s">
        <v>2046</v>
      </c>
      <c r="M755" t="s">
        <v>2243</v>
      </c>
      <c r="N755" t="s">
        <v>2244</v>
      </c>
      <c r="O755" t="s">
        <v>2214</v>
      </c>
      <c r="P755" t="s">
        <v>2215</v>
      </c>
      <c r="Q755" t="s">
        <v>2295</v>
      </c>
      <c r="R755" t="s">
        <v>14</v>
      </c>
      <c r="S755" t="s">
        <v>2307</v>
      </c>
      <c r="T755" t="s">
        <v>2308</v>
      </c>
      <c r="U755" t="s">
        <v>2052</v>
      </c>
      <c r="V755" t="s">
        <v>14</v>
      </c>
      <c r="W755" t="b">
        <v>1</v>
      </c>
      <c r="X755" t="s">
        <v>3700</v>
      </c>
      <c r="Y755" t="b">
        <v>0</v>
      </c>
      <c r="Z755" t="s">
        <v>2053</v>
      </c>
    </row>
    <row r="756" spans="1:26" x14ac:dyDescent="0.35">
      <c r="A756" t="s">
        <v>397</v>
      </c>
      <c r="B756" t="s">
        <v>398</v>
      </c>
      <c r="C756" t="s">
        <v>3167</v>
      </c>
      <c r="D756" t="s">
        <v>1963</v>
      </c>
      <c r="E756" t="s">
        <v>2020</v>
      </c>
      <c r="F756" t="s">
        <v>2021</v>
      </c>
      <c r="G756" t="s">
        <v>2022</v>
      </c>
      <c r="H756" t="s">
        <v>2023</v>
      </c>
      <c r="I756" t="s">
        <v>3011</v>
      </c>
      <c r="J756" t="s">
        <v>1963</v>
      </c>
      <c r="K756" t="s">
        <v>3701</v>
      </c>
      <c r="L756" t="s">
        <v>2046</v>
      </c>
      <c r="M756" t="s">
        <v>3013</v>
      </c>
      <c r="N756" t="s">
        <v>3014</v>
      </c>
      <c r="O756" t="s">
        <v>3013</v>
      </c>
      <c r="P756" t="s">
        <v>3014</v>
      </c>
      <c r="Q756" t="s">
        <v>14</v>
      </c>
      <c r="R756" t="s">
        <v>14</v>
      </c>
      <c r="S756" t="s">
        <v>14</v>
      </c>
      <c r="T756" t="s">
        <v>14</v>
      </c>
      <c r="U756" t="s">
        <v>3015</v>
      </c>
      <c r="V756" t="s">
        <v>14</v>
      </c>
      <c r="W756" t="b">
        <v>1</v>
      </c>
      <c r="X756" t="s">
        <v>3702</v>
      </c>
      <c r="Y756" t="b">
        <v>0</v>
      </c>
      <c r="Z756" t="s">
        <v>2053</v>
      </c>
    </row>
    <row r="757" spans="1:26" x14ac:dyDescent="0.35">
      <c r="A757" t="s">
        <v>399</v>
      </c>
      <c r="B757" t="s">
        <v>400</v>
      </c>
      <c r="C757" t="s">
        <v>2967</v>
      </c>
      <c r="D757" t="s">
        <v>1963</v>
      </c>
      <c r="E757" t="s">
        <v>2020</v>
      </c>
      <c r="F757" t="s">
        <v>2021</v>
      </c>
      <c r="G757" t="s">
        <v>2022</v>
      </c>
      <c r="H757" t="s">
        <v>2023</v>
      </c>
      <c r="I757" t="s">
        <v>3703</v>
      </c>
      <c r="J757" t="s">
        <v>1963</v>
      </c>
      <c r="K757" t="s">
        <v>3704</v>
      </c>
      <c r="L757" t="s">
        <v>2046</v>
      </c>
      <c r="M757" t="s">
        <v>3483</v>
      </c>
      <c r="N757" t="s">
        <v>3484</v>
      </c>
      <c r="O757" t="s">
        <v>2362</v>
      </c>
      <c r="P757" t="s">
        <v>2363</v>
      </c>
      <c r="Q757" t="s">
        <v>3674</v>
      </c>
      <c r="R757" t="s">
        <v>14</v>
      </c>
      <c r="S757" t="s">
        <v>3675</v>
      </c>
      <c r="T757" t="s">
        <v>3676</v>
      </c>
      <c r="U757" t="s">
        <v>2171</v>
      </c>
      <c r="V757" t="s">
        <v>14</v>
      </c>
      <c r="W757" t="b">
        <v>1</v>
      </c>
      <c r="X757" t="s">
        <v>3705</v>
      </c>
      <c r="Y757" t="b">
        <v>0</v>
      </c>
      <c r="Z757" t="s">
        <v>2032</v>
      </c>
    </row>
    <row r="758" spans="1:26" x14ac:dyDescent="0.35">
      <c r="A758" t="s">
        <v>401</v>
      </c>
      <c r="B758" t="s">
        <v>402</v>
      </c>
      <c r="C758" t="s">
        <v>3167</v>
      </c>
      <c r="D758" t="s">
        <v>1963</v>
      </c>
      <c r="E758" t="s">
        <v>2020</v>
      </c>
      <c r="F758" t="s">
        <v>2021</v>
      </c>
      <c r="G758" t="s">
        <v>2022</v>
      </c>
      <c r="H758" t="s">
        <v>2023</v>
      </c>
      <c r="I758" t="s">
        <v>3706</v>
      </c>
      <c r="J758" t="s">
        <v>1963</v>
      </c>
      <c r="K758" t="s">
        <v>3707</v>
      </c>
      <c r="L758" t="s">
        <v>2046</v>
      </c>
      <c r="M758" t="s">
        <v>2026</v>
      </c>
      <c r="N758" t="s">
        <v>2027</v>
      </c>
      <c r="O758" t="s">
        <v>3708</v>
      </c>
      <c r="P758" t="s">
        <v>3709</v>
      </c>
      <c r="Q758" t="s">
        <v>14</v>
      </c>
      <c r="R758" t="s">
        <v>14</v>
      </c>
      <c r="S758" t="s">
        <v>3710</v>
      </c>
      <c r="T758" t="s">
        <v>3711</v>
      </c>
      <c r="U758" t="s">
        <v>2030</v>
      </c>
      <c r="V758" t="s">
        <v>14</v>
      </c>
      <c r="W758" t="b">
        <v>1</v>
      </c>
      <c r="X758" t="s">
        <v>3712</v>
      </c>
      <c r="Y758" t="b">
        <v>0</v>
      </c>
      <c r="Z758" t="s">
        <v>2053</v>
      </c>
    </row>
    <row r="759" spans="1:26" x14ac:dyDescent="0.35">
      <c r="A759" t="s">
        <v>401</v>
      </c>
      <c r="B759" t="s">
        <v>402</v>
      </c>
      <c r="C759" t="s">
        <v>3167</v>
      </c>
      <c r="D759" t="s">
        <v>1963</v>
      </c>
      <c r="E759" t="s">
        <v>2020</v>
      </c>
      <c r="F759" t="s">
        <v>2021</v>
      </c>
      <c r="G759" t="s">
        <v>2022</v>
      </c>
      <c r="H759" t="s">
        <v>2023</v>
      </c>
      <c r="I759" t="s">
        <v>3713</v>
      </c>
      <c r="J759" t="s">
        <v>1963</v>
      </c>
      <c r="K759" t="s">
        <v>3707</v>
      </c>
      <c r="L759" t="s">
        <v>2046</v>
      </c>
      <c r="M759" t="s">
        <v>2026</v>
      </c>
      <c r="N759" t="s">
        <v>2027</v>
      </c>
      <c r="O759" t="s">
        <v>3708</v>
      </c>
      <c r="P759" t="s">
        <v>3709</v>
      </c>
      <c r="Q759" t="s">
        <v>14</v>
      </c>
      <c r="R759" t="s">
        <v>14</v>
      </c>
      <c r="S759" t="s">
        <v>3710</v>
      </c>
      <c r="T759" t="s">
        <v>3711</v>
      </c>
      <c r="U759" t="s">
        <v>2030</v>
      </c>
      <c r="V759" t="s">
        <v>14</v>
      </c>
      <c r="W759" t="b">
        <v>1</v>
      </c>
      <c r="X759" t="s">
        <v>3712</v>
      </c>
      <c r="Y759" t="b">
        <v>0</v>
      </c>
      <c r="Z759" t="s">
        <v>2053</v>
      </c>
    </row>
    <row r="760" spans="1:26" x14ac:dyDescent="0.35">
      <c r="A760" t="s">
        <v>403</v>
      </c>
      <c r="B760" t="s">
        <v>404</v>
      </c>
      <c r="C760" t="s">
        <v>3167</v>
      </c>
      <c r="D760" t="s">
        <v>1963</v>
      </c>
      <c r="E760" t="s">
        <v>2020</v>
      </c>
      <c r="F760" t="s">
        <v>2021</v>
      </c>
      <c r="G760" t="s">
        <v>2022</v>
      </c>
      <c r="H760" t="s">
        <v>2023</v>
      </c>
      <c r="I760" t="s">
        <v>3706</v>
      </c>
      <c r="J760" t="s">
        <v>1963</v>
      </c>
      <c r="K760" t="s">
        <v>3714</v>
      </c>
      <c r="L760" t="s">
        <v>2046</v>
      </c>
      <c r="M760" t="s">
        <v>2026</v>
      </c>
      <c r="N760" t="s">
        <v>2027</v>
      </c>
      <c r="O760" t="s">
        <v>3708</v>
      </c>
      <c r="P760" t="s">
        <v>3709</v>
      </c>
      <c r="Q760" t="s">
        <v>14</v>
      </c>
      <c r="R760" t="s">
        <v>14</v>
      </c>
      <c r="S760" t="s">
        <v>3710</v>
      </c>
      <c r="T760" t="s">
        <v>3711</v>
      </c>
      <c r="U760" t="s">
        <v>2030</v>
      </c>
      <c r="V760" t="s">
        <v>14</v>
      </c>
      <c r="W760" t="b">
        <v>1</v>
      </c>
      <c r="X760" t="s">
        <v>3715</v>
      </c>
      <c r="Y760" t="b">
        <v>0</v>
      </c>
      <c r="Z760" t="s">
        <v>2053</v>
      </c>
    </row>
    <row r="761" spans="1:26" x14ac:dyDescent="0.35">
      <c r="A761" t="s">
        <v>405</v>
      </c>
      <c r="B761" t="s">
        <v>406</v>
      </c>
      <c r="C761" t="s">
        <v>3167</v>
      </c>
      <c r="D761" t="s">
        <v>1963</v>
      </c>
      <c r="E761" t="s">
        <v>2020</v>
      </c>
      <c r="F761" t="s">
        <v>2021</v>
      </c>
      <c r="G761" t="s">
        <v>2022</v>
      </c>
      <c r="H761" t="s">
        <v>2023</v>
      </c>
      <c r="I761" t="s">
        <v>3691</v>
      </c>
      <c r="J761" t="s">
        <v>1963</v>
      </c>
      <c r="K761" t="s">
        <v>3716</v>
      </c>
      <c r="L761" t="s">
        <v>2046</v>
      </c>
      <c r="M761" t="s">
        <v>3693</v>
      </c>
      <c r="N761" t="s">
        <v>3694</v>
      </c>
      <c r="O761" t="s">
        <v>2075</v>
      </c>
      <c r="P761" t="s">
        <v>2076</v>
      </c>
      <c r="Q761" t="s">
        <v>2077</v>
      </c>
      <c r="R761" t="s">
        <v>14</v>
      </c>
      <c r="S761" t="s">
        <v>3579</v>
      </c>
      <c r="T761" t="s">
        <v>3580</v>
      </c>
      <c r="U761" t="s">
        <v>2080</v>
      </c>
      <c r="V761" t="s">
        <v>14</v>
      </c>
      <c r="W761" t="b">
        <v>1</v>
      </c>
      <c r="X761" t="s">
        <v>3717</v>
      </c>
      <c r="Y761" t="b">
        <v>0</v>
      </c>
      <c r="Z761" t="s">
        <v>2081</v>
      </c>
    </row>
    <row r="762" spans="1:26" x14ac:dyDescent="0.35">
      <c r="A762" t="s">
        <v>405</v>
      </c>
      <c r="B762" t="s">
        <v>406</v>
      </c>
      <c r="C762" t="s">
        <v>3167</v>
      </c>
      <c r="D762" t="s">
        <v>1963</v>
      </c>
      <c r="E762" t="s">
        <v>2020</v>
      </c>
      <c r="F762" t="s">
        <v>2021</v>
      </c>
      <c r="G762" t="s">
        <v>2022</v>
      </c>
      <c r="H762" t="s">
        <v>2023</v>
      </c>
      <c r="I762" t="s">
        <v>3696</v>
      </c>
      <c r="J762" t="s">
        <v>1963</v>
      </c>
      <c r="K762" t="s">
        <v>3716</v>
      </c>
      <c r="L762" t="s">
        <v>2046</v>
      </c>
      <c r="M762" t="s">
        <v>3693</v>
      </c>
      <c r="N762" t="s">
        <v>3694</v>
      </c>
      <c r="O762" t="s">
        <v>2075</v>
      </c>
      <c r="P762" t="s">
        <v>2076</v>
      </c>
      <c r="Q762" t="s">
        <v>2077</v>
      </c>
      <c r="R762" t="s">
        <v>14</v>
      </c>
      <c r="S762" t="s">
        <v>3579</v>
      </c>
      <c r="T762" t="s">
        <v>3580</v>
      </c>
      <c r="U762" t="s">
        <v>3357</v>
      </c>
      <c r="V762" t="s">
        <v>14</v>
      </c>
      <c r="W762" t="b">
        <v>1</v>
      </c>
      <c r="X762" t="s">
        <v>3717</v>
      </c>
      <c r="Y762" t="b">
        <v>0</v>
      </c>
      <c r="Z762" t="s">
        <v>2081</v>
      </c>
    </row>
    <row r="763" spans="1:26" x14ac:dyDescent="0.35">
      <c r="A763" t="s">
        <v>407</v>
      </c>
      <c r="B763" t="s">
        <v>408</v>
      </c>
      <c r="C763" t="s">
        <v>2967</v>
      </c>
      <c r="D763" t="s">
        <v>1963</v>
      </c>
      <c r="E763" t="s">
        <v>2020</v>
      </c>
      <c r="F763" t="s">
        <v>2021</v>
      </c>
      <c r="G763" t="s">
        <v>2022</v>
      </c>
      <c r="H763" t="s">
        <v>2023</v>
      </c>
      <c r="I763" t="s">
        <v>3718</v>
      </c>
      <c r="J763" t="s">
        <v>1963</v>
      </c>
      <c r="K763" t="s">
        <v>3719</v>
      </c>
      <c r="L763" t="s">
        <v>2046</v>
      </c>
      <c r="M763" t="s">
        <v>3720</v>
      </c>
      <c r="N763" t="s">
        <v>3721</v>
      </c>
      <c r="O763" t="s">
        <v>3722</v>
      </c>
      <c r="P763" t="s">
        <v>3723</v>
      </c>
      <c r="Q763" t="s">
        <v>14</v>
      </c>
      <c r="R763" t="s">
        <v>14</v>
      </c>
      <c r="S763" t="s">
        <v>3724</v>
      </c>
      <c r="T763" t="s">
        <v>3725</v>
      </c>
      <c r="U763" t="s">
        <v>2233</v>
      </c>
      <c r="V763" t="s">
        <v>14</v>
      </c>
      <c r="W763" t="b">
        <v>1</v>
      </c>
      <c r="X763" t="s">
        <v>3726</v>
      </c>
      <c r="Y763" t="b">
        <v>0</v>
      </c>
      <c r="Z763" t="s">
        <v>2053</v>
      </c>
    </row>
    <row r="764" spans="1:26" x14ac:dyDescent="0.35">
      <c r="A764" t="s">
        <v>409</v>
      </c>
      <c r="B764" t="s">
        <v>410</v>
      </c>
      <c r="C764" t="s">
        <v>2967</v>
      </c>
      <c r="D764" t="s">
        <v>1963</v>
      </c>
      <c r="E764" t="s">
        <v>2020</v>
      </c>
      <c r="F764" t="s">
        <v>2021</v>
      </c>
      <c r="G764" t="s">
        <v>2022</v>
      </c>
      <c r="H764" t="s">
        <v>2023</v>
      </c>
      <c r="I764" t="s">
        <v>3718</v>
      </c>
      <c r="J764" t="s">
        <v>1963</v>
      </c>
      <c r="K764" t="s">
        <v>3727</v>
      </c>
      <c r="L764" t="s">
        <v>2046</v>
      </c>
      <c r="M764" t="s">
        <v>3720</v>
      </c>
      <c r="N764" t="s">
        <v>3721</v>
      </c>
      <c r="O764" t="s">
        <v>3722</v>
      </c>
      <c r="P764" t="s">
        <v>3723</v>
      </c>
      <c r="Q764" t="s">
        <v>14</v>
      </c>
      <c r="R764" t="s">
        <v>14</v>
      </c>
      <c r="S764" t="s">
        <v>3724</v>
      </c>
      <c r="T764" t="s">
        <v>3725</v>
      </c>
      <c r="U764" t="s">
        <v>2233</v>
      </c>
      <c r="V764" t="s">
        <v>14</v>
      </c>
      <c r="W764" t="b">
        <v>1</v>
      </c>
      <c r="X764" t="s">
        <v>3728</v>
      </c>
      <c r="Y764" t="b">
        <v>0</v>
      </c>
      <c r="Z764" t="s">
        <v>2053</v>
      </c>
    </row>
    <row r="765" spans="1:26" x14ac:dyDescent="0.35">
      <c r="A765" t="s">
        <v>411</v>
      </c>
      <c r="B765" t="s">
        <v>412</v>
      </c>
      <c r="C765" t="s">
        <v>2967</v>
      </c>
      <c r="D765" t="s">
        <v>1963</v>
      </c>
      <c r="E765" t="s">
        <v>2020</v>
      </c>
      <c r="F765" t="s">
        <v>2021</v>
      </c>
      <c r="G765" t="s">
        <v>2022</v>
      </c>
      <c r="H765" t="s">
        <v>2023</v>
      </c>
      <c r="I765" t="s">
        <v>3718</v>
      </c>
      <c r="J765" t="s">
        <v>1963</v>
      </c>
      <c r="K765" t="s">
        <v>3729</v>
      </c>
      <c r="L765" t="s">
        <v>2046</v>
      </c>
      <c r="M765" t="s">
        <v>3720</v>
      </c>
      <c r="N765" t="s">
        <v>3721</v>
      </c>
      <c r="O765" t="s">
        <v>3722</v>
      </c>
      <c r="P765" t="s">
        <v>3723</v>
      </c>
      <c r="Q765" t="s">
        <v>14</v>
      </c>
      <c r="R765" t="s">
        <v>14</v>
      </c>
      <c r="S765" t="s">
        <v>3724</v>
      </c>
      <c r="T765" t="s">
        <v>3725</v>
      </c>
      <c r="U765" t="s">
        <v>2233</v>
      </c>
      <c r="V765" t="s">
        <v>14</v>
      </c>
      <c r="W765" t="b">
        <v>1</v>
      </c>
      <c r="X765" t="s">
        <v>3730</v>
      </c>
      <c r="Y765" t="b">
        <v>0</v>
      </c>
      <c r="Z765" t="s">
        <v>2053</v>
      </c>
    </row>
    <row r="766" spans="1:26" x14ac:dyDescent="0.35">
      <c r="A766" t="s">
        <v>413</v>
      </c>
      <c r="B766" t="s">
        <v>414</v>
      </c>
      <c r="C766" t="s">
        <v>2967</v>
      </c>
      <c r="D766" t="s">
        <v>1963</v>
      </c>
      <c r="E766" t="s">
        <v>2020</v>
      </c>
      <c r="F766" t="s">
        <v>2021</v>
      </c>
      <c r="G766" t="s">
        <v>2022</v>
      </c>
      <c r="H766" t="s">
        <v>2023</v>
      </c>
      <c r="I766" t="s">
        <v>3718</v>
      </c>
      <c r="J766" t="s">
        <v>1963</v>
      </c>
      <c r="K766" t="s">
        <v>3731</v>
      </c>
      <c r="L766" t="s">
        <v>2046</v>
      </c>
      <c r="M766" t="s">
        <v>3720</v>
      </c>
      <c r="N766" t="s">
        <v>3721</v>
      </c>
      <c r="O766" t="s">
        <v>3722</v>
      </c>
      <c r="P766" t="s">
        <v>3723</v>
      </c>
      <c r="Q766" t="s">
        <v>14</v>
      </c>
      <c r="R766" t="s">
        <v>14</v>
      </c>
      <c r="S766" t="s">
        <v>3724</v>
      </c>
      <c r="T766" t="s">
        <v>3725</v>
      </c>
      <c r="U766" t="s">
        <v>2233</v>
      </c>
      <c r="V766" t="s">
        <v>14</v>
      </c>
      <c r="W766" t="b">
        <v>1</v>
      </c>
      <c r="X766" t="s">
        <v>3732</v>
      </c>
      <c r="Y766" t="b">
        <v>0</v>
      </c>
      <c r="Z766" t="s">
        <v>2053</v>
      </c>
    </row>
    <row r="767" spans="1:26" x14ac:dyDescent="0.35">
      <c r="A767" t="s">
        <v>415</v>
      </c>
      <c r="B767" t="s">
        <v>3733</v>
      </c>
      <c r="C767" t="s">
        <v>2967</v>
      </c>
      <c r="D767" t="s">
        <v>1963</v>
      </c>
      <c r="E767" t="s">
        <v>2020</v>
      </c>
      <c r="F767" t="s">
        <v>2161</v>
      </c>
      <c r="G767" t="s">
        <v>2162</v>
      </c>
      <c r="H767" t="s">
        <v>2023</v>
      </c>
      <c r="I767" t="s">
        <v>3718</v>
      </c>
      <c r="J767" t="s">
        <v>1963</v>
      </c>
      <c r="K767" t="s">
        <v>3734</v>
      </c>
      <c r="L767" t="s">
        <v>2046</v>
      </c>
      <c r="M767" t="s">
        <v>3720</v>
      </c>
      <c r="N767" t="s">
        <v>3721</v>
      </c>
      <c r="O767" t="s">
        <v>3722</v>
      </c>
      <c r="P767" t="s">
        <v>3723</v>
      </c>
      <c r="Q767" t="s">
        <v>14</v>
      </c>
      <c r="R767" t="s">
        <v>14</v>
      </c>
      <c r="S767" t="s">
        <v>3724</v>
      </c>
      <c r="T767" t="s">
        <v>3725</v>
      </c>
      <c r="U767" t="s">
        <v>2233</v>
      </c>
      <c r="V767" t="s">
        <v>14</v>
      </c>
      <c r="W767" t="b">
        <v>1</v>
      </c>
      <c r="X767" t="s">
        <v>3735</v>
      </c>
      <c r="Y767" t="b">
        <v>0</v>
      </c>
      <c r="Z767" t="s">
        <v>2053</v>
      </c>
    </row>
    <row r="768" spans="1:26" x14ac:dyDescent="0.35">
      <c r="A768" t="s">
        <v>416</v>
      </c>
      <c r="B768" t="s">
        <v>417</v>
      </c>
      <c r="C768" t="s">
        <v>3167</v>
      </c>
      <c r="D768" t="s">
        <v>1963</v>
      </c>
      <c r="E768" t="s">
        <v>2020</v>
      </c>
      <c r="F768" t="s">
        <v>2021</v>
      </c>
      <c r="G768" t="s">
        <v>2022</v>
      </c>
      <c r="H768" t="s">
        <v>2023</v>
      </c>
      <c r="I768" t="s">
        <v>3736</v>
      </c>
      <c r="J768" t="s">
        <v>1963</v>
      </c>
      <c r="K768" t="s">
        <v>3737</v>
      </c>
      <c r="L768" t="s">
        <v>2046</v>
      </c>
      <c r="M768" t="s">
        <v>2073</v>
      </c>
      <c r="N768" t="s">
        <v>2074</v>
      </c>
      <c r="O768" t="s">
        <v>2075</v>
      </c>
      <c r="P768" t="s">
        <v>2076</v>
      </c>
      <c r="Q768" t="s">
        <v>2077</v>
      </c>
      <c r="R768" t="s">
        <v>14</v>
      </c>
      <c r="S768" t="s">
        <v>2078</v>
      </c>
      <c r="T768" t="s">
        <v>2079</v>
      </c>
      <c r="U768" t="s">
        <v>2080</v>
      </c>
      <c r="V768" t="s">
        <v>14</v>
      </c>
      <c r="W768" t="b">
        <v>1</v>
      </c>
      <c r="X768" t="s">
        <v>3738</v>
      </c>
      <c r="Y768" t="b">
        <v>0</v>
      </c>
      <c r="Z768" t="s">
        <v>2053</v>
      </c>
    </row>
    <row r="769" spans="1:26" x14ac:dyDescent="0.35">
      <c r="A769" t="s">
        <v>416</v>
      </c>
      <c r="B769" t="s">
        <v>417</v>
      </c>
      <c r="C769" t="s">
        <v>3167</v>
      </c>
      <c r="D769" t="s">
        <v>1963</v>
      </c>
      <c r="E769" t="s">
        <v>2020</v>
      </c>
      <c r="F769" t="s">
        <v>2021</v>
      </c>
      <c r="G769" t="s">
        <v>2022</v>
      </c>
      <c r="H769" t="s">
        <v>2023</v>
      </c>
      <c r="I769" t="s">
        <v>420</v>
      </c>
      <c r="J769" t="s">
        <v>1963</v>
      </c>
      <c r="K769" t="s">
        <v>3737</v>
      </c>
      <c r="L769" t="s">
        <v>2046</v>
      </c>
      <c r="M769" t="s">
        <v>2073</v>
      </c>
      <c r="N769" t="s">
        <v>2074</v>
      </c>
      <c r="O769" t="s">
        <v>2075</v>
      </c>
      <c r="P769" t="s">
        <v>2076</v>
      </c>
      <c r="Q769" t="s">
        <v>2077</v>
      </c>
      <c r="R769" t="s">
        <v>14</v>
      </c>
      <c r="S769" t="s">
        <v>2078</v>
      </c>
      <c r="T769" t="s">
        <v>2079</v>
      </c>
      <c r="U769" t="s">
        <v>2080</v>
      </c>
      <c r="V769" t="s">
        <v>14</v>
      </c>
      <c r="W769" t="b">
        <v>1</v>
      </c>
      <c r="X769" t="s">
        <v>3738</v>
      </c>
      <c r="Y769" t="b">
        <v>0</v>
      </c>
      <c r="Z769" t="s">
        <v>2053</v>
      </c>
    </row>
    <row r="770" spans="1:26" x14ac:dyDescent="0.35">
      <c r="A770" t="s">
        <v>418</v>
      </c>
      <c r="B770" t="s">
        <v>419</v>
      </c>
      <c r="C770" t="s">
        <v>3167</v>
      </c>
      <c r="D770" t="s">
        <v>1963</v>
      </c>
      <c r="E770" t="s">
        <v>2020</v>
      </c>
      <c r="F770" t="s">
        <v>2021</v>
      </c>
      <c r="G770" t="s">
        <v>2022</v>
      </c>
      <c r="H770" t="s">
        <v>2023</v>
      </c>
      <c r="I770" t="s">
        <v>420</v>
      </c>
      <c r="J770" t="s">
        <v>1963</v>
      </c>
      <c r="K770" t="s">
        <v>3739</v>
      </c>
      <c r="L770" t="s">
        <v>2046</v>
      </c>
      <c r="M770" t="s">
        <v>2073</v>
      </c>
      <c r="N770" t="s">
        <v>2074</v>
      </c>
      <c r="O770" t="s">
        <v>2075</v>
      </c>
      <c r="P770" t="s">
        <v>2076</v>
      </c>
      <c r="Q770" t="s">
        <v>2077</v>
      </c>
      <c r="R770" t="s">
        <v>14</v>
      </c>
      <c r="S770" t="s">
        <v>2078</v>
      </c>
      <c r="T770" t="s">
        <v>2079</v>
      </c>
      <c r="U770" t="s">
        <v>2080</v>
      </c>
      <c r="V770" t="s">
        <v>14</v>
      </c>
      <c r="W770" t="b">
        <v>1</v>
      </c>
      <c r="X770" t="s">
        <v>3740</v>
      </c>
      <c r="Y770" t="b">
        <v>0</v>
      </c>
      <c r="Z770" t="s">
        <v>2053</v>
      </c>
    </row>
    <row r="771" spans="1:26" x14ac:dyDescent="0.35">
      <c r="A771" t="s">
        <v>421</v>
      </c>
      <c r="B771" t="s">
        <v>422</v>
      </c>
      <c r="C771" t="s">
        <v>3167</v>
      </c>
      <c r="D771" t="s">
        <v>1963</v>
      </c>
      <c r="E771" t="s">
        <v>2020</v>
      </c>
      <c r="F771" t="s">
        <v>2021</v>
      </c>
      <c r="G771" t="s">
        <v>2022</v>
      </c>
      <c r="H771" t="s">
        <v>2023</v>
      </c>
      <c r="I771" t="s">
        <v>420</v>
      </c>
      <c r="J771" t="s">
        <v>1963</v>
      </c>
      <c r="K771" t="s">
        <v>3741</v>
      </c>
      <c r="L771" t="s">
        <v>2046</v>
      </c>
      <c r="M771" t="s">
        <v>2073</v>
      </c>
      <c r="N771" t="s">
        <v>2074</v>
      </c>
      <c r="O771" t="s">
        <v>2075</v>
      </c>
      <c r="P771" t="s">
        <v>2076</v>
      </c>
      <c r="Q771" t="s">
        <v>2077</v>
      </c>
      <c r="R771" t="s">
        <v>14</v>
      </c>
      <c r="S771" t="s">
        <v>2078</v>
      </c>
      <c r="T771" t="s">
        <v>2079</v>
      </c>
      <c r="U771" t="s">
        <v>2080</v>
      </c>
      <c r="V771" t="s">
        <v>14</v>
      </c>
      <c r="W771" t="b">
        <v>1</v>
      </c>
      <c r="X771" t="s">
        <v>3742</v>
      </c>
      <c r="Y771" t="b">
        <v>0</v>
      </c>
      <c r="Z771" t="s">
        <v>2053</v>
      </c>
    </row>
    <row r="772" spans="1:26" x14ac:dyDescent="0.35">
      <c r="A772" t="s">
        <v>423</v>
      </c>
      <c r="B772" t="s">
        <v>424</v>
      </c>
      <c r="C772" t="s">
        <v>3167</v>
      </c>
      <c r="D772" t="s">
        <v>1963</v>
      </c>
      <c r="E772" t="s">
        <v>2020</v>
      </c>
      <c r="F772" t="s">
        <v>2021</v>
      </c>
      <c r="G772" t="s">
        <v>2022</v>
      </c>
      <c r="H772" t="s">
        <v>2023</v>
      </c>
      <c r="I772" t="s">
        <v>3743</v>
      </c>
      <c r="J772" t="s">
        <v>1963</v>
      </c>
      <c r="K772" t="s">
        <v>3744</v>
      </c>
      <c r="L772" t="s">
        <v>2046</v>
      </c>
      <c r="M772" t="s">
        <v>3745</v>
      </c>
      <c r="N772" t="s">
        <v>3746</v>
      </c>
      <c r="O772" t="s">
        <v>3745</v>
      </c>
      <c r="P772" t="s">
        <v>3746</v>
      </c>
      <c r="Q772" t="s">
        <v>3747</v>
      </c>
      <c r="R772" t="s">
        <v>14</v>
      </c>
      <c r="S772" t="s">
        <v>3748</v>
      </c>
      <c r="T772" t="s">
        <v>3749</v>
      </c>
      <c r="U772" t="s">
        <v>2030</v>
      </c>
      <c r="V772" t="s">
        <v>14</v>
      </c>
      <c r="W772" t="b">
        <v>1</v>
      </c>
      <c r="X772" t="s">
        <v>3750</v>
      </c>
      <c r="Y772" t="b">
        <v>0</v>
      </c>
      <c r="Z772" t="s">
        <v>2081</v>
      </c>
    </row>
    <row r="773" spans="1:26" x14ac:dyDescent="0.35">
      <c r="A773" t="s">
        <v>425</v>
      </c>
      <c r="B773" t="s">
        <v>426</v>
      </c>
      <c r="C773" t="s">
        <v>2967</v>
      </c>
      <c r="D773" t="s">
        <v>1963</v>
      </c>
      <c r="E773" t="s">
        <v>3072</v>
      </c>
      <c r="F773" t="s">
        <v>3073</v>
      </c>
      <c r="G773" t="s">
        <v>3751</v>
      </c>
      <c r="H773" t="s">
        <v>2023</v>
      </c>
      <c r="I773" t="s">
        <v>3752</v>
      </c>
      <c r="J773" t="s">
        <v>1963</v>
      </c>
      <c r="K773" t="s">
        <v>3753</v>
      </c>
      <c r="L773" t="s">
        <v>2046</v>
      </c>
      <c r="M773" t="s">
        <v>3754</v>
      </c>
      <c r="N773" t="s">
        <v>3755</v>
      </c>
      <c r="O773" t="s">
        <v>3754</v>
      </c>
      <c r="P773" t="s">
        <v>3755</v>
      </c>
      <c r="Q773" t="s">
        <v>2077</v>
      </c>
      <c r="R773" t="s">
        <v>14</v>
      </c>
      <c r="S773" t="s">
        <v>3756</v>
      </c>
      <c r="T773" t="s">
        <v>3757</v>
      </c>
      <c r="U773" t="s">
        <v>3758</v>
      </c>
      <c r="V773" t="s">
        <v>14</v>
      </c>
      <c r="W773" t="b">
        <v>0</v>
      </c>
      <c r="X773" t="s">
        <v>14</v>
      </c>
      <c r="Y773" t="b">
        <v>0</v>
      </c>
      <c r="Z773" t="s">
        <v>2053</v>
      </c>
    </row>
    <row r="774" spans="1:26" x14ac:dyDescent="0.35">
      <c r="A774" t="s">
        <v>427</v>
      </c>
      <c r="B774" t="s">
        <v>428</v>
      </c>
      <c r="C774" t="s">
        <v>2967</v>
      </c>
      <c r="D774" t="s">
        <v>1963</v>
      </c>
      <c r="E774" t="s">
        <v>3072</v>
      </c>
      <c r="F774" t="s">
        <v>3073</v>
      </c>
      <c r="G774" t="s">
        <v>3751</v>
      </c>
      <c r="H774" t="s">
        <v>2023</v>
      </c>
      <c r="I774" t="s">
        <v>3752</v>
      </c>
      <c r="J774" t="s">
        <v>1963</v>
      </c>
      <c r="K774" t="s">
        <v>3759</v>
      </c>
      <c r="L774" t="s">
        <v>2046</v>
      </c>
      <c r="M774" t="s">
        <v>3754</v>
      </c>
      <c r="N774" t="s">
        <v>3755</v>
      </c>
      <c r="O774" t="s">
        <v>3754</v>
      </c>
      <c r="P774" t="s">
        <v>3755</v>
      </c>
      <c r="Q774" t="s">
        <v>2077</v>
      </c>
      <c r="R774" t="s">
        <v>14</v>
      </c>
      <c r="S774" t="s">
        <v>3756</v>
      </c>
      <c r="T774" t="s">
        <v>3757</v>
      </c>
      <c r="U774" t="s">
        <v>3758</v>
      </c>
      <c r="V774" t="s">
        <v>14</v>
      </c>
      <c r="W774" t="b">
        <v>0</v>
      </c>
      <c r="X774" t="s">
        <v>14</v>
      </c>
      <c r="Y774" t="b">
        <v>0</v>
      </c>
      <c r="Z774" t="s">
        <v>2053</v>
      </c>
    </row>
    <row r="775" spans="1:26" x14ac:dyDescent="0.35">
      <c r="A775" t="s">
        <v>429</v>
      </c>
      <c r="B775" t="s">
        <v>430</v>
      </c>
      <c r="C775" t="s">
        <v>2967</v>
      </c>
      <c r="D775" t="s">
        <v>1963</v>
      </c>
      <c r="E775" t="s">
        <v>3072</v>
      </c>
      <c r="F775" t="s">
        <v>3073</v>
      </c>
      <c r="G775" t="s">
        <v>3751</v>
      </c>
      <c r="H775" t="s">
        <v>2023</v>
      </c>
      <c r="I775" t="s">
        <v>3752</v>
      </c>
      <c r="J775" t="s">
        <v>1963</v>
      </c>
      <c r="K775" t="s">
        <v>3760</v>
      </c>
      <c r="L775" t="s">
        <v>2046</v>
      </c>
      <c r="M775" t="s">
        <v>3754</v>
      </c>
      <c r="N775" t="s">
        <v>3755</v>
      </c>
      <c r="O775" t="s">
        <v>3754</v>
      </c>
      <c r="P775" t="s">
        <v>3755</v>
      </c>
      <c r="Q775" t="s">
        <v>2077</v>
      </c>
      <c r="R775" t="s">
        <v>14</v>
      </c>
      <c r="S775" t="s">
        <v>3756</v>
      </c>
      <c r="T775" t="s">
        <v>3757</v>
      </c>
      <c r="U775" t="s">
        <v>3758</v>
      </c>
      <c r="V775" t="s">
        <v>14</v>
      </c>
      <c r="W775" t="b">
        <v>0</v>
      </c>
      <c r="X775" t="s">
        <v>14</v>
      </c>
      <c r="Y775" t="b">
        <v>0</v>
      </c>
      <c r="Z775" t="s">
        <v>2053</v>
      </c>
    </row>
    <row r="776" spans="1:26" x14ac:dyDescent="0.35">
      <c r="A776" t="s">
        <v>431</v>
      </c>
      <c r="B776" t="s">
        <v>432</v>
      </c>
      <c r="C776" t="s">
        <v>2967</v>
      </c>
      <c r="D776" t="s">
        <v>1963</v>
      </c>
      <c r="E776" t="s">
        <v>2020</v>
      </c>
      <c r="F776" t="s">
        <v>2021</v>
      </c>
      <c r="G776" t="s">
        <v>2022</v>
      </c>
      <c r="H776" t="s">
        <v>2023</v>
      </c>
      <c r="I776" t="s">
        <v>3448</v>
      </c>
      <c r="J776" t="s">
        <v>1963</v>
      </c>
      <c r="K776" t="s">
        <v>3761</v>
      </c>
      <c r="L776" t="s">
        <v>2046</v>
      </c>
      <c r="M776" t="s">
        <v>3449</v>
      </c>
      <c r="N776" t="s">
        <v>3450</v>
      </c>
      <c r="O776" t="s">
        <v>2101</v>
      </c>
      <c r="P776" t="s">
        <v>2102</v>
      </c>
      <c r="Q776" t="s">
        <v>2103</v>
      </c>
      <c r="R776" t="s">
        <v>14</v>
      </c>
      <c r="S776" t="s">
        <v>2101</v>
      </c>
      <c r="T776" t="s">
        <v>2102</v>
      </c>
      <c r="U776" t="s">
        <v>2052</v>
      </c>
      <c r="V776" t="s">
        <v>14</v>
      </c>
      <c r="W776" t="b">
        <v>1</v>
      </c>
      <c r="X776" t="s">
        <v>3762</v>
      </c>
      <c r="Y776" t="b">
        <v>0</v>
      </c>
      <c r="Z776" t="s">
        <v>2053</v>
      </c>
    </row>
    <row r="777" spans="1:26" x14ac:dyDescent="0.35">
      <c r="A777" t="s">
        <v>433</v>
      </c>
      <c r="B777" t="s">
        <v>434</v>
      </c>
      <c r="C777" t="s">
        <v>3167</v>
      </c>
      <c r="D777" t="s">
        <v>1963</v>
      </c>
      <c r="E777" t="s">
        <v>2020</v>
      </c>
      <c r="F777" t="s">
        <v>2021</v>
      </c>
      <c r="G777" t="s">
        <v>2022</v>
      </c>
      <c r="H777" t="s">
        <v>2023</v>
      </c>
      <c r="I777" t="s">
        <v>1994</v>
      </c>
      <c r="J777" t="s">
        <v>1963</v>
      </c>
      <c r="K777" t="s">
        <v>3763</v>
      </c>
      <c r="L777" t="s">
        <v>2046</v>
      </c>
      <c r="M777" t="s">
        <v>3152</v>
      </c>
      <c r="N777" t="s">
        <v>3153</v>
      </c>
      <c r="O777" t="s">
        <v>3154</v>
      </c>
      <c r="P777" t="s">
        <v>3155</v>
      </c>
      <c r="Q777" t="s">
        <v>3156</v>
      </c>
      <c r="R777" t="s">
        <v>14</v>
      </c>
      <c r="S777" t="s">
        <v>3157</v>
      </c>
      <c r="T777" t="s">
        <v>3158</v>
      </c>
      <c r="U777" t="s">
        <v>3015</v>
      </c>
      <c r="V777" t="s">
        <v>14</v>
      </c>
      <c r="W777" t="b">
        <v>1</v>
      </c>
      <c r="X777" t="s">
        <v>3764</v>
      </c>
      <c r="Y777" t="b">
        <v>1</v>
      </c>
      <c r="Z777" t="s">
        <v>2032</v>
      </c>
    </row>
    <row r="778" spans="1:26" x14ac:dyDescent="0.35">
      <c r="A778" t="s">
        <v>435</v>
      </c>
      <c r="B778" t="s">
        <v>436</v>
      </c>
      <c r="C778" t="s">
        <v>3167</v>
      </c>
      <c r="D778" t="s">
        <v>1963</v>
      </c>
      <c r="E778" t="s">
        <v>2020</v>
      </c>
      <c r="F778" t="s">
        <v>2055</v>
      </c>
      <c r="G778" t="s">
        <v>2056</v>
      </c>
      <c r="H778" t="s">
        <v>2023</v>
      </c>
      <c r="I778" t="s">
        <v>3765</v>
      </c>
      <c r="J778" t="s">
        <v>1963</v>
      </c>
      <c r="K778" t="s">
        <v>3766</v>
      </c>
      <c r="L778" t="s">
        <v>2046</v>
      </c>
      <c r="M778" t="s">
        <v>3767</v>
      </c>
      <c r="N778" t="s">
        <v>3768</v>
      </c>
      <c r="O778" t="s">
        <v>2362</v>
      </c>
      <c r="P778" t="s">
        <v>2363</v>
      </c>
      <c r="Q778" t="s">
        <v>3004</v>
      </c>
      <c r="R778" t="s">
        <v>14</v>
      </c>
      <c r="S778" t="s">
        <v>3005</v>
      </c>
      <c r="T778" t="s">
        <v>3006</v>
      </c>
      <c r="U778" t="s">
        <v>2171</v>
      </c>
      <c r="V778" t="s">
        <v>14</v>
      </c>
      <c r="W778" t="b">
        <v>1</v>
      </c>
      <c r="X778" t="s">
        <v>3769</v>
      </c>
      <c r="Y778" t="b">
        <v>0</v>
      </c>
      <c r="Z778" t="s">
        <v>2081</v>
      </c>
    </row>
    <row r="779" spans="1:26" x14ac:dyDescent="0.35">
      <c r="A779" t="s">
        <v>437</v>
      </c>
      <c r="B779" t="s">
        <v>438</v>
      </c>
      <c r="C779" t="s">
        <v>2967</v>
      </c>
      <c r="D779" t="s">
        <v>1963</v>
      </c>
      <c r="E779" t="s">
        <v>2020</v>
      </c>
      <c r="F779" t="s">
        <v>2021</v>
      </c>
      <c r="G779" t="s">
        <v>2022</v>
      </c>
      <c r="H779" t="s">
        <v>2023</v>
      </c>
      <c r="I779" t="s">
        <v>3435</v>
      </c>
      <c r="J779" t="s">
        <v>1963</v>
      </c>
      <c r="K779" t="s">
        <v>3770</v>
      </c>
      <c r="L779" t="s">
        <v>2046</v>
      </c>
      <c r="M779" t="s">
        <v>3437</v>
      </c>
      <c r="N779" t="s">
        <v>3438</v>
      </c>
      <c r="O779" t="s">
        <v>2362</v>
      </c>
      <c r="P779" t="s">
        <v>2363</v>
      </c>
      <c r="Q779" t="s">
        <v>3004</v>
      </c>
      <c r="R779" t="s">
        <v>14</v>
      </c>
      <c r="S779" t="s">
        <v>3005</v>
      </c>
      <c r="T779" t="s">
        <v>3006</v>
      </c>
      <c r="U779" t="s">
        <v>2171</v>
      </c>
      <c r="V779" t="s">
        <v>14</v>
      </c>
      <c r="W779" t="b">
        <v>1</v>
      </c>
      <c r="X779" t="s">
        <v>3771</v>
      </c>
      <c r="Y779" t="b">
        <v>0</v>
      </c>
      <c r="Z779" t="s">
        <v>2081</v>
      </c>
    </row>
    <row r="780" spans="1:26" x14ac:dyDescent="0.35">
      <c r="A780" t="s">
        <v>439</v>
      </c>
      <c r="B780" t="s">
        <v>440</v>
      </c>
      <c r="C780" t="s">
        <v>3167</v>
      </c>
      <c r="D780" t="s">
        <v>1963</v>
      </c>
      <c r="E780" t="s">
        <v>2020</v>
      </c>
      <c r="F780" t="s">
        <v>2021</v>
      </c>
      <c r="G780" t="s">
        <v>2022</v>
      </c>
      <c r="H780" t="s">
        <v>2023</v>
      </c>
      <c r="I780" t="s">
        <v>1994</v>
      </c>
      <c r="J780" t="s">
        <v>1963</v>
      </c>
      <c r="K780" t="s">
        <v>3772</v>
      </c>
      <c r="L780" t="s">
        <v>2046</v>
      </c>
      <c r="M780" t="s">
        <v>3152</v>
      </c>
      <c r="N780" t="s">
        <v>3153</v>
      </c>
      <c r="O780" t="s">
        <v>3154</v>
      </c>
      <c r="P780" t="s">
        <v>3155</v>
      </c>
      <c r="Q780" t="s">
        <v>3156</v>
      </c>
      <c r="R780" t="s">
        <v>14</v>
      </c>
      <c r="S780" t="s">
        <v>3157</v>
      </c>
      <c r="T780" t="s">
        <v>3158</v>
      </c>
      <c r="U780" t="s">
        <v>3015</v>
      </c>
      <c r="V780" t="s">
        <v>14</v>
      </c>
      <c r="W780" t="b">
        <v>1</v>
      </c>
      <c r="X780" t="s">
        <v>3773</v>
      </c>
      <c r="Y780" t="b">
        <v>1</v>
      </c>
      <c r="Z780" t="s">
        <v>2032</v>
      </c>
    </row>
    <row r="781" spans="1:26" x14ac:dyDescent="0.35">
      <c r="A781" t="s">
        <v>441</v>
      </c>
      <c r="B781" t="s">
        <v>442</v>
      </c>
      <c r="C781" t="s">
        <v>2967</v>
      </c>
      <c r="D781" t="s">
        <v>1963</v>
      </c>
      <c r="E781" t="s">
        <v>2020</v>
      </c>
      <c r="F781" t="s">
        <v>2021</v>
      </c>
      <c r="G781" t="s">
        <v>2022</v>
      </c>
      <c r="H781" t="s">
        <v>2023</v>
      </c>
      <c r="I781" t="s">
        <v>3718</v>
      </c>
      <c r="J781" t="s">
        <v>1963</v>
      </c>
      <c r="K781" t="s">
        <v>3774</v>
      </c>
      <c r="L781" t="s">
        <v>2046</v>
      </c>
      <c r="M781" t="s">
        <v>3720</v>
      </c>
      <c r="N781" t="s">
        <v>3721</v>
      </c>
      <c r="O781" t="s">
        <v>3722</v>
      </c>
      <c r="P781" t="s">
        <v>3723</v>
      </c>
      <c r="Q781" t="s">
        <v>14</v>
      </c>
      <c r="R781" t="s">
        <v>14</v>
      </c>
      <c r="S781" t="s">
        <v>3724</v>
      </c>
      <c r="T781" t="s">
        <v>3725</v>
      </c>
      <c r="U781" t="s">
        <v>2233</v>
      </c>
      <c r="V781" t="s">
        <v>14</v>
      </c>
      <c r="W781" t="b">
        <v>1</v>
      </c>
      <c r="X781" t="s">
        <v>3775</v>
      </c>
      <c r="Y781" t="b">
        <v>0</v>
      </c>
      <c r="Z781" t="s">
        <v>2053</v>
      </c>
    </row>
    <row r="782" spans="1:26" x14ac:dyDescent="0.35">
      <c r="A782" t="s">
        <v>443</v>
      </c>
      <c r="B782" t="s">
        <v>444</v>
      </c>
      <c r="C782" t="s">
        <v>2967</v>
      </c>
      <c r="D782" t="s">
        <v>1963</v>
      </c>
      <c r="E782" t="s">
        <v>2020</v>
      </c>
      <c r="F782" t="s">
        <v>2021</v>
      </c>
      <c r="G782" t="s">
        <v>2022</v>
      </c>
      <c r="H782" t="s">
        <v>2023</v>
      </c>
      <c r="I782" t="s">
        <v>3718</v>
      </c>
      <c r="J782" t="s">
        <v>1963</v>
      </c>
      <c r="K782" t="s">
        <v>3776</v>
      </c>
      <c r="L782" t="s">
        <v>2046</v>
      </c>
      <c r="M782" t="s">
        <v>3720</v>
      </c>
      <c r="N782" t="s">
        <v>3721</v>
      </c>
      <c r="O782" t="s">
        <v>3722</v>
      </c>
      <c r="P782" t="s">
        <v>3723</v>
      </c>
      <c r="Q782" t="s">
        <v>14</v>
      </c>
      <c r="R782" t="s">
        <v>14</v>
      </c>
      <c r="S782" t="s">
        <v>3724</v>
      </c>
      <c r="T782" t="s">
        <v>3725</v>
      </c>
      <c r="U782" t="s">
        <v>2233</v>
      </c>
      <c r="V782" t="s">
        <v>14</v>
      </c>
      <c r="W782" t="b">
        <v>1</v>
      </c>
      <c r="X782" t="s">
        <v>3777</v>
      </c>
      <c r="Y782" t="b">
        <v>0</v>
      </c>
      <c r="Z782" t="s">
        <v>2053</v>
      </c>
    </row>
    <row r="783" spans="1:26" x14ac:dyDescent="0.35">
      <c r="A783" t="s">
        <v>445</v>
      </c>
      <c r="B783" t="s">
        <v>446</v>
      </c>
      <c r="C783" t="s">
        <v>3167</v>
      </c>
      <c r="D783" t="s">
        <v>1963</v>
      </c>
      <c r="E783" t="s">
        <v>2020</v>
      </c>
      <c r="F783" t="s">
        <v>2021</v>
      </c>
      <c r="G783" t="s">
        <v>2022</v>
      </c>
      <c r="H783" t="s">
        <v>2023</v>
      </c>
      <c r="I783" t="s">
        <v>3778</v>
      </c>
      <c r="J783" t="s">
        <v>1963</v>
      </c>
      <c r="K783" t="s">
        <v>3779</v>
      </c>
      <c r="L783" t="s">
        <v>2046</v>
      </c>
      <c r="M783" t="s">
        <v>2214</v>
      </c>
      <c r="N783" t="s">
        <v>2215</v>
      </c>
      <c r="O783" t="s">
        <v>2214</v>
      </c>
      <c r="P783" t="s">
        <v>2215</v>
      </c>
      <c r="Q783" t="s">
        <v>14</v>
      </c>
      <c r="R783" t="s">
        <v>14</v>
      </c>
      <c r="S783" t="s">
        <v>14</v>
      </c>
      <c r="T783" t="s">
        <v>14</v>
      </c>
      <c r="U783" t="s">
        <v>2052</v>
      </c>
      <c r="V783" t="s">
        <v>14</v>
      </c>
      <c r="W783" t="b">
        <v>1</v>
      </c>
      <c r="X783" t="s">
        <v>3780</v>
      </c>
      <c r="Y783" t="b">
        <v>0</v>
      </c>
      <c r="Z783" t="s">
        <v>2053</v>
      </c>
    </row>
    <row r="784" spans="1:26" x14ac:dyDescent="0.35">
      <c r="A784" t="s">
        <v>447</v>
      </c>
      <c r="B784" t="s">
        <v>448</v>
      </c>
      <c r="C784" t="s">
        <v>2967</v>
      </c>
      <c r="D784" t="s">
        <v>1963</v>
      </c>
      <c r="E784" t="s">
        <v>2020</v>
      </c>
      <c r="F784" t="s">
        <v>2021</v>
      </c>
      <c r="G784" t="s">
        <v>2022</v>
      </c>
      <c r="H784" t="s">
        <v>2023</v>
      </c>
      <c r="I784" t="s">
        <v>3781</v>
      </c>
      <c r="J784" t="s">
        <v>1963</v>
      </c>
      <c r="K784" t="s">
        <v>3782</v>
      </c>
      <c r="L784" t="s">
        <v>2046</v>
      </c>
      <c r="M784" t="s">
        <v>2026</v>
      </c>
      <c r="N784" t="s">
        <v>2027</v>
      </c>
      <c r="O784" t="s">
        <v>3783</v>
      </c>
      <c r="P784" t="s">
        <v>3784</v>
      </c>
      <c r="Q784" t="s">
        <v>14</v>
      </c>
      <c r="R784" t="s">
        <v>14</v>
      </c>
      <c r="S784" t="s">
        <v>14</v>
      </c>
      <c r="T784" t="s">
        <v>14</v>
      </c>
      <c r="U784" t="s">
        <v>2030</v>
      </c>
      <c r="V784" t="s">
        <v>14</v>
      </c>
      <c r="W784" t="b">
        <v>1</v>
      </c>
      <c r="X784" t="s">
        <v>3785</v>
      </c>
      <c r="Y784" t="b">
        <v>0</v>
      </c>
      <c r="Z784" t="s">
        <v>2081</v>
      </c>
    </row>
    <row r="785" spans="1:26" x14ac:dyDescent="0.35">
      <c r="A785" t="s">
        <v>447</v>
      </c>
      <c r="B785" t="s">
        <v>448</v>
      </c>
      <c r="C785" t="s">
        <v>2967</v>
      </c>
      <c r="D785" t="s">
        <v>1963</v>
      </c>
      <c r="E785" t="s">
        <v>2020</v>
      </c>
      <c r="F785" t="s">
        <v>2021</v>
      </c>
      <c r="G785" t="s">
        <v>2022</v>
      </c>
      <c r="H785" t="s">
        <v>2023</v>
      </c>
      <c r="I785" t="s">
        <v>3786</v>
      </c>
      <c r="J785" t="s">
        <v>1963</v>
      </c>
      <c r="K785" t="s">
        <v>3782</v>
      </c>
      <c r="L785" t="s">
        <v>2046</v>
      </c>
      <c r="M785" t="s">
        <v>2026</v>
      </c>
      <c r="N785" t="s">
        <v>2027</v>
      </c>
      <c r="O785" t="s">
        <v>3783</v>
      </c>
      <c r="P785" t="s">
        <v>3784</v>
      </c>
      <c r="Q785" t="s">
        <v>14</v>
      </c>
      <c r="R785" t="s">
        <v>14</v>
      </c>
      <c r="S785" t="s">
        <v>3083</v>
      </c>
      <c r="T785" t="s">
        <v>3084</v>
      </c>
      <c r="U785" t="s">
        <v>2030</v>
      </c>
      <c r="V785" t="s">
        <v>14</v>
      </c>
      <c r="W785" t="b">
        <v>1</v>
      </c>
      <c r="X785" t="s">
        <v>3785</v>
      </c>
      <c r="Y785" t="b">
        <v>0</v>
      </c>
      <c r="Z785" t="s">
        <v>2081</v>
      </c>
    </row>
    <row r="786" spans="1:26" x14ac:dyDescent="0.35">
      <c r="A786" t="s">
        <v>449</v>
      </c>
      <c r="B786" t="s">
        <v>450</v>
      </c>
      <c r="C786" t="s">
        <v>2967</v>
      </c>
      <c r="D786" t="s">
        <v>1963</v>
      </c>
      <c r="E786" t="s">
        <v>2020</v>
      </c>
      <c r="F786" t="s">
        <v>2021</v>
      </c>
      <c r="G786" t="s">
        <v>2022</v>
      </c>
      <c r="H786" t="s">
        <v>2023</v>
      </c>
      <c r="I786" t="s">
        <v>3786</v>
      </c>
      <c r="J786" t="s">
        <v>1963</v>
      </c>
      <c r="K786" t="s">
        <v>3787</v>
      </c>
      <c r="L786" t="s">
        <v>2046</v>
      </c>
      <c r="M786" t="s">
        <v>2026</v>
      </c>
      <c r="N786" t="s">
        <v>2027</v>
      </c>
      <c r="O786" t="s">
        <v>3783</v>
      </c>
      <c r="P786" t="s">
        <v>3784</v>
      </c>
      <c r="Q786" t="s">
        <v>14</v>
      </c>
      <c r="R786" t="s">
        <v>14</v>
      </c>
      <c r="S786" t="s">
        <v>3083</v>
      </c>
      <c r="T786" t="s">
        <v>3084</v>
      </c>
      <c r="U786" t="s">
        <v>2030</v>
      </c>
      <c r="V786" t="s">
        <v>14</v>
      </c>
      <c r="W786" t="b">
        <v>1</v>
      </c>
      <c r="X786" t="s">
        <v>3788</v>
      </c>
      <c r="Y786" t="b">
        <v>0</v>
      </c>
      <c r="Z786" t="s">
        <v>2081</v>
      </c>
    </row>
    <row r="787" spans="1:26" x14ac:dyDescent="0.35">
      <c r="A787" t="s">
        <v>449</v>
      </c>
      <c r="B787" t="s">
        <v>450</v>
      </c>
      <c r="C787" t="s">
        <v>2967</v>
      </c>
      <c r="D787" t="s">
        <v>1963</v>
      </c>
      <c r="E787" t="s">
        <v>2020</v>
      </c>
      <c r="F787" t="s">
        <v>2021</v>
      </c>
      <c r="G787" t="s">
        <v>2022</v>
      </c>
      <c r="H787" t="s">
        <v>2023</v>
      </c>
      <c r="I787" t="s">
        <v>3781</v>
      </c>
      <c r="J787" t="s">
        <v>1963</v>
      </c>
      <c r="K787" t="s">
        <v>3787</v>
      </c>
      <c r="L787" t="s">
        <v>2046</v>
      </c>
      <c r="M787" t="s">
        <v>2026</v>
      </c>
      <c r="N787" t="s">
        <v>2027</v>
      </c>
      <c r="O787" t="s">
        <v>3783</v>
      </c>
      <c r="P787" t="s">
        <v>3784</v>
      </c>
      <c r="Q787" t="s">
        <v>14</v>
      </c>
      <c r="R787" t="s">
        <v>14</v>
      </c>
      <c r="S787" t="s">
        <v>14</v>
      </c>
      <c r="T787" t="s">
        <v>14</v>
      </c>
      <c r="U787" t="s">
        <v>2030</v>
      </c>
      <c r="V787" t="s">
        <v>14</v>
      </c>
      <c r="W787" t="b">
        <v>1</v>
      </c>
      <c r="X787" t="s">
        <v>3788</v>
      </c>
      <c r="Y787" t="b">
        <v>0</v>
      </c>
      <c r="Z787" t="s">
        <v>2081</v>
      </c>
    </row>
    <row r="788" spans="1:26" x14ac:dyDescent="0.35">
      <c r="A788" t="s">
        <v>451</v>
      </c>
      <c r="B788" t="s">
        <v>452</v>
      </c>
      <c r="C788" t="s">
        <v>3167</v>
      </c>
      <c r="D788" t="s">
        <v>1963</v>
      </c>
      <c r="E788" t="s">
        <v>2020</v>
      </c>
      <c r="F788" t="s">
        <v>2021</v>
      </c>
      <c r="G788" t="s">
        <v>2022</v>
      </c>
      <c r="H788" t="s">
        <v>2023</v>
      </c>
      <c r="I788" t="s">
        <v>3786</v>
      </c>
      <c r="J788" t="s">
        <v>1963</v>
      </c>
      <c r="K788" t="s">
        <v>3789</v>
      </c>
      <c r="L788" t="s">
        <v>2046</v>
      </c>
      <c r="M788" t="s">
        <v>2026</v>
      </c>
      <c r="N788" t="s">
        <v>2027</v>
      </c>
      <c r="O788" t="s">
        <v>3783</v>
      </c>
      <c r="P788" t="s">
        <v>3784</v>
      </c>
      <c r="Q788" t="s">
        <v>14</v>
      </c>
      <c r="R788" t="s">
        <v>14</v>
      </c>
      <c r="S788" t="s">
        <v>3083</v>
      </c>
      <c r="T788" t="s">
        <v>3084</v>
      </c>
      <c r="U788" t="s">
        <v>2030</v>
      </c>
      <c r="V788" t="s">
        <v>14</v>
      </c>
      <c r="W788" t="b">
        <v>1</v>
      </c>
      <c r="X788" t="s">
        <v>3790</v>
      </c>
      <c r="Y788" t="b">
        <v>0</v>
      </c>
      <c r="Z788" t="s">
        <v>2081</v>
      </c>
    </row>
    <row r="789" spans="1:26" x14ac:dyDescent="0.35">
      <c r="A789" t="s">
        <v>451</v>
      </c>
      <c r="B789" t="s">
        <v>452</v>
      </c>
      <c r="C789" t="s">
        <v>3167</v>
      </c>
      <c r="D789" t="s">
        <v>1963</v>
      </c>
      <c r="E789" t="s">
        <v>2020</v>
      </c>
      <c r="F789" t="s">
        <v>2021</v>
      </c>
      <c r="G789" t="s">
        <v>2022</v>
      </c>
      <c r="H789" t="s">
        <v>2023</v>
      </c>
      <c r="I789" t="s">
        <v>3781</v>
      </c>
      <c r="J789" t="s">
        <v>1963</v>
      </c>
      <c r="K789" t="s">
        <v>3789</v>
      </c>
      <c r="L789" t="s">
        <v>2046</v>
      </c>
      <c r="M789" t="s">
        <v>2026</v>
      </c>
      <c r="N789" t="s">
        <v>2027</v>
      </c>
      <c r="O789" t="s">
        <v>3783</v>
      </c>
      <c r="P789" t="s">
        <v>3784</v>
      </c>
      <c r="Q789" t="s">
        <v>14</v>
      </c>
      <c r="R789" t="s">
        <v>14</v>
      </c>
      <c r="S789" t="s">
        <v>14</v>
      </c>
      <c r="T789" t="s">
        <v>14</v>
      </c>
      <c r="U789" t="s">
        <v>2030</v>
      </c>
      <c r="V789" t="s">
        <v>14</v>
      </c>
      <c r="W789" t="b">
        <v>1</v>
      </c>
      <c r="X789" t="s">
        <v>3790</v>
      </c>
      <c r="Y789" t="b">
        <v>0</v>
      </c>
      <c r="Z789" t="s">
        <v>2081</v>
      </c>
    </row>
    <row r="790" spans="1:26" x14ac:dyDescent="0.35">
      <c r="A790" t="s">
        <v>453</v>
      </c>
      <c r="B790" t="s">
        <v>454</v>
      </c>
      <c r="C790" t="s">
        <v>3167</v>
      </c>
      <c r="D790" t="s">
        <v>1963</v>
      </c>
      <c r="E790" t="s">
        <v>2020</v>
      </c>
      <c r="F790" t="s">
        <v>2021</v>
      </c>
      <c r="G790" t="s">
        <v>2022</v>
      </c>
      <c r="H790" t="s">
        <v>2023</v>
      </c>
      <c r="I790" t="s">
        <v>3781</v>
      </c>
      <c r="J790" t="s">
        <v>1963</v>
      </c>
      <c r="K790" t="s">
        <v>3791</v>
      </c>
      <c r="L790" t="s">
        <v>2046</v>
      </c>
      <c r="M790" t="s">
        <v>2026</v>
      </c>
      <c r="N790" t="s">
        <v>2027</v>
      </c>
      <c r="O790" t="s">
        <v>3783</v>
      </c>
      <c r="P790" t="s">
        <v>3784</v>
      </c>
      <c r="Q790" t="s">
        <v>14</v>
      </c>
      <c r="R790" t="s">
        <v>14</v>
      </c>
      <c r="S790" t="s">
        <v>14</v>
      </c>
      <c r="T790" t="s">
        <v>14</v>
      </c>
      <c r="U790" t="s">
        <v>2030</v>
      </c>
      <c r="V790" t="s">
        <v>14</v>
      </c>
      <c r="W790" t="b">
        <v>1</v>
      </c>
      <c r="X790" t="s">
        <v>3792</v>
      </c>
      <c r="Y790" t="b">
        <v>0</v>
      </c>
      <c r="Z790" t="s">
        <v>2081</v>
      </c>
    </row>
    <row r="791" spans="1:26" x14ac:dyDescent="0.35">
      <c r="A791" t="s">
        <v>453</v>
      </c>
      <c r="B791" t="s">
        <v>454</v>
      </c>
      <c r="C791" t="s">
        <v>3167</v>
      </c>
      <c r="D791" t="s">
        <v>1963</v>
      </c>
      <c r="E791" t="s">
        <v>2020</v>
      </c>
      <c r="F791" t="s">
        <v>2021</v>
      </c>
      <c r="G791" t="s">
        <v>2022</v>
      </c>
      <c r="H791" t="s">
        <v>2023</v>
      </c>
      <c r="I791" t="s">
        <v>3786</v>
      </c>
      <c r="J791" t="s">
        <v>1963</v>
      </c>
      <c r="K791" t="s">
        <v>3791</v>
      </c>
      <c r="L791" t="s">
        <v>2046</v>
      </c>
      <c r="M791" t="s">
        <v>2026</v>
      </c>
      <c r="N791" t="s">
        <v>2027</v>
      </c>
      <c r="O791" t="s">
        <v>3783</v>
      </c>
      <c r="P791" t="s">
        <v>3784</v>
      </c>
      <c r="Q791" t="s">
        <v>14</v>
      </c>
      <c r="R791" t="s">
        <v>14</v>
      </c>
      <c r="S791" t="s">
        <v>3083</v>
      </c>
      <c r="T791" t="s">
        <v>3084</v>
      </c>
      <c r="U791" t="s">
        <v>2030</v>
      </c>
      <c r="V791" t="s">
        <v>14</v>
      </c>
      <c r="W791" t="b">
        <v>1</v>
      </c>
      <c r="X791" t="s">
        <v>3792</v>
      </c>
      <c r="Y791" t="b">
        <v>0</v>
      </c>
      <c r="Z791" t="s">
        <v>2081</v>
      </c>
    </row>
    <row r="792" spans="1:26" x14ac:dyDescent="0.35">
      <c r="A792" t="s">
        <v>455</v>
      </c>
      <c r="B792" t="s">
        <v>456</v>
      </c>
      <c r="C792" t="s">
        <v>3167</v>
      </c>
      <c r="D792" t="s">
        <v>1963</v>
      </c>
      <c r="E792" t="s">
        <v>2020</v>
      </c>
      <c r="F792" t="s">
        <v>2021</v>
      </c>
      <c r="G792" t="s">
        <v>2022</v>
      </c>
      <c r="H792" t="s">
        <v>2023</v>
      </c>
      <c r="I792" t="s">
        <v>2197</v>
      </c>
      <c r="J792" t="s">
        <v>1963</v>
      </c>
      <c r="K792" t="s">
        <v>3793</v>
      </c>
      <c r="L792" t="s">
        <v>2046</v>
      </c>
      <c r="M792" t="s">
        <v>2120</v>
      </c>
      <c r="N792" t="s">
        <v>2121</v>
      </c>
      <c r="O792" t="s">
        <v>2060</v>
      </c>
      <c r="P792" t="s">
        <v>2061</v>
      </c>
      <c r="Q792" t="s">
        <v>2122</v>
      </c>
      <c r="R792" t="s">
        <v>14</v>
      </c>
      <c r="S792" t="s">
        <v>2123</v>
      </c>
      <c r="T792" t="s">
        <v>2124</v>
      </c>
      <c r="U792" t="s">
        <v>2052</v>
      </c>
      <c r="V792" t="s">
        <v>14</v>
      </c>
      <c r="W792" t="b">
        <v>1</v>
      </c>
      <c r="X792" t="s">
        <v>3794</v>
      </c>
      <c r="Y792" t="b">
        <v>0</v>
      </c>
      <c r="Z792" t="s">
        <v>2032</v>
      </c>
    </row>
    <row r="793" spans="1:26" x14ac:dyDescent="0.35">
      <c r="A793" t="s">
        <v>455</v>
      </c>
      <c r="B793" t="s">
        <v>456</v>
      </c>
      <c r="C793" t="s">
        <v>3167</v>
      </c>
      <c r="D793" t="s">
        <v>1963</v>
      </c>
      <c r="E793" t="s">
        <v>2020</v>
      </c>
      <c r="F793" t="s">
        <v>2021</v>
      </c>
      <c r="G793" t="s">
        <v>2022</v>
      </c>
      <c r="H793" t="s">
        <v>2023</v>
      </c>
      <c r="I793" t="s">
        <v>2199</v>
      </c>
      <c r="J793" t="s">
        <v>1963</v>
      </c>
      <c r="K793" t="s">
        <v>3793</v>
      </c>
      <c r="L793" t="s">
        <v>2046</v>
      </c>
      <c r="M793" t="s">
        <v>2120</v>
      </c>
      <c r="N793" t="s">
        <v>2121</v>
      </c>
      <c r="O793" t="s">
        <v>2060</v>
      </c>
      <c r="P793" t="s">
        <v>2061</v>
      </c>
      <c r="Q793" t="s">
        <v>2122</v>
      </c>
      <c r="R793" t="s">
        <v>14</v>
      </c>
      <c r="S793" t="s">
        <v>2200</v>
      </c>
      <c r="T793" t="s">
        <v>2201</v>
      </c>
      <c r="U793" t="s">
        <v>2052</v>
      </c>
      <c r="V793" t="s">
        <v>14</v>
      </c>
      <c r="W793" t="b">
        <v>1</v>
      </c>
      <c r="X793" t="s">
        <v>3794</v>
      </c>
      <c r="Y793" t="b">
        <v>0</v>
      </c>
      <c r="Z793" t="s">
        <v>2053</v>
      </c>
    </row>
    <row r="794" spans="1:26" x14ac:dyDescent="0.35">
      <c r="A794" t="s">
        <v>455</v>
      </c>
      <c r="B794" t="s">
        <v>456</v>
      </c>
      <c r="C794" t="s">
        <v>3167</v>
      </c>
      <c r="D794" t="s">
        <v>1963</v>
      </c>
      <c r="E794" t="s">
        <v>2020</v>
      </c>
      <c r="F794" t="s">
        <v>2021</v>
      </c>
      <c r="G794" t="s">
        <v>2022</v>
      </c>
      <c r="H794" t="s">
        <v>2023</v>
      </c>
      <c r="I794" t="s">
        <v>2197</v>
      </c>
      <c r="J794" t="s">
        <v>1963</v>
      </c>
      <c r="K794" t="s">
        <v>3793</v>
      </c>
      <c r="L794" t="s">
        <v>2046</v>
      </c>
      <c r="M794" t="s">
        <v>2120</v>
      </c>
      <c r="N794" t="s">
        <v>2121</v>
      </c>
      <c r="O794" t="s">
        <v>2060</v>
      </c>
      <c r="P794" t="s">
        <v>2061</v>
      </c>
      <c r="Q794" t="s">
        <v>2122</v>
      </c>
      <c r="R794" t="s">
        <v>14</v>
      </c>
      <c r="S794" t="s">
        <v>2123</v>
      </c>
      <c r="T794" t="s">
        <v>2124</v>
      </c>
      <c r="U794" t="s">
        <v>2052</v>
      </c>
      <c r="V794" t="s">
        <v>14</v>
      </c>
      <c r="W794" t="b">
        <v>1</v>
      </c>
      <c r="X794" t="s">
        <v>3794</v>
      </c>
      <c r="Y794" t="b">
        <v>0</v>
      </c>
      <c r="Z794" t="s">
        <v>2032</v>
      </c>
    </row>
    <row r="795" spans="1:26" x14ac:dyDescent="0.35">
      <c r="A795" t="s">
        <v>457</v>
      </c>
      <c r="B795" t="s">
        <v>458</v>
      </c>
      <c r="C795" t="s">
        <v>3167</v>
      </c>
      <c r="D795" t="s">
        <v>1963</v>
      </c>
      <c r="E795" t="s">
        <v>2020</v>
      </c>
      <c r="F795" t="s">
        <v>2021</v>
      </c>
      <c r="G795" t="s">
        <v>2022</v>
      </c>
      <c r="H795" t="s">
        <v>2023</v>
      </c>
      <c r="I795" t="s">
        <v>3795</v>
      </c>
      <c r="J795" t="s">
        <v>1963</v>
      </c>
      <c r="K795" t="s">
        <v>3796</v>
      </c>
      <c r="L795" t="s">
        <v>2046</v>
      </c>
      <c r="M795" t="s">
        <v>3041</v>
      </c>
      <c r="N795" t="s">
        <v>3042</v>
      </c>
      <c r="O795" t="s">
        <v>3013</v>
      </c>
      <c r="P795" t="s">
        <v>3014</v>
      </c>
      <c r="Q795" t="s">
        <v>3797</v>
      </c>
      <c r="R795" t="s">
        <v>14</v>
      </c>
      <c r="S795" t="s">
        <v>3798</v>
      </c>
      <c r="T795" t="s">
        <v>3799</v>
      </c>
      <c r="U795" t="s">
        <v>3015</v>
      </c>
      <c r="V795" t="s">
        <v>14</v>
      </c>
      <c r="W795" t="b">
        <v>1</v>
      </c>
      <c r="X795" t="s">
        <v>3800</v>
      </c>
      <c r="Y795" t="b">
        <v>1</v>
      </c>
      <c r="Z795" t="s">
        <v>2032</v>
      </c>
    </row>
    <row r="796" spans="1:26" x14ac:dyDescent="0.35">
      <c r="A796" t="s">
        <v>457</v>
      </c>
      <c r="B796" t="s">
        <v>458</v>
      </c>
      <c r="C796" t="s">
        <v>3167</v>
      </c>
      <c r="D796" t="s">
        <v>1963</v>
      </c>
      <c r="E796" t="s">
        <v>2020</v>
      </c>
      <c r="F796" t="s">
        <v>2021</v>
      </c>
      <c r="G796" t="s">
        <v>2022</v>
      </c>
      <c r="H796" t="s">
        <v>2023</v>
      </c>
      <c r="I796" t="s">
        <v>3801</v>
      </c>
      <c r="J796" t="s">
        <v>1963</v>
      </c>
      <c r="K796" t="s">
        <v>3796</v>
      </c>
      <c r="L796" t="s">
        <v>2046</v>
      </c>
      <c r="M796" t="s">
        <v>3041</v>
      </c>
      <c r="N796" t="s">
        <v>3042</v>
      </c>
      <c r="O796" t="s">
        <v>3013</v>
      </c>
      <c r="P796" t="s">
        <v>3014</v>
      </c>
      <c r="Q796" t="s">
        <v>3797</v>
      </c>
      <c r="R796" t="s">
        <v>14</v>
      </c>
      <c r="S796" t="s">
        <v>3798</v>
      </c>
      <c r="T796" t="s">
        <v>3799</v>
      </c>
      <c r="U796" t="s">
        <v>3015</v>
      </c>
      <c r="V796" t="s">
        <v>14</v>
      </c>
      <c r="W796" t="b">
        <v>1</v>
      </c>
      <c r="X796" t="s">
        <v>3800</v>
      </c>
      <c r="Y796" t="b">
        <v>0</v>
      </c>
      <c r="Z796" t="s">
        <v>2032</v>
      </c>
    </row>
    <row r="797" spans="1:26" x14ac:dyDescent="0.35">
      <c r="A797" t="s">
        <v>459</v>
      </c>
      <c r="B797" t="s">
        <v>460</v>
      </c>
      <c r="C797" t="s">
        <v>3167</v>
      </c>
      <c r="D797" t="s">
        <v>1963</v>
      </c>
      <c r="E797" t="s">
        <v>2020</v>
      </c>
      <c r="F797" t="s">
        <v>2021</v>
      </c>
      <c r="G797" t="s">
        <v>2022</v>
      </c>
      <c r="H797" t="s">
        <v>2023</v>
      </c>
      <c r="I797" t="s">
        <v>3801</v>
      </c>
      <c r="J797" t="s">
        <v>1963</v>
      </c>
      <c r="K797" t="s">
        <v>3802</v>
      </c>
      <c r="L797" t="s">
        <v>2046</v>
      </c>
      <c r="M797" t="s">
        <v>3041</v>
      </c>
      <c r="N797" t="s">
        <v>3042</v>
      </c>
      <c r="O797" t="s">
        <v>3013</v>
      </c>
      <c r="P797" t="s">
        <v>3014</v>
      </c>
      <c r="Q797" t="s">
        <v>3797</v>
      </c>
      <c r="R797" t="s">
        <v>14</v>
      </c>
      <c r="S797" t="s">
        <v>3798</v>
      </c>
      <c r="T797" t="s">
        <v>3799</v>
      </c>
      <c r="U797" t="s">
        <v>3015</v>
      </c>
      <c r="V797" t="s">
        <v>14</v>
      </c>
      <c r="W797" t="b">
        <v>1</v>
      </c>
      <c r="X797" t="s">
        <v>3803</v>
      </c>
      <c r="Y797" t="b">
        <v>0</v>
      </c>
      <c r="Z797" t="s">
        <v>2032</v>
      </c>
    </row>
    <row r="798" spans="1:26" x14ac:dyDescent="0.35">
      <c r="A798" t="s">
        <v>459</v>
      </c>
      <c r="B798" t="s">
        <v>460</v>
      </c>
      <c r="C798" t="s">
        <v>3167</v>
      </c>
      <c r="D798" t="s">
        <v>1963</v>
      </c>
      <c r="E798" t="s">
        <v>2020</v>
      </c>
      <c r="F798" t="s">
        <v>2021</v>
      </c>
      <c r="G798" t="s">
        <v>2022</v>
      </c>
      <c r="H798" t="s">
        <v>2023</v>
      </c>
      <c r="I798" t="s">
        <v>3795</v>
      </c>
      <c r="J798" t="s">
        <v>1963</v>
      </c>
      <c r="K798" t="s">
        <v>3802</v>
      </c>
      <c r="L798" t="s">
        <v>2046</v>
      </c>
      <c r="M798" t="s">
        <v>3041</v>
      </c>
      <c r="N798" t="s">
        <v>3042</v>
      </c>
      <c r="O798" t="s">
        <v>3013</v>
      </c>
      <c r="P798" t="s">
        <v>3014</v>
      </c>
      <c r="Q798" t="s">
        <v>3797</v>
      </c>
      <c r="R798" t="s">
        <v>14</v>
      </c>
      <c r="S798" t="s">
        <v>3798</v>
      </c>
      <c r="T798" t="s">
        <v>3799</v>
      </c>
      <c r="U798" t="s">
        <v>3015</v>
      </c>
      <c r="V798" t="s">
        <v>14</v>
      </c>
      <c r="W798" t="b">
        <v>1</v>
      </c>
      <c r="X798" t="s">
        <v>3803</v>
      </c>
      <c r="Y798" t="b">
        <v>1</v>
      </c>
      <c r="Z798" t="s">
        <v>2032</v>
      </c>
    </row>
    <row r="799" spans="1:26" x14ac:dyDescent="0.35">
      <c r="A799" t="s">
        <v>461</v>
      </c>
      <c r="B799" t="s">
        <v>462</v>
      </c>
      <c r="C799" t="s">
        <v>3167</v>
      </c>
      <c r="D799" t="s">
        <v>1963</v>
      </c>
      <c r="E799" t="s">
        <v>2020</v>
      </c>
      <c r="F799" t="s">
        <v>2021</v>
      </c>
      <c r="G799" t="s">
        <v>2022</v>
      </c>
      <c r="H799" t="s">
        <v>2023</v>
      </c>
      <c r="I799" t="s">
        <v>3804</v>
      </c>
      <c r="J799" t="s">
        <v>1963</v>
      </c>
      <c r="K799" t="s">
        <v>3805</v>
      </c>
      <c r="L799" t="s">
        <v>2046</v>
      </c>
      <c r="M799" t="s">
        <v>3806</v>
      </c>
      <c r="N799" t="s">
        <v>3807</v>
      </c>
      <c r="O799" t="s">
        <v>3579</v>
      </c>
      <c r="P799" t="s">
        <v>3580</v>
      </c>
      <c r="Q799" t="s">
        <v>14</v>
      </c>
      <c r="R799" t="s">
        <v>14</v>
      </c>
      <c r="S799" t="s">
        <v>3808</v>
      </c>
      <c r="T799" t="s">
        <v>3809</v>
      </c>
      <c r="U799" t="s">
        <v>2390</v>
      </c>
      <c r="V799" t="s">
        <v>14</v>
      </c>
      <c r="W799" t="b">
        <v>1</v>
      </c>
      <c r="X799" t="s">
        <v>3810</v>
      </c>
      <c r="Y799" t="b">
        <v>0</v>
      </c>
      <c r="Z799" t="s">
        <v>2032</v>
      </c>
    </row>
    <row r="800" spans="1:26" x14ac:dyDescent="0.35">
      <c r="A800" t="s">
        <v>461</v>
      </c>
      <c r="B800" t="s">
        <v>462</v>
      </c>
      <c r="C800" t="s">
        <v>3167</v>
      </c>
      <c r="D800" t="s">
        <v>1963</v>
      </c>
      <c r="E800" t="s">
        <v>2020</v>
      </c>
      <c r="F800" t="s">
        <v>2021</v>
      </c>
      <c r="G800" t="s">
        <v>2022</v>
      </c>
      <c r="H800" t="s">
        <v>2023</v>
      </c>
      <c r="I800" t="s">
        <v>3811</v>
      </c>
      <c r="J800" t="s">
        <v>1963</v>
      </c>
      <c r="K800" t="s">
        <v>3805</v>
      </c>
      <c r="L800" t="s">
        <v>2046</v>
      </c>
      <c r="M800" t="s">
        <v>3152</v>
      </c>
      <c r="N800" t="s">
        <v>3153</v>
      </c>
      <c r="O800" t="s">
        <v>3536</v>
      </c>
      <c r="P800" t="s">
        <v>3537</v>
      </c>
      <c r="Q800" t="s">
        <v>3566</v>
      </c>
      <c r="R800" t="s">
        <v>14</v>
      </c>
      <c r="S800" t="s">
        <v>3539</v>
      </c>
      <c r="T800" t="s">
        <v>3540</v>
      </c>
      <c r="U800" t="s">
        <v>3015</v>
      </c>
      <c r="V800" t="s">
        <v>14</v>
      </c>
      <c r="W800" t="b">
        <v>1</v>
      </c>
      <c r="X800" t="s">
        <v>3810</v>
      </c>
      <c r="Y800" t="b">
        <v>0</v>
      </c>
      <c r="Z800" t="s">
        <v>2081</v>
      </c>
    </row>
    <row r="801" spans="1:26" x14ac:dyDescent="0.35">
      <c r="A801" t="s">
        <v>461</v>
      </c>
      <c r="B801" t="s">
        <v>462</v>
      </c>
      <c r="C801" t="s">
        <v>3167</v>
      </c>
      <c r="D801" t="s">
        <v>1963</v>
      </c>
      <c r="E801" t="s">
        <v>2020</v>
      </c>
      <c r="F801" t="s">
        <v>2021</v>
      </c>
      <c r="G801" t="s">
        <v>2022</v>
      </c>
      <c r="H801" t="s">
        <v>2023</v>
      </c>
      <c r="I801" t="s">
        <v>3812</v>
      </c>
      <c r="J801" t="s">
        <v>1963</v>
      </c>
      <c r="K801" t="s">
        <v>3805</v>
      </c>
      <c r="L801" t="s">
        <v>2046</v>
      </c>
      <c r="M801" t="s">
        <v>3564</v>
      </c>
      <c r="N801" t="s">
        <v>3565</v>
      </c>
      <c r="O801" t="s">
        <v>3536</v>
      </c>
      <c r="P801" t="s">
        <v>3537</v>
      </c>
      <c r="Q801" t="s">
        <v>3566</v>
      </c>
      <c r="R801" t="s">
        <v>14</v>
      </c>
      <c r="S801" t="s">
        <v>3813</v>
      </c>
      <c r="T801" t="s">
        <v>3814</v>
      </c>
      <c r="U801" t="s">
        <v>3015</v>
      </c>
      <c r="V801" t="s">
        <v>14</v>
      </c>
      <c r="W801" t="b">
        <v>1</v>
      </c>
      <c r="X801" t="s">
        <v>3810</v>
      </c>
      <c r="Y801" t="b">
        <v>1</v>
      </c>
      <c r="Z801" t="s">
        <v>2081</v>
      </c>
    </row>
    <row r="802" spans="1:26" x14ac:dyDescent="0.35">
      <c r="A802" t="s">
        <v>461</v>
      </c>
      <c r="B802" t="s">
        <v>462</v>
      </c>
      <c r="C802" t="s">
        <v>3167</v>
      </c>
      <c r="D802" t="s">
        <v>1963</v>
      </c>
      <c r="E802" t="s">
        <v>2020</v>
      </c>
      <c r="F802" t="s">
        <v>2021</v>
      </c>
      <c r="G802" t="s">
        <v>2022</v>
      </c>
      <c r="H802" t="s">
        <v>2023</v>
      </c>
      <c r="I802" t="s">
        <v>3815</v>
      </c>
      <c r="J802" t="s">
        <v>1963</v>
      </c>
      <c r="K802" t="s">
        <v>3805</v>
      </c>
      <c r="L802" t="s">
        <v>2046</v>
      </c>
      <c r="M802" t="s">
        <v>3816</v>
      </c>
      <c r="N802" t="s">
        <v>3817</v>
      </c>
      <c r="O802" t="s">
        <v>3579</v>
      </c>
      <c r="P802" t="s">
        <v>3580</v>
      </c>
      <c r="Q802" t="s">
        <v>14</v>
      </c>
      <c r="R802" t="s">
        <v>14</v>
      </c>
      <c r="S802" t="s">
        <v>3818</v>
      </c>
      <c r="T802" t="s">
        <v>3819</v>
      </c>
      <c r="U802" t="s">
        <v>2390</v>
      </c>
      <c r="V802" t="s">
        <v>14</v>
      </c>
      <c r="W802" t="b">
        <v>1</v>
      </c>
      <c r="X802" t="s">
        <v>3810</v>
      </c>
      <c r="Y802" t="b">
        <v>1</v>
      </c>
      <c r="Z802" t="s">
        <v>2032</v>
      </c>
    </row>
    <row r="803" spans="1:26" x14ac:dyDescent="0.35">
      <c r="A803" t="s">
        <v>461</v>
      </c>
      <c r="B803" t="s">
        <v>462</v>
      </c>
      <c r="C803" t="s">
        <v>3167</v>
      </c>
      <c r="D803" t="s">
        <v>1963</v>
      </c>
      <c r="E803" t="s">
        <v>2020</v>
      </c>
      <c r="F803" t="s">
        <v>2021</v>
      </c>
      <c r="G803" t="s">
        <v>2022</v>
      </c>
      <c r="H803" t="s">
        <v>2023</v>
      </c>
      <c r="I803" t="s">
        <v>3174</v>
      </c>
      <c r="J803" t="s">
        <v>1963</v>
      </c>
      <c r="K803" t="s">
        <v>3805</v>
      </c>
      <c r="L803" t="s">
        <v>2046</v>
      </c>
      <c r="M803" t="s">
        <v>3176</v>
      </c>
      <c r="N803" t="s">
        <v>3177</v>
      </c>
      <c r="O803" t="s">
        <v>3154</v>
      </c>
      <c r="P803" t="s">
        <v>3155</v>
      </c>
      <c r="Q803" t="s">
        <v>3178</v>
      </c>
      <c r="R803" t="s">
        <v>14</v>
      </c>
      <c r="S803" t="s">
        <v>3179</v>
      </c>
      <c r="T803" t="s">
        <v>3180</v>
      </c>
      <c r="U803" t="s">
        <v>3015</v>
      </c>
      <c r="V803" t="s">
        <v>14</v>
      </c>
      <c r="W803" t="b">
        <v>1</v>
      </c>
      <c r="X803" t="s">
        <v>3810</v>
      </c>
      <c r="Y803" t="b">
        <v>0</v>
      </c>
      <c r="Z803" t="s">
        <v>2032</v>
      </c>
    </row>
    <row r="804" spans="1:26" x14ac:dyDescent="0.35">
      <c r="A804" t="s">
        <v>461</v>
      </c>
      <c r="B804" t="s">
        <v>462</v>
      </c>
      <c r="C804" t="s">
        <v>3167</v>
      </c>
      <c r="D804" t="s">
        <v>1963</v>
      </c>
      <c r="E804" t="s">
        <v>2020</v>
      </c>
      <c r="F804" t="s">
        <v>2021</v>
      </c>
      <c r="G804" t="s">
        <v>2022</v>
      </c>
      <c r="H804" t="s">
        <v>2023</v>
      </c>
      <c r="I804" t="s">
        <v>3047</v>
      </c>
      <c r="J804" t="s">
        <v>1963</v>
      </c>
      <c r="K804" t="s">
        <v>3805</v>
      </c>
      <c r="L804" t="s">
        <v>2046</v>
      </c>
      <c r="M804" t="s">
        <v>3048</v>
      </c>
      <c r="N804" t="s">
        <v>3049</v>
      </c>
      <c r="O804" t="s">
        <v>3013</v>
      </c>
      <c r="P804" t="s">
        <v>3014</v>
      </c>
      <c r="Q804" t="s">
        <v>3021</v>
      </c>
      <c r="R804" t="s">
        <v>14</v>
      </c>
      <c r="S804" t="s">
        <v>3050</v>
      </c>
      <c r="T804" t="s">
        <v>3051</v>
      </c>
      <c r="U804" t="s">
        <v>3015</v>
      </c>
      <c r="V804" t="s">
        <v>14</v>
      </c>
      <c r="W804" t="b">
        <v>1</v>
      </c>
      <c r="X804" t="s">
        <v>3810</v>
      </c>
      <c r="Y804" t="b">
        <v>1</v>
      </c>
      <c r="Z804" t="s">
        <v>2032</v>
      </c>
    </row>
    <row r="805" spans="1:26" x14ac:dyDescent="0.35">
      <c r="A805" t="s">
        <v>461</v>
      </c>
      <c r="B805" t="s">
        <v>462</v>
      </c>
      <c r="C805" t="s">
        <v>3167</v>
      </c>
      <c r="D805" t="s">
        <v>1963</v>
      </c>
      <c r="E805" t="s">
        <v>2020</v>
      </c>
      <c r="F805" t="s">
        <v>2021</v>
      </c>
      <c r="G805" t="s">
        <v>2022</v>
      </c>
      <c r="H805" t="s">
        <v>2023</v>
      </c>
      <c r="I805" t="s">
        <v>3820</v>
      </c>
      <c r="J805" t="s">
        <v>1963</v>
      </c>
      <c r="K805" t="s">
        <v>3805</v>
      </c>
      <c r="L805" t="s">
        <v>2046</v>
      </c>
      <c r="M805" t="s">
        <v>3821</v>
      </c>
      <c r="N805" t="s">
        <v>3822</v>
      </c>
      <c r="O805" t="s">
        <v>3579</v>
      </c>
      <c r="P805" t="s">
        <v>3580</v>
      </c>
      <c r="Q805" t="s">
        <v>3823</v>
      </c>
      <c r="R805" t="s">
        <v>14</v>
      </c>
      <c r="S805" t="s">
        <v>3824</v>
      </c>
      <c r="T805" t="s">
        <v>3825</v>
      </c>
      <c r="U805" t="s">
        <v>2390</v>
      </c>
      <c r="V805" t="s">
        <v>14</v>
      </c>
      <c r="W805" t="b">
        <v>1</v>
      </c>
      <c r="X805" t="s">
        <v>3810</v>
      </c>
      <c r="Y805" t="b">
        <v>0</v>
      </c>
      <c r="Z805" t="s">
        <v>2081</v>
      </c>
    </row>
    <row r="806" spans="1:26" x14ac:dyDescent="0.35">
      <c r="A806" t="s">
        <v>461</v>
      </c>
      <c r="B806" t="s">
        <v>462</v>
      </c>
      <c r="C806" t="s">
        <v>3167</v>
      </c>
      <c r="D806" t="s">
        <v>1963</v>
      </c>
      <c r="E806" t="s">
        <v>2020</v>
      </c>
      <c r="F806" t="s">
        <v>2021</v>
      </c>
      <c r="G806" t="s">
        <v>2022</v>
      </c>
      <c r="H806" t="s">
        <v>2023</v>
      </c>
      <c r="I806" t="s">
        <v>3826</v>
      </c>
      <c r="J806" t="s">
        <v>1963</v>
      </c>
      <c r="K806" t="s">
        <v>3805</v>
      </c>
      <c r="L806" t="s">
        <v>2046</v>
      </c>
      <c r="M806" t="s">
        <v>3577</v>
      </c>
      <c r="N806" t="s">
        <v>3578</v>
      </c>
      <c r="O806" t="s">
        <v>3579</v>
      </c>
      <c r="P806" t="s">
        <v>3580</v>
      </c>
      <c r="Q806" t="s">
        <v>14</v>
      </c>
      <c r="R806" t="s">
        <v>14</v>
      </c>
      <c r="S806" t="s">
        <v>3818</v>
      </c>
      <c r="T806" t="s">
        <v>3819</v>
      </c>
      <c r="U806" t="s">
        <v>2390</v>
      </c>
      <c r="V806" t="s">
        <v>14</v>
      </c>
      <c r="W806" t="b">
        <v>1</v>
      </c>
      <c r="X806" t="s">
        <v>3810</v>
      </c>
      <c r="Y806" t="b">
        <v>1</v>
      </c>
      <c r="Z806" t="s">
        <v>2032</v>
      </c>
    </row>
    <row r="807" spans="1:26" x14ac:dyDescent="0.35">
      <c r="A807" t="s">
        <v>461</v>
      </c>
      <c r="B807" t="s">
        <v>462</v>
      </c>
      <c r="C807" t="s">
        <v>3167</v>
      </c>
      <c r="D807" t="s">
        <v>1963</v>
      </c>
      <c r="E807" t="s">
        <v>2020</v>
      </c>
      <c r="F807" t="s">
        <v>2021</v>
      </c>
      <c r="G807" t="s">
        <v>2022</v>
      </c>
      <c r="H807" t="s">
        <v>2023</v>
      </c>
      <c r="I807" t="s">
        <v>3827</v>
      </c>
      <c r="J807" t="s">
        <v>1963</v>
      </c>
      <c r="K807" t="s">
        <v>3805</v>
      </c>
      <c r="L807" t="s">
        <v>2046</v>
      </c>
      <c r="M807" t="s">
        <v>14</v>
      </c>
      <c r="N807" t="s">
        <v>14</v>
      </c>
      <c r="O807" t="s">
        <v>3579</v>
      </c>
      <c r="P807" t="s">
        <v>3580</v>
      </c>
      <c r="Q807" t="s">
        <v>14</v>
      </c>
      <c r="R807" t="s">
        <v>14</v>
      </c>
      <c r="S807" t="s">
        <v>14</v>
      </c>
      <c r="T807" t="s">
        <v>14</v>
      </c>
      <c r="U807" t="s">
        <v>2390</v>
      </c>
      <c r="V807" t="s">
        <v>14</v>
      </c>
      <c r="W807" t="b">
        <v>1</v>
      </c>
      <c r="X807" t="s">
        <v>3810</v>
      </c>
      <c r="Y807" t="b">
        <v>0</v>
      </c>
      <c r="Z807" t="s">
        <v>2032</v>
      </c>
    </row>
    <row r="808" spans="1:26" x14ac:dyDescent="0.35">
      <c r="A808" t="s">
        <v>461</v>
      </c>
      <c r="B808" t="s">
        <v>462</v>
      </c>
      <c r="C808" t="s">
        <v>3167</v>
      </c>
      <c r="D808" t="s">
        <v>1963</v>
      </c>
      <c r="E808" t="s">
        <v>2020</v>
      </c>
      <c r="F808" t="s">
        <v>2021</v>
      </c>
      <c r="G808" t="s">
        <v>2022</v>
      </c>
      <c r="H808" t="s">
        <v>2023</v>
      </c>
      <c r="I808" t="s">
        <v>3828</v>
      </c>
      <c r="J808" t="s">
        <v>1963</v>
      </c>
      <c r="K808" t="s">
        <v>3805</v>
      </c>
      <c r="L808" t="s">
        <v>2046</v>
      </c>
      <c r="M808" t="s">
        <v>3829</v>
      </c>
      <c r="N808" t="s">
        <v>3830</v>
      </c>
      <c r="O808" t="s">
        <v>3013</v>
      </c>
      <c r="P808" t="s">
        <v>3014</v>
      </c>
      <c r="Q808" t="s">
        <v>14</v>
      </c>
      <c r="R808" t="s">
        <v>14</v>
      </c>
      <c r="S808" t="s">
        <v>14</v>
      </c>
      <c r="T808" t="s">
        <v>14</v>
      </c>
      <c r="U808" t="s">
        <v>3015</v>
      </c>
      <c r="V808" t="s">
        <v>14</v>
      </c>
      <c r="W808" t="b">
        <v>1</v>
      </c>
      <c r="X808" t="s">
        <v>3810</v>
      </c>
      <c r="Y808" t="b">
        <v>0</v>
      </c>
      <c r="Z808" t="s">
        <v>2081</v>
      </c>
    </row>
    <row r="809" spans="1:26" x14ac:dyDescent="0.35">
      <c r="A809" t="s">
        <v>461</v>
      </c>
      <c r="B809" t="s">
        <v>462</v>
      </c>
      <c r="C809" t="s">
        <v>3167</v>
      </c>
      <c r="D809" t="s">
        <v>1963</v>
      </c>
      <c r="E809" t="s">
        <v>2020</v>
      </c>
      <c r="F809" t="s">
        <v>2021</v>
      </c>
      <c r="G809" t="s">
        <v>2022</v>
      </c>
      <c r="H809" t="s">
        <v>2023</v>
      </c>
      <c r="I809" t="s">
        <v>76</v>
      </c>
      <c r="J809" t="s">
        <v>1963</v>
      </c>
      <c r="K809" t="s">
        <v>3805</v>
      </c>
      <c r="L809" t="s">
        <v>2046</v>
      </c>
      <c r="M809" t="s">
        <v>3821</v>
      </c>
      <c r="N809" t="s">
        <v>3822</v>
      </c>
      <c r="O809" t="s">
        <v>3579</v>
      </c>
      <c r="P809" t="s">
        <v>3580</v>
      </c>
      <c r="Q809" t="s">
        <v>3823</v>
      </c>
      <c r="R809" t="s">
        <v>14</v>
      </c>
      <c r="S809" t="s">
        <v>3831</v>
      </c>
      <c r="T809" t="s">
        <v>3832</v>
      </c>
      <c r="U809" t="s">
        <v>2390</v>
      </c>
      <c r="V809" t="s">
        <v>14</v>
      </c>
      <c r="W809" t="b">
        <v>1</v>
      </c>
      <c r="X809" t="s">
        <v>3810</v>
      </c>
      <c r="Y809" t="b">
        <v>0</v>
      </c>
      <c r="Z809" t="s">
        <v>2032</v>
      </c>
    </row>
    <row r="810" spans="1:26" x14ac:dyDescent="0.35">
      <c r="A810" t="s">
        <v>461</v>
      </c>
      <c r="B810" t="s">
        <v>462</v>
      </c>
      <c r="C810" t="s">
        <v>3167</v>
      </c>
      <c r="D810" t="s">
        <v>1963</v>
      </c>
      <c r="E810" t="s">
        <v>2020</v>
      </c>
      <c r="F810" t="s">
        <v>2021</v>
      </c>
      <c r="G810" t="s">
        <v>2022</v>
      </c>
      <c r="H810" t="s">
        <v>2023</v>
      </c>
      <c r="I810" t="s">
        <v>3833</v>
      </c>
      <c r="J810" t="s">
        <v>1963</v>
      </c>
      <c r="K810" t="s">
        <v>3805</v>
      </c>
      <c r="L810" t="s">
        <v>2046</v>
      </c>
      <c r="M810" t="s">
        <v>3564</v>
      </c>
      <c r="N810" t="s">
        <v>3565</v>
      </c>
      <c r="O810" t="s">
        <v>3536</v>
      </c>
      <c r="P810" t="s">
        <v>3537</v>
      </c>
      <c r="Q810" t="s">
        <v>3566</v>
      </c>
      <c r="R810" t="s">
        <v>14</v>
      </c>
      <c r="S810" t="s">
        <v>14</v>
      </c>
      <c r="T810" t="s">
        <v>14</v>
      </c>
      <c r="U810" t="s">
        <v>3015</v>
      </c>
      <c r="V810" t="s">
        <v>14</v>
      </c>
      <c r="W810" t="b">
        <v>1</v>
      </c>
      <c r="X810" t="s">
        <v>3810</v>
      </c>
      <c r="Y810" t="b">
        <v>1</v>
      </c>
      <c r="Z810" t="s">
        <v>2032</v>
      </c>
    </row>
    <row r="811" spans="1:26" x14ac:dyDescent="0.35">
      <c r="A811" t="s">
        <v>463</v>
      </c>
      <c r="B811" t="s">
        <v>464</v>
      </c>
      <c r="C811" t="s">
        <v>3167</v>
      </c>
      <c r="D811" t="s">
        <v>1963</v>
      </c>
      <c r="E811" t="s">
        <v>2020</v>
      </c>
      <c r="F811" t="s">
        <v>2021</v>
      </c>
      <c r="G811" t="s">
        <v>2022</v>
      </c>
      <c r="H811" t="s">
        <v>2023</v>
      </c>
      <c r="I811" t="s">
        <v>59</v>
      </c>
      <c r="J811" t="s">
        <v>1963</v>
      </c>
      <c r="K811" t="s">
        <v>3834</v>
      </c>
      <c r="L811" t="s">
        <v>2046</v>
      </c>
      <c r="M811" t="s">
        <v>3041</v>
      </c>
      <c r="N811" t="s">
        <v>3042</v>
      </c>
      <c r="O811" t="s">
        <v>3013</v>
      </c>
      <c r="P811" t="s">
        <v>3014</v>
      </c>
      <c r="Q811" t="s">
        <v>3835</v>
      </c>
      <c r="R811" t="s">
        <v>14</v>
      </c>
      <c r="S811" t="s">
        <v>3836</v>
      </c>
      <c r="T811" t="s">
        <v>3837</v>
      </c>
      <c r="U811" t="s">
        <v>3015</v>
      </c>
      <c r="V811" t="s">
        <v>14</v>
      </c>
      <c r="W811" t="b">
        <v>1</v>
      </c>
      <c r="X811" t="s">
        <v>3838</v>
      </c>
      <c r="Y811" t="b">
        <v>0</v>
      </c>
      <c r="Z811" t="s">
        <v>2032</v>
      </c>
    </row>
    <row r="812" spans="1:26" x14ac:dyDescent="0.35">
      <c r="A812" t="s">
        <v>463</v>
      </c>
      <c r="B812" t="s">
        <v>464</v>
      </c>
      <c r="C812" t="s">
        <v>3167</v>
      </c>
      <c r="D812" t="s">
        <v>1963</v>
      </c>
      <c r="E812" t="s">
        <v>2020</v>
      </c>
      <c r="F812" t="s">
        <v>2021</v>
      </c>
      <c r="G812" t="s">
        <v>2022</v>
      </c>
      <c r="H812" t="s">
        <v>2023</v>
      </c>
      <c r="I812" t="s">
        <v>59</v>
      </c>
      <c r="J812" t="s">
        <v>1963</v>
      </c>
      <c r="K812" t="s">
        <v>3834</v>
      </c>
      <c r="L812" t="s">
        <v>2046</v>
      </c>
      <c r="M812" t="s">
        <v>3041</v>
      </c>
      <c r="N812" t="s">
        <v>3042</v>
      </c>
      <c r="O812" t="s">
        <v>3013</v>
      </c>
      <c r="P812" t="s">
        <v>3014</v>
      </c>
      <c r="Q812" t="s">
        <v>3835</v>
      </c>
      <c r="R812" t="s">
        <v>14</v>
      </c>
      <c r="S812" t="s">
        <v>3836</v>
      </c>
      <c r="T812" t="s">
        <v>3837</v>
      </c>
      <c r="U812" t="s">
        <v>3015</v>
      </c>
      <c r="V812" t="s">
        <v>14</v>
      </c>
      <c r="W812" t="b">
        <v>1</v>
      </c>
      <c r="X812" t="s">
        <v>3838</v>
      </c>
      <c r="Y812" t="b">
        <v>0</v>
      </c>
      <c r="Z812" t="s">
        <v>2032</v>
      </c>
    </row>
    <row r="813" spans="1:26" x14ac:dyDescent="0.35">
      <c r="A813" t="s">
        <v>463</v>
      </c>
      <c r="B813" t="s">
        <v>464</v>
      </c>
      <c r="C813" t="s">
        <v>3167</v>
      </c>
      <c r="D813" t="s">
        <v>1963</v>
      </c>
      <c r="E813" t="s">
        <v>2020</v>
      </c>
      <c r="F813" t="s">
        <v>2021</v>
      </c>
      <c r="G813" t="s">
        <v>2022</v>
      </c>
      <c r="H813" t="s">
        <v>2023</v>
      </c>
      <c r="I813" t="s">
        <v>3174</v>
      </c>
      <c r="J813" t="s">
        <v>1963</v>
      </c>
      <c r="K813" t="s">
        <v>3834</v>
      </c>
      <c r="L813" t="s">
        <v>2046</v>
      </c>
      <c r="M813" t="s">
        <v>3176</v>
      </c>
      <c r="N813" t="s">
        <v>3177</v>
      </c>
      <c r="O813" t="s">
        <v>3154</v>
      </c>
      <c r="P813" t="s">
        <v>3155</v>
      </c>
      <c r="Q813" t="s">
        <v>3178</v>
      </c>
      <c r="R813" t="s">
        <v>14</v>
      </c>
      <c r="S813" t="s">
        <v>3179</v>
      </c>
      <c r="T813" t="s">
        <v>3180</v>
      </c>
      <c r="U813" t="s">
        <v>3015</v>
      </c>
      <c r="V813" t="s">
        <v>14</v>
      </c>
      <c r="W813" t="b">
        <v>1</v>
      </c>
      <c r="X813" t="s">
        <v>3838</v>
      </c>
      <c r="Y813" t="b">
        <v>0</v>
      </c>
      <c r="Z813" t="s">
        <v>2032</v>
      </c>
    </row>
    <row r="814" spans="1:26" x14ac:dyDescent="0.35">
      <c r="A814" t="s">
        <v>463</v>
      </c>
      <c r="B814" t="s">
        <v>464</v>
      </c>
      <c r="C814" t="s">
        <v>3167</v>
      </c>
      <c r="D814" t="s">
        <v>1963</v>
      </c>
      <c r="E814" t="s">
        <v>2020</v>
      </c>
      <c r="F814" t="s">
        <v>2021</v>
      </c>
      <c r="G814" t="s">
        <v>2022</v>
      </c>
      <c r="H814" t="s">
        <v>2023</v>
      </c>
      <c r="I814" t="s">
        <v>59</v>
      </c>
      <c r="J814" t="s">
        <v>1963</v>
      </c>
      <c r="K814" t="s">
        <v>3834</v>
      </c>
      <c r="L814" t="s">
        <v>2046</v>
      </c>
      <c r="M814" t="s">
        <v>3041</v>
      </c>
      <c r="N814" t="s">
        <v>3042</v>
      </c>
      <c r="O814" t="s">
        <v>3013</v>
      </c>
      <c r="P814" t="s">
        <v>3014</v>
      </c>
      <c r="Q814" t="s">
        <v>3835</v>
      </c>
      <c r="R814" t="s">
        <v>14</v>
      </c>
      <c r="S814" t="s">
        <v>3836</v>
      </c>
      <c r="T814" t="s">
        <v>3837</v>
      </c>
      <c r="U814" t="s">
        <v>3015</v>
      </c>
      <c r="V814" t="s">
        <v>14</v>
      </c>
      <c r="W814" t="b">
        <v>1</v>
      </c>
      <c r="X814" t="s">
        <v>3838</v>
      </c>
      <c r="Y814" t="b">
        <v>0</v>
      </c>
      <c r="Z814" t="s">
        <v>2032</v>
      </c>
    </row>
    <row r="815" spans="1:26" x14ac:dyDescent="0.35">
      <c r="A815" t="s">
        <v>463</v>
      </c>
      <c r="B815" t="s">
        <v>464</v>
      </c>
      <c r="C815" t="s">
        <v>3167</v>
      </c>
      <c r="D815" t="s">
        <v>1963</v>
      </c>
      <c r="E815" t="s">
        <v>2020</v>
      </c>
      <c r="F815" t="s">
        <v>2021</v>
      </c>
      <c r="G815" t="s">
        <v>2022</v>
      </c>
      <c r="H815" t="s">
        <v>2023</v>
      </c>
      <c r="I815" t="s">
        <v>59</v>
      </c>
      <c r="J815" t="s">
        <v>1963</v>
      </c>
      <c r="K815" t="s">
        <v>3834</v>
      </c>
      <c r="L815" t="s">
        <v>2046</v>
      </c>
      <c r="M815" t="s">
        <v>3041</v>
      </c>
      <c r="N815" t="s">
        <v>3042</v>
      </c>
      <c r="O815" t="s">
        <v>3013</v>
      </c>
      <c r="P815" t="s">
        <v>3014</v>
      </c>
      <c r="Q815" t="s">
        <v>3835</v>
      </c>
      <c r="R815" t="s">
        <v>14</v>
      </c>
      <c r="S815" t="s">
        <v>3836</v>
      </c>
      <c r="T815" t="s">
        <v>3837</v>
      </c>
      <c r="U815" t="s">
        <v>3015</v>
      </c>
      <c r="V815" t="s">
        <v>14</v>
      </c>
      <c r="W815" t="b">
        <v>1</v>
      </c>
      <c r="X815" t="s">
        <v>3838</v>
      </c>
      <c r="Y815" t="b">
        <v>0</v>
      </c>
      <c r="Z815" t="s">
        <v>2032</v>
      </c>
    </row>
    <row r="816" spans="1:26" x14ac:dyDescent="0.35">
      <c r="A816" t="s">
        <v>463</v>
      </c>
      <c r="B816" t="s">
        <v>464</v>
      </c>
      <c r="C816" t="s">
        <v>3167</v>
      </c>
      <c r="D816" t="s">
        <v>1963</v>
      </c>
      <c r="E816" t="s">
        <v>2020</v>
      </c>
      <c r="F816" t="s">
        <v>2021</v>
      </c>
      <c r="G816" t="s">
        <v>2022</v>
      </c>
      <c r="H816" t="s">
        <v>2023</v>
      </c>
      <c r="I816" t="s">
        <v>59</v>
      </c>
      <c r="J816" t="s">
        <v>1963</v>
      </c>
      <c r="K816" t="s">
        <v>3834</v>
      </c>
      <c r="L816" t="s">
        <v>2046</v>
      </c>
      <c r="M816" t="s">
        <v>3041</v>
      </c>
      <c r="N816" t="s">
        <v>3042</v>
      </c>
      <c r="O816" t="s">
        <v>3013</v>
      </c>
      <c r="P816" t="s">
        <v>3014</v>
      </c>
      <c r="Q816" t="s">
        <v>3835</v>
      </c>
      <c r="R816" t="s">
        <v>14</v>
      </c>
      <c r="S816" t="s">
        <v>3836</v>
      </c>
      <c r="T816" t="s">
        <v>3837</v>
      </c>
      <c r="U816" t="s">
        <v>3015</v>
      </c>
      <c r="V816" t="s">
        <v>14</v>
      </c>
      <c r="W816" t="b">
        <v>1</v>
      </c>
      <c r="X816" t="s">
        <v>3838</v>
      </c>
      <c r="Y816" t="b">
        <v>0</v>
      </c>
      <c r="Z816" t="s">
        <v>2032</v>
      </c>
    </row>
    <row r="817" spans="1:26" x14ac:dyDescent="0.35">
      <c r="A817" t="s">
        <v>463</v>
      </c>
      <c r="B817" t="s">
        <v>464</v>
      </c>
      <c r="C817" t="s">
        <v>3167</v>
      </c>
      <c r="D817" t="s">
        <v>1963</v>
      </c>
      <c r="E817" t="s">
        <v>2020</v>
      </c>
      <c r="F817" t="s">
        <v>2021</v>
      </c>
      <c r="G817" t="s">
        <v>2022</v>
      </c>
      <c r="H817" t="s">
        <v>2023</v>
      </c>
      <c r="I817" t="s">
        <v>3804</v>
      </c>
      <c r="J817" t="s">
        <v>1963</v>
      </c>
      <c r="K817" t="s">
        <v>3834</v>
      </c>
      <c r="L817" t="s">
        <v>2046</v>
      </c>
      <c r="M817" t="s">
        <v>3806</v>
      </c>
      <c r="N817" t="s">
        <v>3807</v>
      </c>
      <c r="O817" t="s">
        <v>3579</v>
      </c>
      <c r="P817" t="s">
        <v>3580</v>
      </c>
      <c r="Q817" t="s">
        <v>14</v>
      </c>
      <c r="R817" t="s">
        <v>14</v>
      </c>
      <c r="S817" t="s">
        <v>3808</v>
      </c>
      <c r="T817" t="s">
        <v>3809</v>
      </c>
      <c r="U817" t="s">
        <v>2390</v>
      </c>
      <c r="V817" t="s">
        <v>14</v>
      </c>
      <c r="W817" t="b">
        <v>1</v>
      </c>
      <c r="X817" t="s">
        <v>3838</v>
      </c>
      <c r="Y817" t="b">
        <v>0</v>
      </c>
      <c r="Z817" t="s">
        <v>2032</v>
      </c>
    </row>
    <row r="818" spans="1:26" x14ac:dyDescent="0.35">
      <c r="A818" t="s">
        <v>463</v>
      </c>
      <c r="B818" t="s">
        <v>464</v>
      </c>
      <c r="C818" t="s">
        <v>3167</v>
      </c>
      <c r="D818" t="s">
        <v>1963</v>
      </c>
      <c r="E818" t="s">
        <v>2020</v>
      </c>
      <c r="F818" t="s">
        <v>2021</v>
      </c>
      <c r="G818" t="s">
        <v>2022</v>
      </c>
      <c r="H818" t="s">
        <v>2023</v>
      </c>
      <c r="I818" t="s">
        <v>59</v>
      </c>
      <c r="J818" t="s">
        <v>1963</v>
      </c>
      <c r="K818" t="s">
        <v>3834</v>
      </c>
      <c r="L818" t="s">
        <v>2046</v>
      </c>
      <c r="M818" t="s">
        <v>3041</v>
      </c>
      <c r="N818" t="s">
        <v>3042</v>
      </c>
      <c r="O818" t="s">
        <v>3013</v>
      </c>
      <c r="P818" t="s">
        <v>3014</v>
      </c>
      <c r="Q818" t="s">
        <v>3835</v>
      </c>
      <c r="R818" t="s">
        <v>14</v>
      </c>
      <c r="S818" t="s">
        <v>3836</v>
      </c>
      <c r="T818" t="s">
        <v>3837</v>
      </c>
      <c r="U818" t="s">
        <v>3015</v>
      </c>
      <c r="V818" t="s">
        <v>14</v>
      </c>
      <c r="W818" t="b">
        <v>1</v>
      </c>
      <c r="X818" t="s">
        <v>3838</v>
      </c>
      <c r="Y818" t="b">
        <v>0</v>
      </c>
      <c r="Z818" t="s">
        <v>2032</v>
      </c>
    </row>
    <row r="819" spans="1:26" x14ac:dyDescent="0.35">
      <c r="A819" t="s">
        <v>463</v>
      </c>
      <c r="B819" t="s">
        <v>464</v>
      </c>
      <c r="C819" t="s">
        <v>3167</v>
      </c>
      <c r="D819" t="s">
        <v>1963</v>
      </c>
      <c r="E819" t="s">
        <v>2020</v>
      </c>
      <c r="F819" t="s">
        <v>2021</v>
      </c>
      <c r="G819" t="s">
        <v>2022</v>
      </c>
      <c r="H819" t="s">
        <v>2023</v>
      </c>
      <c r="I819" t="s">
        <v>59</v>
      </c>
      <c r="J819" t="s">
        <v>1963</v>
      </c>
      <c r="K819" t="s">
        <v>3834</v>
      </c>
      <c r="L819" t="s">
        <v>2046</v>
      </c>
      <c r="M819" t="s">
        <v>3041</v>
      </c>
      <c r="N819" t="s">
        <v>3042</v>
      </c>
      <c r="O819" t="s">
        <v>3013</v>
      </c>
      <c r="P819" t="s">
        <v>3014</v>
      </c>
      <c r="Q819" t="s">
        <v>3835</v>
      </c>
      <c r="R819" t="s">
        <v>14</v>
      </c>
      <c r="S819" t="s">
        <v>3836</v>
      </c>
      <c r="T819" t="s">
        <v>3837</v>
      </c>
      <c r="U819" t="s">
        <v>3015</v>
      </c>
      <c r="V819" t="s">
        <v>14</v>
      </c>
      <c r="W819" t="b">
        <v>1</v>
      </c>
      <c r="X819" t="s">
        <v>3838</v>
      </c>
      <c r="Y819" t="b">
        <v>0</v>
      </c>
      <c r="Z819" t="s">
        <v>2032</v>
      </c>
    </row>
    <row r="820" spans="1:26" x14ac:dyDescent="0.35">
      <c r="A820" t="s">
        <v>463</v>
      </c>
      <c r="B820" t="s">
        <v>464</v>
      </c>
      <c r="C820" t="s">
        <v>3167</v>
      </c>
      <c r="D820" t="s">
        <v>1963</v>
      </c>
      <c r="E820" t="s">
        <v>2020</v>
      </c>
      <c r="F820" t="s">
        <v>2021</v>
      </c>
      <c r="G820" t="s">
        <v>2022</v>
      </c>
      <c r="H820" t="s">
        <v>2023</v>
      </c>
      <c r="I820" t="s">
        <v>3812</v>
      </c>
      <c r="J820" t="s">
        <v>1963</v>
      </c>
      <c r="K820" t="s">
        <v>3834</v>
      </c>
      <c r="L820" t="s">
        <v>2046</v>
      </c>
      <c r="M820" t="s">
        <v>3564</v>
      </c>
      <c r="N820" t="s">
        <v>3565</v>
      </c>
      <c r="O820" t="s">
        <v>3536</v>
      </c>
      <c r="P820" t="s">
        <v>3537</v>
      </c>
      <c r="Q820" t="s">
        <v>3566</v>
      </c>
      <c r="R820" t="s">
        <v>14</v>
      </c>
      <c r="S820" t="s">
        <v>3813</v>
      </c>
      <c r="T820" t="s">
        <v>3814</v>
      </c>
      <c r="U820" t="s">
        <v>3015</v>
      </c>
      <c r="V820" t="s">
        <v>14</v>
      </c>
      <c r="W820" t="b">
        <v>1</v>
      </c>
      <c r="X820" t="s">
        <v>3838</v>
      </c>
      <c r="Y820" t="b">
        <v>1</v>
      </c>
      <c r="Z820" t="s">
        <v>2081</v>
      </c>
    </row>
    <row r="821" spans="1:26" x14ac:dyDescent="0.35">
      <c r="A821" t="s">
        <v>463</v>
      </c>
      <c r="B821" t="s">
        <v>464</v>
      </c>
      <c r="C821" t="s">
        <v>3167</v>
      </c>
      <c r="D821" t="s">
        <v>1963</v>
      </c>
      <c r="E821" t="s">
        <v>2020</v>
      </c>
      <c r="F821" t="s">
        <v>2021</v>
      </c>
      <c r="G821" t="s">
        <v>2022</v>
      </c>
      <c r="H821" t="s">
        <v>2023</v>
      </c>
      <c r="I821" t="s">
        <v>76</v>
      </c>
      <c r="J821" t="s">
        <v>1963</v>
      </c>
      <c r="K821" t="s">
        <v>3834</v>
      </c>
      <c r="L821" t="s">
        <v>2046</v>
      </c>
      <c r="M821" t="s">
        <v>3821</v>
      </c>
      <c r="N821" t="s">
        <v>3822</v>
      </c>
      <c r="O821" t="s">
        <v>3579</v>
      </c>
      <c r="P821" t="s">
        <v>3580</v>
      </c>
      <c r="Q821" t="s">
        <v>3823</v>
      </c>
      <c r="R821" t="s">
        <v>14</v>
      </c>
      <c r="S821" t="s">
        <v>3831</v>
      </c>
      <c r="T821" t="s">
        <v>3832</v>
      </c>
      <c r="U821" t="s">
        <v>2390</v>
      </c>
      <c r="V821" t="s">
        <v>14</v>
      </c>
      <c r="W821" t="b">
        <v>1</v>
      </c>
      <c r="X821" t="s">
        <v>3838</v>
      </c>
      <c r="Y821" t="b">
        <v>0</v>
      </c>
      <c r="Z821" t="s">
        <v>2032</v>
      </c>
    </row>
    <row r="822" spans="1:26" x14ac:dyDescent="0.35">
      <c r="A822" t="s">
        <v>463</v>
      </c>
      <c r="B822" t="s">
        <v>464</v>
      </c>
      <c r="C822" t="s">
        <v>3167</v>
      </c>
      <c r="D822" t="s">
        <v>1963</v>
      </c>
      <c r="E822" t="s">
        <v>2020</v>
      </c>
      <c r="F822" t="s">
        <v>2021</v>
      </c>
      <c r="G822" t="s">
        <v>2022</v>
      </c>
      <c r="H822" t="s">
        <v>2023</v>
      </c>
      <c r="I822" t="s">
        <v>3833</v>
      </c>
      <c r="J822" t="s">
        <v>1963</v>
      </c>
      <c r="K822" t="s">
        <v>3834</v>
      </c>
      <c r="L822" t="s">
        <v>2046</v>
      </c>
      <c r="M822" t="s">
        <v>3564</v>
      </c>
      <c r="N822" t="s">
        <v>3565</v>
      </c>
      <c r="O822" t="s">
        <v>3536</v>
      </c>
      <c r="P822" t="s">
        <v>3537</v>
      </c>
      <c r="Q822" t="s">
        <v>3566</v>
      </c>
      <c r="R822" t="s">
        <v>14</v>
      </c>
      <c r="S822" t="s">
        <v>14</v>
      </c>
      <c r="T822" t="s">
        <v>14</v>
      </c>
      <c r="U822" t="s">
        <v>3015</v>
      </c>
      <c r="V822" t="s">
        <v>14</v>
      </c>
      <c r="W822" t="b">
        <v>1</v>
      </c>
      <c r="X822" t="s">
        <v>3838</v>
      </c>
      <c r="Y822" t="b">
        <v>1</v>
      </c>
      <c r="Z822" t="s">
        <v>2032</v>
      </c>
    </row>
    <row r="823" spans="1:26" x14ac:dyDescent="0.35">
      <c r="A823" t="s">
        <v>463</v>
      </c>
      <c r="B823" t="s">
        <v>464</v>
      </c>
      <c r="C823" t="s">
        <v>3167</v>
      </c>
      <c r="D823" t="s">
        <v>1963</v>
      </c>
      <c r="E823" t="s">
        <v>2020</v>
      </c>
      <c r="F823" t="s">
        <v>2021</v>
      </c>
      <c r="G823" t="s">
        <v>2022</v>
      </c>
      <c r="H823" t="s">
        <v>2023</v>
      </c>
      <c r="I823" t="s">
        <v>3815</v>
      </c>
      <c r="J823" t="s">
        <v>1963</v>
      </c>
      <c r="K823" t="s">
        <v>3834</v>
      </c>
      <c r="L823" t="s">
        <v>2046</v>
      </c>
      <c r="M823" t="s">
        <v>3816</v>
      </c>
      <c r="N823" t="s">
        <v>3817</v>
      </c>
      <c r="O823" t="s">
        <v>3579</v>
      </c>
      <c r="P823" t="s">
        <v>3580</v>
      </c>
      <c r="Q823" t="s">
        <v>14</v>
      </c>
      <c r="R823" t="s">
        <v>14</v>
      </c>
      <c r="S823" t="s">
        <v>3818</v>
      </c>
      <c r="T823" t="s">
        <v>3819</v>
      </c>
      <c r="U823" t="s">
        <v>2390</v>
      </c>
      <c r="V823" t="s">
        <v>14</v>
      </c>
      <c r="W823" t="b">
        <v>1</v>
      </c>
      <c r="X823" t="s">
        <v>3838</v>
      </c>
      <c r="Y823" t="b">
        <v>1</v>
      </c>
      <c r="Z823" t="s">
        <v>2032</v>
      </c>
    </row>
    <row r="824" spans="1:26" x14ac:dyDescent="0.35">
      <c r="A824" t="s">
        <v>463</v>
      </c>
      <c r="B824" t="s">
        <v>464</v>
      </c>
      <c r="C824" t="s">
        <v>3167</v>
      </c>
      <c r="D824" t="s">
        <v>1963</v>
      </c>
      <c r="E824" t="s">
        <v>2020</v>
      </c>
      <c r="F824" t="s">
        <v>2021</v>
      </c>
      <c r="G824" t="s">
        <v>2022</v>
      </c>
      <c r="H824" t="s">
        <v>2023</v>
      </c>
      <c r="I824" t="s">
        <v>59</v>
      </c>
      <c r="J824" t="s">
        <v>1963</v>
      </c>
      <c r="K824" t="s">
        <v>3834</v>
      </c>
      <c r="L824" t="s">
        <v>2046</v>
      </c>
      <c r="M824" t="s">
        <v>3041</v>
      </c>
      <c r="N824" t="s">
        <v>3042</v>
      </c>
      <c r="O824" t="s">
        <v>3013</v>
      </c>
      <c r="P824" t="s">
        <v>3014</v>
      </c>
      <c r="Q824" t="s">
        <v>3835</v>
      </c>
      <c r="R824" t="s">
        <v>14</v>
      </c>
      <c r="S824" t="s">
        <v>3836</v>
      </c>
      <c r="T824" t="s">
        <v>3837</v>
      </c>
      <c r="U824" t="s">
        <v>3015</v>
      </c>
      <c r="V824" t="s">
        <v>14</v>
      </c>
      <c r="W824" t="b">
        <v>1</v>
      </c>
      <c r="X824" t="s">
        <v>3838</v>
      </c>
      <c r="Y824" t="b">
        <v>0</v>
      </c>
      <c r="Z824" t="s">
        <v>2032</v>
      </c>
    </row>
    <row r="825" spans="1:26" x14ac:dyDescent="0.35">
      <c r="A825" t="s">
        <v>463</v>
      </c>
      <c r="B825" t="s">
        <v>464</v>
      </c>
      <c r="C825" t="s">
        <v>3167</v>
      </c>
      <c r="D825" t="s">
        <v>1963</v>
      </c>
      <c r="E825" t="s">
        <v>2020</v>
      </c>
      <c r="F825" t="s">
        <v>2021</v>
      </c>
      <c r="G825" t="s">
        <v>2022</v>
      </c>
      <c r="H825" t="s">
        <v>2023</v>
      </c>
      <c r="I825" t="s">
        <v>3827</v>
      </c>
      <c r="J825" t="s">
        <v>1963</v>
      </c>
      <c r="K825" t="s">
        <v>3834</v>
      </c>
      <c r="L825" t="s">
        <v>2046</v>
      </c>
      <c r="M825" t="s">
        <v>14</v>
      </c>
      <c r="N825" t="s">
        <v>14</v>
      </c>
      <c r="O825" t="s">
        <v>3579</v>
      </c>
      <c r="P825" t="s">
        <v>3580</v>
      </c>
      <c r="Q825" t="s">
        <v>14</v>
      </c>
      <c r="R825" t="s">
        <v>14</v>
      </c>
      <c r="S825" t="s">
        <v>14</v>
      </c>
      <c r="T825" t="s">
        <v>14</v>
      </c>
      <c r="U825" t="s">
        <v>2390</v>
      </c>
      <c r="V825" t="s">
        <v>14</v>
      </c>
      <c r="W825" t="b">
        <v>1</v>
      </c>
      <c r="X825" t="s">
        <v>3838</v>
      </c>
      <c r="Y825" t="b">
        <v>0</v>
      </c>
      <c r="Z825" t="s">
        <v>2032</v>
      </c>
    </row>
    <row r="826" spans="1:26" x14ac:dyDescent="0.35">
      <c r="A826" t="s">
        <v>463</v>
      </c>
      <c r="B826" t="s">
        <v>464</v>
      </c>
      <c r="C826" t="s">
        <v>3167</v>
      </c>
      <c r="D826" t="s">
        <v>1963</v>
      </c>
      <c r="E826" t="s">
        <v>2020</v>
      </c>
      <c r="F826" t="s">
        <v>2021</v>
      </c>
      <c r="G826" t="s">
        <v>2022</v>
      </c>
      <c r="H826" t="s">
        <v>2023</v>
      </c>
      <c r="I826" t="s">
        <v>59</v>
      </c>
      <c r="J826" t="s">
        <v>1963</v>
      </c>
      <c r="K826" t="s">
        <v>3834</v>
      </c>
      <c r="L826" t="s">
        <v>2046</v>
      </c>
      <c r="M826" t="s">
        <v>3041</v>
      </c>
      <c r="N826" t="s">
        <v>3042</v>
      </c>
      <c r="O826" t="s">
        <v>3013</v>
      </c>
      <c r="P826" t="s">
        <v>3014</v>
      </c>
      <c r="Q826" t="s">
        <v>3835</v>
      </c>
      <c r="R826" t="s">
        <v>14</v>
      </c>
      <c r="S826" t="s">
        <v>3836</v>
      </c>
      <c r="T826" t="s">
        <v>3837</v>
      </c>
      <c r="U826" t="s">
        <v>3015</v>
      </c>
      <c r="V826" t="s">
        <v>14</v>
      </c>
      <c r="W826" t="b">
        <v>1</v>
      </c>
      <c r="X826" t="s">
        <v>3838</v>
      </c>
      <c r="Y826" t="b">
        <v>0</v>
      </c>
      <c r="Z826" t="s">
        <v>2032</v>
      </c>
    </row>
    <row r="827" spans="1:26" x14ac:dyDescent="0.35">
      <c r="A827" t="s">
        <v>463</v>
      </c>
      <c r="B827" t="s">
        <v>464</v>
      </c>
      <c r="C827" t="s">
        <v>3167</v>
      </c>
      <c r="D827" t="s">
        <v>1963</v>
      </c>
      <c r="E827" t="s">
        <v>2020</v>
      </c>
      <c r="F827" t="s">
        <v>2021</v>
      </c>
      <c r="G827" t="s">
        <v>2022</v>
      </c>
      <c r="H827" t="s">
        <v>2023</v>
      </c>
      <c r="I827" t="s">
        <v>3820</v>
      </c>
      <c r="J827" t="s">
        <v>1963</v>
      </c>
      <c r="K827" t="s">
        <v>3834</v>
      </c>
      <c r="L827" t="s">
        <v>2046</v>
      </c>
      <c r="M827" t="s">
        <v>3821</v>
      </c>
      <c r="N827" t="s">
        <v>3822</v>
      </c>
      <c r="O827" t="s">
        <v>3579</v>
      </c>
      <c r="P827" t="s">
        <v>3580</v>
      </c>
      <c r="Q827" t="s">
        <v>3823</v>
      </c>
      <c r="R827" t="s">
        <v>14</v>
      </c>
      <c r="S827" t="s">
        <v>3824</v>
      </c>
      <c r="T827" t="s">
        <v>3825</v>
      </c>
      <c r="U827" t="s">
        <v>2390</v>
      </c>
      <c r="V827" t="s">
        <v>14</v>
      </c>
      <c r="W827" t="b">
        <v>1</v>
      </c>
      <c r="X827" t="s">
        <v>3838</v>
      </c>
      <c r="Y827" t="b">
        <v>0</v>
      </c>
      <c r="Z827" t="s">
        <v>2081</v>
      </c>
    </row>
    <row r="828" spans="1:26" x14ac:dyDescent="0.35">
      <c r="A828" t="s">
        <v>463</v>
      </c>
      <c r="B828" t="s">
        <v>464</v>
      </c>
      <c r="C828" t="s">
        <v>3167</v>
      </c>
      <c r="D828" t="s">
        <v>1963</v>
      </c>
      <c r="E828" t="s">
        <v>2020</v>
      </c>
      <c r="F828" t="s">
        <v>2021</v>
      </c>
      <c r="G828" t="s">
        <v>2022</v>
      </c>
      <c r="H828" t="s">
        <v>2023</v>
      </c>
      <c r="I828" t="s">
        <v>3839</v>
      </c>
      <c r="J828" t="s">
        <v>1963</v>
      </c>
      <c r="K828" t="s">
        <v>3834</v>
      </c>
      <c r="L828" t="s">
        <v>2046</v>
      </c>
      <c r="M828" t="s">
        <v>3041</v>
      </c>
      <c r="N828" t="s">
        <v>3042</v>
      </c>
      <c r="O828" t="s">
        <v>3013</v>
      </c>
      <c r="P828" t="s">
        <v>3014</v>
      </c>
      <c r="Q828" t="s">
        <v>3797</v>
      </c>
      <c r="R828" t="s">
        <v>14</v>
      </c>
      <c r="S828" t="s">
        <v>14</v>
      </c>
      <c r="T828" t="s">
        <v>14</v>
      </c>
      <c r="U828" t="s">
        <v>3015</v>
      </c>
      <c r="V828" t="s">
        <v>14</v>
      </c>
      <c r="W828" t="b">
        <v>1</v>
      </c>
      <c r="X828" t="s">
        <v>3838</v>
      </c>
      <c r="Y828" t="b">
        <v>0</v>
      </c>
      <c r="Z828" t="s">
        <v>2081</v>
      </c>
    </row>
    <row r="829" spans="1:26" x14ac:dyDescent="0.35">
      <c r="A829" t="s">
        <v>463</v>
      </c>
      <c r="B829" t="s">
        <v>464</v>
      </c>
      <c r="C829" t="s">
        <v>3167</v>
      </c>
      <c r="D829" t="s">
        <v>1963</v>
      </c>
      <c r="E829" t="s">
        <v>2020</v>
      </c>
      <c r="F829" t="s">
        <v>2021</v>
      </c>
      <c r="G829" t="s">
        <v>2022</v>
      </c>
      <c r="H829" t="s">
        <v>2023</v>
      </c>
      <c r="I829" t="s">
        <v>3811</v>
      </c>
      <c r="J829" t="s">
        <v>1963</v>
      </c>
      <c r="K829" t="s">
        <v>3834</v>
      </c>
      <c r="L829" t="s">
        <v>2046</v>
      </c>
      <c r="M829" t="s">
        <v>3152</v>
      </c>
      <c r="N829" t="s">
        <v>3153</v>
      </c>
      <c r="O829" t="s">
        <v>3536</v>
      </c>
      <c r="P829" t="s">
        <v>3537</v>
      </c>
      <c r="Q829" t="s">
        <v>3566</v>
      </c>
      <c r="R829" t="s">
        <v>14</v>
      </c>
      <c r="S829" t="s">
        <v>3539</v>
      </c>
      <c r="T829" t="s">
        <v>3540</v>
      </c>
      <c r="U829" t="s">
        <v>3015</v>
      </c>
      <c r="V829" t="s">
        <v>14</v>
      </c>
      <c r="W829" t="b">
        <v>1</v>
      </c>
      <c r="X829" t="s">
        <v>3838</v>
      </c>
      <c r="Y829" t="b">
        <v>0</v>
      </c>
      <c r="Z829" t="s">
        <v>2081</v>
      </c>
    </row>
    <row r="830" spans="1:26" x14ac:dyDescent="0.35">
      <c r="A830" t="s">
        <v>463</v>
      </c>
      <c r="B830" t="s">
        <v>464</v>
      </c>
      <c r="C830" t="s">
        <v>3167</v>
      </c>
      <c r="D830" t="s">
        <v>1963</v>
      </c>
      <c r="E830" t="s">
        <v>2020</v>
      </c>
      <c r="F830" t="s">
        <v>2021</v>
      </c>
      <c r="G830" t="s">
        <v>2022</v>
      </c>
      <c r="H830" t="s">
        <v>2023</v>
      </c>
      <c r="I830" t="s">
        <v>3826</v>
      </c>
      <c r="J830" t="s">
        <v>1963</v>
      </c>
      <c r="K830" t="s">
        <v>3834</v>
      </c>
      <c r="L830" t="s">
        <v>2046</v>
      </c>
      <c r="M830" t="s">
        <v>3577</v>
      </c>
      <c r="N830" t="s">
        <v>3578</v>
      </c>
      <c r="O830" t="s">
        <v>3579</v>
      </c>
      <c r="P830" t="s">
        <v>3580</v>
      </c>
      <c r="Q830" t="s">
        <v>14</v>
      </c>
      <c r="R830" t="s">
        <v>14</v>
      </c>
      <c r="S830" t="s">
        <v>3818</v>
      </c>
      <c r="T830" t="s">
        <v>3819</v>
      </c>
      <c r="U830" t="s">
        <v>2390</v>
      </c>
      <c r="V830" t="s">
        <v>14</v>
      </c>
      <c r="W830" t="b">
        <v>1</v>
      </c>
      <c r="X830" t="s">
        <v>3838</v>
      </c>
      <c r="Y830" t="b">
        <v>1</v>
      </c>
      <c r="Z830" t="s">
        <v>2032</v>
      </c>
    </row>
    <row r="831" spans="1:26" x14ac:dyDescent="0.35">
      <c r="A831" t="s">
        <v>463</v>
      </c>
      <c r="B831" t="s">
        <v>464</v>
      </c>
      <c r="C831" t="s">
        <v>3167</v>
      </c>
      <c r="D831" t="s">
        <v>1963</v>
      </c>
      <c r="E831" t="s">
        <v>2020</v>
      </c>
      <c r="F831" t="s">
        <v>2021</v>
      </c>
      <c r="G831" t="s">
        <v>2022</v>
      </c>
      <c r="H831" t="s">
        <v>2023</v>
      </c>
      <c r="I831" t="s">
        <v>3828</v>
      </c>
      <c r="J831" t="s">
        <v>1963</v>
      </c>
      <c r="K831" t="s">
        <v>3834</v>
      </c>
      <c r="L831" t="s">
        <v>2046</v>
      </c>
      <c r="M831" t="s">
        <v>3829</v>
      </c>
      <c r="N831" t="s">
        <v>3830</v>
      </c>
      <c r="O831" t="s">
        <v>3013</v>
      </c>
      <c r="P831" t="s">
        <v>3014</v>
      </c>
      <c r="Q831" t="s">
        <v>14</v>
      </c>
      <c r="R831" t="s">
        <v>14</v>
      </c>
      <c r="S831" t="s">
        <v>14</v>
      </c>
      <c r="T831" t="s">
        <v>14</v>
      </c>
      <c r="U831" t="s">
        <v>3015</v>
      </c>
      <c r="V831" t="s">
        <v>14</v>
      </c>
      <c r="W831" t="b">
        <v>1</v>
      </c>
      <c r="X831" t="s">
        <v>3838</v>
      </c>
      <c r="Y831" t="b">
        <v>0</v>
      </c>
      <c r="Z831" t="s">
        <v>2081</v>
      </c>
    </row>
    <row r="832" spans="1:26" x14ac:dyDescent="0.35">
      <c r="A832" t="s">
        <v>465</v>
      </c>
      <c r="B832" t="s">
        <v>466</v>
      </c>
      <c r="C832" t="s">
        <v>3167</v>
      </c>
      <c r="D832" t="s">
        <v>1963</v>
      </c>
      <c r="E832" t="s">
        <v>2020</v>
      </c>
      <c r="F832" t="s">
        <v>2021</v>
      </c>
      <c r="G832" t="s">
        <v>2022</v>
      </c>
      <c r="H832" t="s">
        <v>2023</v>
      </c>
      <c r="I832" t="s">
        <v>3820</v>
      </c>
      <c r="J832" t="s">
        <v>1963</v>
      </c>
      <c r="K832" t="s">
        <v>3840</v>
      </c>
      <c r="L832" t="s">
        <v>2046</v>
      </c>
      <c r="M832" t="s">
        <v>3821</v>
      </c>
      <c r="N832" t="s">
        <v>3822</v>
      </c>
      <c r="O832" t="s">
        <v>3579</v>
      </c>
      <c r="P832" t="s">
        <v>3580</v>
      </c>
      <c r="Q832" t="s">
        <v>3823</v>
      </c>
      <c r="R832" t="s">
        <v>14</v>
      </c>
      <c r="S832" t="s">
        <v>3824</v>
      </c>
      <c r="T832" t="s">
        <v>3825</v>
      </c>
      <c r="U832" t="s">
        <v>2390</v>
      </c>
      <c r="V832" t="s">
        <v>14</v>
      </c>
      <c r="W832" t="b">
        <v>1</v>
      </c>
      <c r="X832" t="s">
        <v>3841</v>
      </c>
      <c r="Y832" t="b">
        <v>0</v>
      </c>
      <c r="Z832" t="s">
        <v>2081</v>
      </c>
    </row>
    <row r="833" spans="1:26" x14ac:dyDescent="0.35">
      <c r="A833" t="s">
        <v>465</v>
      </c>
      <c r="B833" t="s">
        <v>466</v>
      </c>
      <c r="C833" t="s">
        <v>3167</v>
      </c>
      <c r="D833" t="s">
        <v>1963</v>
      </c>
      <c r="E833" t="s">
        <v>2020</v>
      </c>
      <c r="F833" t="s">
        <v>2021</v>
      </c>
      <c r="G833" t="s">
        <v>2022</v>
      </c>
      <c r="H833" t="s">
        <v>2023</v>
      </c>
      <c r="I833" t="s">
        <v>3827</v>
      </c>
      <c r="J833" t="s">
        <v>1963</v>
      </c>
      <c r="K833" t="s">
        <v>3840</v>
      </c>
      <c r="L833" t="s">
        <v>2046</v>
      </c>
      <c r="M833" t="s">
        <v>14</v>
      </c>
      <c r="N833" t="s">
        <v>14</v>
      </c>
      <c r="O833" t="s">
        <v>3579</v>
      </c>
      <c r="P833" t="s">
        <v>3580</v>
      </c>
      <c r="Q833" t="s">
        <v>14</v>
      </c>
      <c r="R833" t="s">
        <v>14</v>
      </c>
      <c r="S833" t="s">
        <v>14</v>
      </c>
      <c r="T833" t="s">
        <v>14</v>
      </c>
      <c r="U833" t="s">
        <v>2390</v>
      </c>
      <c r="V833" t="s">
        <v>14</v>
      </c>
      <c r="W833" t="b">
        <v>1</v>
      </c>
      <c r="X833" t="s">
        <v>3841</v>
      </c>
      <c r="Y833" t="b">
        <v>0</v>
      </c>
      <c r="Z833" t="s">
        <v>2032</v>
      </c>
    </row>
    <row r="834" spans="1:26" x14ac:dyDescent="0.35">
      <c r="A834" t="s">
        <v>465</v>
      </c>
      <c r="B834" t="s">
        <v>466</v>
      </c>
      <c r="C834" t="s">
        <v>3167</v>
      </c>
      <c r="D834" t="s">
        <v>1963</v>
      </c>
      <c r="E834" t="s">
        <v>2020</v>
      </c>
      <c r="F834" t="s">
        <v>2021</v>
      </c>
      <c r="G834" t="s">
        <v>2022</v>
      </c>
      <c r="H834" t="s">
        <v>2023</v>
      </c>
      <c r="I834" t="s">
        <v>76</v>
      </c>
      <c r="J834" t="s">
        <v>1963</v>
      </c>
      <c r="K834" t="s">
        <v>3840</v>
      </c>
      <c r="L834" t="s">
        <v>2046</v>
      </c>
      <c r="M834" t="s">
        <v>3821</v>
      </c>
      <c r="N834" t="s">
        <v>3822</v>
      </c>
      <c r="O834" t="s">
        <v>3579</v>
      </c>
      <c r="P834" t="s">
        <v>3580</v>
      </c>
      <c r="Q834" t="s">
        <v>3823</v>
      </c>
      <c r="R834" t="s">
        <v>14</v>
      </c>
      <c r="S834" t="s">
        <v>3831</v>
      </c>
      <c r="T834" t="s">
        <v>3832</v>
      </c>
      <c r="U834" t="s">
        <v>2390</v>
      </c>
      <c r="V834" t="s">
        <v>14</v>
      </c>
      <c r="W834" t="b">
        <v>1</v>
      </c>
      <c r="X834" t="s">
        <v>3841</v>
      </c>
      <c r="Y834" t="b">
        <v>0</v>
      </c>
      <c r="Z834" t="s">
        <v>2032</v>
      </c>
    </row>
    <row r="835" spans="1:26" x14ac:dyDescent="0.35">
      <c r="A835" t="s">
        <v>465</v>
      </c>
      <c r="B835" t="s">
        <v>466</v>
      </c>
      <c r="C835" t="s">
        <v>3167</v>
      </c>
      <c r="D835" t="s">
        <v>1963</v>
      </c>
      <c r="E835" t="s">
        <v>2020</v>
      </c>
      <c r="F835" t="s">
        <v>2021</v>
      </c>
      <c r="G835" t="s">
        <v>2022</v>
      </c>
      <c r="H835" t="s">
        <v>2023</v>
      </c>
      <c r="I835" t="s">
        <v>3839</v>
      </c>
      <c r="J835" t="s">
        <v>1963</v>
      </c>
      <c r="K835" t="s">
        <v>3840</v>
      </c>
      <c r="L835" t="s">
        <v>2046</v>
      </c>
      <c r="M835" t="s">
        <v>3041</v>
      </c>
      <c r="N835" t="s">
        <v>3042</v>
      </c>
      <c r="O835" t="s">
        <v>3013</v>
      </c>
      <c r="P835" t="s">
        <v>3014</v>
      </c>
      <c r="Q835" t="s">
        <v>3797</v>
      </c>
      <c r="R835" t="s">
        <v>14</v>
      </c>
      <c r="S835" t="s">
        <v>14</v>
      </c>
      <c r="T835" t="s">
        <v>14</v>
      </c>
      <c r="U835" t="s">
        <v>3015</v>
      </c>
      <c r="V835" t="s">
        <v>14</v>
      </c>
      <c r="W835" t="b">
        <v>1</v>
      </c>
      <c r="X835" t="s">
        <v>3841</v>
      </c>
      <c r="Y835" t="b">
        <v>0</v>
      </c>
      <c r="Z835" t="s">
        <v>2081</v>
      </c>
    </row>
    <row r="836" spans="1:26" x14ac:dyDescent="0.35">
      <c r="A836" t="s">
        <v>465</v>
      </c>
      <c r="B836" t="s">
        <v>466</v>
      </c>
      <c r="C836" t="s">
        <v>3167</v>
      </c>
      <c r="D836" t="s">
        <v>1963</v>
      </c>
      <c r="E836" t="s">
        <v>2020</v>
      </c>
      <c r="F836" t="s">
        <v>2021</v>
      </c>
      <c r="G836" t="s">
        <v>2022</v>
      </c>
      <c r="H836" t="s">
        <v>2023</v>
      </c>
      <c r="I836" t="s">
        <v>59</v>
      </c>
      <c r="J836" t="s">
        <v>1963</v>
      </c>
      <c r="K836" t="s">
        <v>3840</v>
      </c>
      <c r="L836" t="s">
        <v>2046</v>
      </c>
      <c r="M836" t="s">
        <v>3041</v>
      </c>
      <c r="N836" t="s">
        <v>3042</v>
      </c>
      <c r="O836" t="s">
        <v>3013</v>
      </c>
      <c r="P836" t="s">
        <v>3014</v>
      </c>
      <c r="Q836" t="s">
        <v>3835</v>
      </c>
      <c r="R836" t="s">
        <v>14</v>
      </c>
      <c r="S836" t="s">
        <v>3836</v>
      </c>
      <c r="T836" t="s">
        <v>3837</v>
      </c>
      <c r="U836" t="s">
        <v>3015</v>
      </c>
      <c r="V836" t="s">
        <v>14</v>
      </c>
      <c r="W836" t="b">
        <v>1</v>
      </c>
      <c r="X836" t="s">
        <v>3841</v>
      </c>
      <c r="Y836" t="b">
        <v>0</v>
      </c>
      <c r="Z836" t="s">
        <v>2032</v>
      </c>
    </row>
    <row r="837" spans="1:26" x14ac:dyDescent="0.35">
      <c r="A837" t="s">
        <v>465</v>
      </c>
      <c r="B837" t="s">
        <v>466</v>
      </c>
      <c r="C837" t="s">
        <v>3167</v>
      </c>
      <c r="D837" t="s">
        <v>1963</v>
      </c>
      <c r="E837" t="s">
        <v>2020</v>
      </c>
      <c r="F837" t="s">
        <v>2021</v>
      </c>
      <c r="G837" t="s">
        <v>2022</v>
      </c>
      <c r="H837" t="s">
        <v>2023</v>
      </c>
      <c r="I837" t="s">
        <v>59</v>
      </c>
      <c r="J837" t="s">
        <v>1963</v>
      </c>
      <c r="K837" t="s">
        <v>3840</v>
      </c>
      <c r="L837" t="s">
        <v>2046</v>
      </c>
      <c r="M837" t="s">
        <v>3041</v>
      </c>
      <c r="N837" t="s">
        <v>3042</v>
      </c>
      <c r="O837" t="s">
        <v>3013</v>
      </c>
      <c r="P837" t="s">
        <v>3014</v>
      </c>
      <c r="Q837" t="s">
        <v>3835</v>
      </c>
      <c r="R837" t="s">
        <v>14</v>
      </c>
      <c r="S837" t="s">
        <v>3836</v>
      </c>
      <c r="T837" t="s">
        <v>3837</v>
      </c>
      <c r="U837" t="s">
        <v>3015</v>
      </c>
      <c r="V837" t="s">
        <v>14</v>
      </c>
      <c r="W837" t="b">
        <v>1</v>
      </c>
      <c r="X837" t="s">
        <v>3841</v>
      </c>
      <c r="Y837" t="b">
        <v>0</v>
      </c>
      <c r="Z837" t="s">
        <v>2032</v>
      </c>
    </row>
    <row r="838" spans="1:26" x14ac:dyDescent="0.35">
      <c r="A838" t="s">
        <v>465</v>
      </c>
      <c r="B838" t="s">
        <v>466</v>
      </c>
      <c r="C838" t="s">
        <v>3167</v>
      </c>
      <c r="D838" t="s">
        <v>1963</v>
      </c>
      <c r="E838" t="s">
        <v>2020</v>
      </c>
      <c r="F838" t="s">
        <v>2021</v>
      </c>
      <c r="G838" t="s">
        <v>2022</v>
      </c>
      <c r="H838" t="s">
        <v>2023</v>
      </c>
      <c r="I838" t="s">
        <v>3811</v>
      </c>
      <c r="J838" t="s">
        <v>1963</v>
      </c>
      <c r="K838" t="s">
        <v>3840</v>
      </c>
      <c r="L838" t="s">
        <v>2046</v>
      </c>
      <c r="M838" t="s">
        <v>3152</v>
      </c>
      <c r="N838" t="s">
        <v>3153</v>
      </c>
      <c r="O838" t="s">
        <v>3536</v>
      </c>
      <c r="P838" t="s">
        <v>3537</v>
      </c>
      <c r="Q838" t="s">
        <v>3566</v>
      </c>
      <c r="R838" t="s">
        <v>14</v>
      </c>
      <c r="S838" t="s">
        <v>3539</v>
      </c>
      <c r="T838" t="s">
        <v>3540</v>
      </c>
      <c r="U838" t="s">
        <v>3015</v>
      </c>
      <c r="V838" t="s">
        <v>14</v>
      </c>
      <c r="W838" t="b">
        <v>1</v>
      </c>
      <c r="X838" t="s">
        <v>3841</v>
      </c>
      <c r="Y838" t="b">
        <v>0</v>
      </c>
      <c r="Z838" t="s">
        <v>2081</v>
      </c>
    </row>
    <row r="839" spans="1:26" x14ac:dyDescent="0.35">
      <c r="A839" t="s">
        <v>465</v>
      </c>
      <c r="B839" t="s">
        <v>466</v>
      </c>
      <c r="C839" t="s">
        <v>3167</v>
      </c>
      <c r="D839" t="s">
        <v>1963</v>
      </c>
      <c r="E839" t="s">
        <v>2020</v>
      </c>
      <c r="F839" t="s">
        <v>2021</v>
      </c>
      <c r="G839" t="s">
        <v>2022</v>
      </c>
      <c r="H839" t="s">
        <v>2023</v>
      </c>
      <c r="I839" t="s">
        <v>3833</v>
      </c>
      <c r="J839" t="s">
        <v>1963</v>
      </c>
      <c r="K839" t="s">
        <v>3840</v>
      </c>
      <c r="L839" t="s">
        <v>2046</v>
      </c>
      <c r="M839" t="s">
        <v>3564</v>
      </c>
      <c r="N839" t="s">
        <v>3565</v>
      </c>
      <c r="O839" t="s">
        <v>3536</v>
      </c>
      <c r="P839" t="s">
        <v>3537</v>
      </c>
      <c r="Q839" t="s">
        <v>3566</v>
      </c>
      <c r="R839" t="s">
        <v>14</v>
      </c>
      <c r="S839" t="s">
        <v>14</v>
      </c>
      <c r="T839" t="s">
        <v>14</v>
      </c>
      <c r="U839" t="s">
        <v>3015</v>
      </c>
      <c r="V839" t="s">
        <v>14</v>
      </c>
      <c r="W839" t="b">
        <v>1</v>
      </c>
      <c r="X839" t="s">
        <v>3841</v>
      </c>
      <c r="Y839" t="b">
        <v>1</v>
      </c>
      <c r="Z839" t="s">
        <v>2032</v>
      </c>
    </row>
    <row r="840" spans="1:26" x14ac:dyDescent="0.35">
      <c r="A840" t="s">
        <v>465</v>
      </c>
      <c r="B840" t="s">
        <v>466</v>
      </c>
      <c r="C840" t="s">
        <v>3167</v>
      </c>
      <c r="D840" t="s">
        <v>1963</v>
      </c>
      <c r="E840" t="s">
        <v>2020</v>
      </c>
      <c r="F840" t="s">
        <v>2021</v>
      </c>
      <c r="G840" t="s">
        <v>2022</v>
      </c>
      <c r="H840" t="s">
        <v>2023</v>
      </c>
      <c r="I840" t="s">
        <v>3804</v>
      </c>
      <c r="J840" t="s">
        <v>1963</v>
      </c>
      <c r="K840" t="s">
        <v>3840</v>
      </c>
      <c r="L840" t="s">
        <v>2046</v>
      </c>
      <c r="M840" t="s">
        <v>3806</v>
      </c>
      <c r="N840" t="s">
        <v>3807</v>
      </c>
      <c r="O840" t="s">
        <v>3579</v>
      </c>
      <c r="P840" t="s">
        <v>3580</v>
      </c>
      <c r="Q840" t="s">
        <v>14</v>
      </c>
      <c r="R840" t="s">
        <v>14</v>
      </c>
      <c r="S840" t="s">
        <v>3808</v>
      </c>
      <c r="T840" t="s">
        <v>3809</v>
      </c>
      <c r="U840" t="s">
        <v>2390</v>
      </c>
      <c r="V840" t="s">
        <v>14</v>
      </c>
      <c r="W840" t="b">
        <v>1</v>
      </c>
      <c r="X840" t="s">
        <v>3841</v>
      </c>
      <c r="Y840" t="b">
        <v>0</v>
      </c>
      <c r="Z840" t="s">
        <v>2032</v>
      </c>
    </row>
    <row r="841" spans="1:26" x14ac:dyDescent="0.35">
      <c r="A841" t="s">
        <v>465</v>
      </c>
      <c r="B841" t="s">
        <v>466</v>
      </c>
      <c r="C841" t="s">
        <v>3167</v>
      </c>
      <c r="D841" t="s">
        <v>1963</v>
      </c>
      <c r="E841" t="s">
        <v>2020</v>
      </c>
      <c r="F841" t="s">
        <v>2021</v>
      </c>
      <c r="G841" t="s">
        <v>2022</v>
      </c>
      <c r="H841" t="s">
        <v>2023</v>
      </c>
      <c r="I841" t="s">
        <v>59</v>
      </c>
      <c r="J841" t="s">
        <v>1963</v>
      </c>
      <c r="K841" t="s">
        <v>3840</v>
      </c>
      <c r="L841" t="s">
        <v>2046</v>
      </c>
      <c r="M841" t="s">
        <v>3041</v>
      </c>
      <c r="N841" t="s">
        <v>3042</v>
      </c>
      <c r="O841" t="s">
        <v>3013</v>
      </c>
      <c r="P841" t="s">
        <v>3014</v>
      </c>
      <c r="Q841" t="s">
        <v>3835</v>
      </c>
      <c r="R841" t="s">
        <v>14</v>
      </c>
      <c r="S841" t="s">
        <v>3836</v>
      </c>
      <c r="T841" t="s">
        <v>3837</v>
      </c>
      <c r="U841" t="s">
        <v>3015</v>
      </c>
      <c r="V841" t="s">
        <v>14</v>
      </c>
      <c r="W841" t="b">
        <v>1</v>
      </c>
      <c r="X841" t="s">
        <v>3841</v>
      </c>
      <c r="Y841" t="b">
        <v>0</v>
      </c>
      <c r="Z841" t="s">
        <v>2032</v>
      </c>
    </row>
    <row r="842" spans="1:26" x14ac:dyDescent="0.35">
      <c r="A842" t="s">
        <v>465</v>
      </c>
      <c r="B842" t="s">
        <v>466</v>
      </c>
      <c r="C842" t="s">
        <v>3167</v>
      </c>
      <c r="D842" t="s">
        <v>1963</v>
      </c>
      <c r="E842" t="s">
        <v>2020</v>
      </c>
      <c r="F842" t="s">
        <v>2021</v>
      </c>
      <c r="G842" t="s">
        <v>2022</v>
      </c>
      <c r="H842" t="s">
        <v>2023</v>
      </c>
      <c r="I842" t="s">
        <v>3174</v>
      </c>
      <c r="J842" t="s">
        <v>1963</v>
      </c>
      <c r="K842" t="s">
        <v>3840</v>
      </c>
      <c r="L842" t="s">
        <v>2046</v>
      </c>
      <c r="M842" t="s">
        <v>3176</v>
      </c>
      <c r="N842" t="s">
        <v>3177</v>
      </c>
      <c r="O842" t="s">
        <v>3154</v>
      </c>
      <c r="P842" t="s">
        <v>3155</v>
      </c>
      <c r="Q842" t="s">
        <v>3178</v>
      </c>
      <c r="R842" t="s">
        <v>14</v>
      </c>
      <c r="S842" t="s">
        <v>3179</v>
      </c>
      <c r="T842" t="s">
        <v>3180</v>
      </c>
      <c r="U842" t="s">
        <v>3015</v>
      </c>
      <c r="V842" t="s">
        <v>14</v>
      </c>
      <c r="W842" t="b">
        <v>1</v>
      </c>
      <c r="X842" t="s">
        <v>3841</v>
      </c>
      <c r="Y842" t="b">
        <v>0</v>
      </c>
      <c r="Z842" t="s">
        <v>2032</v>
      </c>
    </row>
    <row r="843" spans="1:26" x14ac:dyDescent="0.35">
      <c r="A843" t="s">
        <v>465</v>
      </c>
      <c r="B843" t="s">
        <v>466</v>
      </c>
      <c r="C843" t="s">
        <v>3167</v>
      </c>
      <c r="D843" t="s">
        <v>1963</v>
      </c>
      <c r="E843" t="s">
        <v>2020</v>
      </c>
      <c r="F843" t="s">
        <v>2021</v>
      </c>
      <c r="G843" t="s">
        <v>2022</v>
      </c>
      <c r="H843" t="s">
        <v>2023</v>
      </c>
      <c r="I843" t="s">
        <v>59</v>
      </c>
      <c r="J843" t="s">
        <v>1963</v>
      </c>
      <c r="K843" t="s">
        <v>3840</v>
      </c>
      <c r="L843" t="s">
        <v>2046</v>
      </c>
      <c r="M843" t="s">
        <v>3041</v>
      </c>
      <c r="N843" t="s">
        <v>3042</v>
      </c>
      <c r="O843" t="s">
        <v>3013</v>
      </c>
      <c r="P843" t="s">
        <v>3014</v>
      </c>
      <c r="Q843" t="s">
        <v>3835</v>
      </c>
      <c r="R843" t="s">
        <v>14</v>
      </c>
      <c r="S843" t="s">
        <v>3836</v>
      </c>
      <c r="T843" t="s">
        <v>3837</v>
      </c>
      <c r="U843" t="s">
        <v>3015</v>
      </c>
      <c r="V843" t="s">
        <v>14</v>
      </c>
      <c r="W843" t="b">
        <v>1</v>
      </c>
      <c r="X843" t="s">
        <v>3841</v>
      </c>
      <c r="Y843" t="b">
        <v>0</v>
      </c>
      <c r="Z843" t="s">
        <v>2032</v>
      </c>
    </row>
    <row r="844" spans="1:26" x14ac:dyDescent="0.35">
      <c r="A844" t="s">
        <v>465</v>
      </c>
      <c r="B844" t="s">
        <v>466</v>
      </c>
      <c r="C844" t="s">
        <v>3167</v>
      </c>
      <c r="D844" t="s">
        <v>1963</v>
      </c>
      <c r="E844" t="s">
        <v>2020</v>
      </c>
      <c r="F844" t="s">
        <v>2021</v>
      </c>
      <c r="G844" t="s">
        <v>2022</v>
      </c>
      <c r="H844" t="s">
        <v>2023</v>
      </c>
      <c r="I844" t="s">
        <v>59</v>
      </c>
      <c r="J844" t="s">
        <v>1963</v>
      </c>
      <c r="K844" t="s">
        <v>3840</v>
      </c>
      <c r="L844" t="s">
        <v>2046</v>
      </c>
      <c r="M844" t="s">
        <v>3041</v>
      </c>
      <c r="N844" t="s">
        <v>3042</v>
      </c>
      <c r="O844" t="s">
        <v>3013</v>
      </c>
      <c r="P844" t="s">
        <v>3014</v>
      </c>
      <c r="Q844" t="s">
        <v>3835</v>
      </c>
      <c r="R844" t="s">
        <v>14</v>
      </c>
      <c r="S844" t="s">
        <v>3836</v>
      </c>
      <c r="T844" t="s">
        <v>3837</v>
      </c>
      <c r="U844" t="s">
        <v>3015</v>
      </c>
      <c r="V844" t="s">
        <v>14</v>
      </c>
      <c r="W844" t="b">
        <v>1</v>
      </c>
      <c r="X844" t="s">
        <v>3841</v>
      </c>
      <c r="Y844" t="b">
        <v>0</v>
      </c>
      <c r="Z844" t="s">
        <v>2032</v>
      </c>
    </row>
    <row r="845" spans="1:26" x14ac:dyDescent="0.35">
      <c r="A845" t="s">
        <v>465</v>
      </c>
      <c r="B845" t="s">
        <v>466</v>
      </c>
      <c r="C845" t="s">
        <v>3167</v>
      </c>
      <c r="D845" t="s">
        <v>1963</v>
      </c>
      <c r="E845" t="s">
        <v>2020</v>
      </c>
      <c r="F845" t="s">
        <v>2021</v>
      </c>
      <c r="G845" t="s">
        <v>2022</v>
      </c>
      <c r="H845" t="s">
        <v>2023</v>
      </c>
      <c r="I845" t="s">
        <v>59</v>
      </c>
      <c r="J845" t="s">
        <v>1963</v>
      </c>
      <c r="K845" t="s">
        <v>3840</v>
      </c>
      <c r="L845" t="s">
        <v>2046</v>
      </c>
      <c r="M845" t="s">
        <v>3041</v>
      </c>
      <c r="N845" t="s">
        <v>3042</v>
      </c>
      <c r="O845" t="s">
        <v>3013</v>
      </c>
      <c r="P845" t="s">
        <v>3014</v>
      </c>
      <c r="Q845" t="s">
        <v>3835</v>
      </c>
      <c r="R845" t="s">
        <v>14</v>
      </c>
      <c r="S845" t="s">
        <v>3836</v>
      </c>
      <c r="T845" t="s">
        <v>3837</v>
      </c>
      <c r="U845" t="s">
        <v>3015</v>
      </c>
      <c r="V845" t="s">
        <v>14</v>
      </c>
      <c r="W845" t="b">
        <v>1</v>
      </c>
      <c r="X845" t="s">
        <v>3841</v>
      </c>
      <c r="Y845" t="b">
        <v>0</v>
      </c>
      <c r="Z845" t="s">
        <v>2032</v>
      </c>
    </row>
    <row r="846" spans="1:26" x14ac:dyDescent="0.35">
      <c r="A846" t="s">
        <v>465</v>
      </c>
      <c r="B846" t="s">
        <v>466</v>
      </c>
      <c r="C846" t="s">
        <v>3167</v>
      </c>
      <c r="D846" t="s">
        <v>1963</v>
      </c>
      <c r="E846" t="s">
        <v>2020</v>
      </c>
      <c r="F846" t="s">
        <v>2021</v>
      </c>
      <c r="G846" t="s">
        <v>2022</v>
      </c>
      <c r="H846" t="s">
        <v>2023</v>
      </c>
      <c r="I846" t="s">
        <v>3812</v>
      </c>
      <c r="J846" t="s">
        <v>1963</v>
      </c>
      <c r="K846" t="s">
        <v>3840</v>
      </c>
      <c r="L846" t="s">
        <v>2046</v>
      </c>
      <c r="M846" t="s">
        <v>3564</v>
      </c>
      <c r="N846" t="s">
        <v>3565</v>
      </c>
      <c r="O846" t="s">
        <v>3536</v>
      </c>
      <c r="P846" t="s">
        <v>3537</v>
      </c>
      <c r="Q846" t="s">
        <v>3566</v>
      </c>
      <c r="R846" t="s">
        <v>14</v>
      </c>
      <c r="S846" t="s">
        <v>3813</v>
      </c>
      <c r="T846" t="s">
        <v>3814</v>
      </c>
      <c r="U846" t="s">
        <v>3015</v>
      </c>
      <c r="V846" t="s">
        <v>14</v>
      </c>
      <c r="W846" t="b">
        <v>1</v>
      </c>
      <c r="X846" t="s">
        <v>3841</v>
      </c>
      <c r="Y846" t="b">
        <v>1</v>
      </c>
      <c r="Z846" t="s">
        <v>2081</v>
      </c>
    </row>
    <row r="847" spans="1:26" x14ac:dyDescent="0.35">
      <c r="A847" t="s">
        <v>465</v>
      </c>
      <c r="B847" t="s">
        <v>466</v>
      </c>
      <c r="C847" t="s">
        <v>3167</v>
      </c>
      <c r="D847" t="s">
        <v>1963</v>
      </c>
      <c r="E847" t="s">
        <v>2020</v>
      </c>
      <c r="F847" t="s">
        <v>2021</v>
      </c>
      <c r="G847" t="s">
        <v>2022</v>
      </c>
      <c r="H847" t="s">
        <v>2023</v>
      </c>
      <c r="I847" t="s">
        <v>59</v>
      </c>
      <c r="J847" t="s">
        <v>1963</v>
      </c>
      <c r="K847" t="s">
        <v>3840</v>
      </c>
      <c r="L847" t="s">
        <v>2046</v>
      </c>
      <c r="M847" t="s">
        <v>3041</v>
      </c>
      <c r="N847" t="s">
        <v>3042</v>
      </c>
      <c r="O847" t="s">
        <v>3013</v>
      </c>
      <c r="P847" t="s">
        <v>3014</v>
      </c>
      <c r="Q847" t="s">
        <v>3835</v>
      </c>
      <c r="R847" t="s">
        <v>14</v>
      </c>
      <c r="S847" t="s">
        <v>3836</v>
      </c>
      <c r="T847" t="s">
        <v>3837</v>
      </c>
      <c r="U847" t="s">
        <v>3015</v>
      </c>
      <c r="V847" t="s">
        <v>14</v>
      </c>
      <c r="W847" t="b">
        <v>1</v>
      </c>
      <c r="X847" t="s">
        <v>3841</v>
      </c>
      <c r="Y847" t="b">
        <v>0</v>
      </c>
      <c r="Z847" t="s">
        <v>2032</v>
      </c>
    </row>
    <row r="848" spans="1:26" x14ac:dyDescent="0.35">
      <c r="A848" t="s">
        <v>465</v>
      </c>
      <c r="B848" t="s">
        <v>466</v>
      </c>
      <c r="C848" t="s">
        <v>3167</v>
      </c>
      <c r="D848" t="s">
        <v>1963</v>
      </c>
      <c r="E848" t="s">
        <v>2020</v>
      </c>
      <c r="F848" t="s">
        <v>2021</v>
      </c>
      <c r="G848" t="s">
        <v>2022</v>
      </c>
      <c r="H848" t="s">
        <v>2023</v>
      </c>
      <c r="I848" t="s">
        <v>3828</v>
      </c>
      <c r="J848" t="s">
        <v>1963</v>
      </c>
      <c r="K848" t="s">
        <v>3840</v>
      </c>
      <c r="L848" t="s">
        <v>2046</v>
      </c>
      <c r="M848" t="s">
        <v>3829</v>
      </c>
      <c r="N848" t="s">
        <v>3830</v>
      </c>
      <c r="O848" t="s">
        <v>3013</v>
      </c>
      <c r="P848" t="s">
        <v>3014</v>
      </c>
      <c r="Q848" t="s">
        <v>14</v>
      </c>
      <c r="R848" t="s">
        <v>14</v>
      </c>
      <c r="S848" t="s">
        <v>14</v>
      </c>
      <c r="T848" t="s">
        <v>14</v>
      </c>
      <c r="U848" t="s">
        <v>3015</v>
      </c>
      <c r="V848" t="s">
        <v>14</v>
      </c>
      <c r="W848" t="b">
        <v>1</v>
      </c>
      <c r="X848" t="s">
        <v>3841</v>
      </c>
      <c r="Y848" t="b">
        <v>0</v>
      </c>
      <c r="Z848" t="s">
        <v>2081</v>
      </c>
    </row>
    <row r="849" spans="1:26" x14ac:dyDescent="0.35">
      <c r="A849" t="s">
        <v>465</v>
      </c>
      <c r="B849" t="s">
        <v>466</v>
      </c>
      <c r="C849" t="s">
        <v>3167</v>
      </c>
      <c r="D849" t="s">
        <v>1963</v>
      </c>
      <c r="E849" t="s">
        <v>2020</v>
      </c>
      <c r="F849" t="s">
        <v>2021</v>
      </c>
      <c r="G849" t="s">
        <v>2022</v>
      </c>
      <c r="H849" t="s">
        <v>2023</v>
      </c>
      <c r="I849" t="s">
        <v>3815</v>
      </c>
      <c r="J849" t="s">
        <v>1963</v>
      </c>
      <c r="K849" t="s">
        <v>3840</v>
      </c>
      <c r="L849" t="s">
        <v>2046</v>
      </c>
      <c r="M849" t="s">
        <v>3816</v>
      </c>
      <c r="N849" t="s">
        <v>3817</v>
      </c>
      <c r="O849" t="s">
        <v>3579</v>
      </c>
      <c r="P849" t="s">
        <v>3580</v>
      </c>
      <c r="Q849" t="s">
        <v>14</v>
      </c>
      <c r="R849" t="s">
        <v>14</v>
      </c>
      <c r="S849" t="s">
        <v>3818</v>
      </c>
      <c r="T849" t="s">
        <v>3819</v>
      </c>
      <c r="U849" t="s">
        <v>2390</v>
      </c>
      <c r="V849" t="s">
        <v>14</v>
      </c>
      <c r="W849" t="b">
        <v>1</v>
      </c>
      <c r="X849" t="s">
        <v>3841</v>
      </c>
      <c r="Y849" t="b">
        <v>1</v>
      </c>
      <c r="Z849" t="s">
        <v>2032</v>
      </c>
    </row>
    <row r="850" spans="1:26" x14ac:dyDescent="0.35">
      <c r="A850" t="s">
        <v>465</v>
      </c>
      <c r="B850" t="s">
        <v>466</v>
      </c>
      <c r="C850" t="s">
        <v>3167</v>
      </c>
      <c r="D850" t="s">
        <v>1963</v>
      </c>
      <c r="E850" t="s">
        <v>2020</v>
      </c>
      <c r="F850" t="s">
        <v>2021</v>
      </c>
      <c r="G850" t="s">
        <v>2022</v>
      </c>
      <c r="H850" t="s">
        <v>2023</v>
      </c>
      <c r="I850" t="s">
        <v>59</v>
      </c>
      <c r="J850" t="s">
        <v>1963</v>
      </c>
      <c r="K850" t="s">
        <v>3840</v>
      </c>
      <c r="L850" t="s">
        <v>2046</v>
      </c>
      <c r="M850" t="s">
        <v>3041</v>
      </c>
      <c r="N850" t="s">
        <v>3042</v>
      </c>
      <c r="O850" t="s">
        <v>3013</v>
      </c>
      <c r="P850" t="s">
        <v>3014</v>
      </c>
      <c r="Q850" t="s">
        <v>3835</v>
      </c>
      <c r="R850" t="s">
        <v>14</v>
      </c>
      <c r="S850" t="s">
        <v>3836</v>
      </c>
      <c r="T850" t="s">
        <v>3837</v>
      </c>
      <c r="U850" t="s">
        <v>3015</v>
      </c>
      <c r="V850" t="s">
        <v>14</v>
      </c>
      <c r="W850" t="b">
        <v>1</v>
      </c>
      <c r="X850" t="s">
        <v>3841</v>
      </c>
      <c r="Y850" t="b">
        <v>0</v>
      </c>
      <c r="Z850" t="s">
        <v>2032</v>
      </c>
    </row>
    <row r="851" spans="1:26" x14ac:dyDescent="0.35">
      <c r="A851" t="s">
        <v>465</v>
      </c>
      <c r="B851" t="s">
        <v>466</v>
      </c>
      <c r="C851" t="s">
        <v>3167</v>
      </c>
      <c r="D851" t="s">
        <v>1963</v>
      </c>
      <c r="E851" t="s">
        <v>2020</v>
      </c>
      <c r="F851" t="s">
        <v>2021</v>
      </c>
      <c r="G851" t="s">
        <v>2022</v>
      </c>
      <c r="H851" t="s">
        <v>2023</v>
      </c>
      <c r="I851" t="s">
        <v>3826</v>
      </c>
      <c r="J851" t="s">
        <v>1963</v>
      </c>
      <c r="K851" t="s">
        <v>3840</v>
      </c>
      <c r="L851" t="s">
        <v>2046</v>
      </c>
      <c r="M851" t="s">
        <v>3577</v>
      </c>
      <c r="N851" t="s">
        <v>3578</v>
      </c>
      <c r="O851" t="s">
        <v>3579</v>
      </c>
      <c r="P851" t="s">
        <v>3580</v>
      </c>
      <c r="Q851" t="s">
        <v>14</v>
      </c>
      <c r="R851" t="s">
        <v>14</v>
      </c>
      <c r="S851" t="s">
        <v>3818</v>
      </c>
      <c r="T851" t="s">
        <v>3819</v>
      </c>
      <c r="U851" t="s">
        <v>2390</v>
      </c>
      <c r="V851" t="s">
        <v>14</v>
      </c>
      <c r="W851" t="b">
        <v>1</v>
      </c>
      <c r="X851" t="s">
        <v>3841</v>
      </c>
      <c r="Y851" t="b">
        <v>1</v>
      </c>
      <c r="Z851" t="s">
        <v>2032</v>
      </c>
    </row>
    <row r="852" spans="1:26" x14ac:dyDescent="0.35">
      <c r="A852" t="s">
        <v>465</v>
      </c>
      <c r="B852" t="s">
        <v>466</v>
      </c>
      <c r="C852" t="s">
        <v>3167</v>
      </c>
      <c r="D852" t="s">
        <v>1963</v>
      </c>
      <c r="E852" t="s">
        <v>2020</v>
      </c>
      <c r="F852" t="s">
        <v>2021</v>
      </c>
      <c r="G852" t="s">
        <v>2022</v>
      </c>
      <c r="H852" t="s">
        <v>2023</v>
      </c>
      <c r="I852" t="s">
        <v>59</v>
      </c>
      <c r="J852" t="s">
        <v>1963</v>
      </c>
      <c r="K852" t="s">
        <v>3840</v>
      </c>
      <c r="L852" t="s">
        <v>2046</v>
      </c>
      <c r="M852" t="s">
        <v>3041</v>
      </c>
      <c r="N852" t="s">
        <v>3042</v>
      </c>
      <c r="O852" t="s">
        <v>3013</v>
      </c>
      <c r="P852" t="s">
        <v>3014</v>
      </c>
      <c r="Q852" t="s">
        <v>3835</v>
      </c>
      <c r="R852" t="s">
        <v>14</v>
      </c>
      <c r="S852" t="s">
        <v>3836</v>
      </c>
      <c r="T852" t="s">
        <v>3837</v>
      </c>
      <c r="U852" t="s">
        <v>3015</v>
      </c>
      <c r="V852" t="s">
        <v>14</v>
      </c>
      <c r="W852" t="b">
        <v>1</v>
      </c>
      <c r="X852" t="s">
        <v>3841</v>
      </c>
      <c r="Y852" t="b">
        <v>0</v>
      </c>
      <c r="Z852" t="s">
        <v>2032</v>
      </c>
    </row>
    <row r="853" spans="1:26" x14ac:dyDescent="0.35">
      <c r="A853" t="s">
        <v>467</v>
      </c>
      <c r="B853" t="s">
        <v>468</v>
      </c>
      <c r="C853" t="s">
        <v>3167</v>
      </c>
      <c r="D853" t="s">
        <v>1963</v>
      </c>
      <c r="E853" t="s">
        <v>2020</v>
      </c>
      <c r="F853" t="s">
        <v>2021</v>
      </c>
      <c r="G853" t="s">
        <v>2022</v>
      </c>
      <c r="H853" t="s">
        <v>2023</v>
      </c>
      <c r="I853" t="s">
        <v>59</v>
      </c>
      <c r="J853" t="s">
        <v>1963</v>
      </c>
      <c r="K853" t="s">
        <v>3842</v>
      </c>
      <c r="L853" t="s">
        <v>2046</v>
      </c>
      <c r="M853" t="s">
        <v>3041</v>
      </c>
      <c r="N853" t="s">
        <v>3042</v>
      </c>
      <c r="O853" t="s">
        <v>3013</v>
      </c>
      <c r="P853" t="s">
        <v>3014</v>
      </c>
      <c r="Q853" t="s">
        <v>3835</v>
      </c>
      <c r="R853" t="s">
        <v>14</v>
      </c>
      <c r="S853" t="s">
        <v>3836</v>
      </c>
      <c r="T853" t="s">
        <v>3837</v>
      </c>
      <c r="U853" t="s">
        <v>3015</v>
      </c>
      <c r="V853" t="s">
        <v>14</v>
      </c>
      <c r="W853" t="b">
        <v>1</v>
      </c>
      <c r="X853" t="s">
        <v>3843</v>
      </c>
      <c r="Y853" t="b">
        <v>0</v>
      </c>
      <c r="Z853" t="s">
        <v>2032</v>
      </c>
    </row>
    <row r="854" spans="1:26" x14ac:dyDescent="0.35">
      <c r="A854" t="s">
        <v>467</v>
      </c>
      <c r="B854" t="s">
        <v>468</v>
      </c>
      <c r="C854" t="s">
        <v>3167</v>
      </c>
      <c r="D854" t="s">
        <v>1963</v>
      </c>
      <c r="E854" t="s">
        <v>2020</v>
      </c>
      <c r="F854" t="s">
        <v>2021</v>
      </c>
      <c r="G854" t="s">
        <v>2022</v>
      </c>
      <c r="H854" t="s">
        <v>2023</v>
      </c>
      <c r="I854" t="s">
        <v>59</v>
      </c>
      <c r="J854" t="s">
        <v>1963</v>
      </c>
      <c r="K854" t="s">
        <v>3842</v>
      </c>
      <c r="L854" t="s">
        <v>2046</v>
      </c>
      <c r="M854" t="s">
        <v>3041</v>
      </c>
      <c r="N854" t="s">
        <v>3042</v>
      </c>
      <c r="O854" t="s">
        <v>3013</v>
      </c>
      <c r="P854" t="s">
        <v>3014</v>
      </c>
      <c r="Q854" t="s">
        <v>3835</v>
      </c>
      <c r="R854" t="s">
        <v>14</v>
      </c>
      <c r="S854" t="s">
        <v>3836</v>
      </c>
      <c r="T854" t="s">
        <v>3837</v>
      </c>
      <c r="U854" t="s">
        <v>3015</v>
      </c>
      <c r="V854" t="s">
        <v>14</v>
      </c>
      <c r="W854" t="b">
        <v>1</v>
      </c>
      <c r="X854" t="s">
        <v>3843</v>
      </c>
      <c r="Y854" t="b">
        <v>0</v>
      </c>
      <c r="Z854" t="s">
        <v>2032</v>
      </c>
    </row>
    <row r="855" spans="1:26" x14ac:dyDescent="0.35">
      <c r="A855" t="s">
        <v>467</v>
      </c>
      <c r="B855" t="s">
        <v>468</v>
      </c>
      <c r="C855" t="s">
        <v>3167</v>
      </c>
      <c r="D855" t="s">
        <v>1963</v>
      </c>
      <c r="E855" t="s">
        <v>2020</v>
      </c>
      <c r="F855" t="s">
        <v>2021</v>
      </c>
      <c r="G855" t="s">
        <v>2022</v>
      </c>
      <c r="H855" t="s">
        <v>2023</v>
      </c>
      <c r="I855" t="s">
        <v>59</v>
      </c>
      <c r="J855" t="s">
        <v>1963</v>
      </c>
      <c r="K855" t="s">
        <v>3842</v>
      </c>
      <c r="L855" t="s">
        <v>2046</v>
      </c>
      <c r="M855" t="s">
        <v>3041</v>
      </c>
      <c r="N855" t="s">
        <v>3042</v>
      </c>
      <c r="O855" t="s">
        <v>3013</v>
      </c>
      <c r="P855" t="s">
        <v>3014</v>
      </c>
      <c r="Q855" t="s">
        <v>3835</v>
      </c>
      <c r="R855" t="s">
        <v>14</v>
      </c>
      <c r="S855" t="s">
        <v>3836</v>
      </c>
      <c r="T855" t="s">
        <v>3837</v>
      </c>
      <c r="U855" t="s">
        <v>3015</v>
      </c>
      <c r="V855" t="s">
        <v>14</v>
      </c>
      <c r="W855" t="b">
        <v>1</v>
      </c>
      <c r="X855" t="s">
        <v>3843</v>
      </c>
      <c r="Y855" t="b">
        <v>0</v>
      </c>
      <c r="Z855" t="s">
        <v>2032</v>
      </c>
    </row>
    <row r="856" spans="1:26" x14ac:dyDescent="0.35">
      <c r="A856" t="s">
        <v>467</v>
      </c>
      <c r="B856" t="s">
        <v>468</v>
      </c>
      <c r="C856" t="s">
        <v>3167</v>
      </c>
      <c r="D856" t="s">
        <v>1963</v>
      </c>
      <c r="E856" t="s">
        <v>2020</v>
      </c>
      <c r="F856" t="s">
        <v>2021</v>
      </c>
      <c r="G856" t="s">
        <v>2022</v>
      </c>
      <c r="H856" t="s">
        <v>2023</v>
      </c>
      <c r="I856" t="s">
        <v>59</v>
      </c>
      <c r="J856" t="s">
        <v>1963</v>
      </c>
      <c r="K856" t="s">
        <v>3842</v>
      </c>
      <c r="L856" t="s">
        <v>2046</v>
      </c>
      <c r="M856" t="s">
        <v>3041</v>
      </c>
      <c r="N856" t="s">
        <v>3042</v>
      </c>
      <c r="O856" t="s">
        <v>3013</v>
      </c>
      <c r="P856" t="s">
        <v>3014</v>
      </c>
      <c r="Q856" t="s">
        <v>3835</v>
      </c>
      <c r="R856" t="s">
        <v>14</v>
      </c>
      <c r="S856" t="s">
        <v>3836</v>
      </c>
      <c r="T856" t="s">
        <v>3837</v>
      </c>
      <c r="U856" t="s">
        <v>3015</v>
      </c>
      <c r="V856" t="s">
        <v>14</v>
      </c>
      <c r="W856" t="b">
        <v>1</v>
      </c>
      <c r="X856" t="s">
        <v>3843</v>
      </c>
      <c r="Y856" t="b">
        <v>0</v>
      </c>
      <c r="Z856" t="s">
        <v>2032</v>
      </c>
    </row>
    <row r="857" spans="1:26" x14ac:dyDescent="0.35">
      <c r="A857" t="s">
        <v>467</v>
      </c>
      <c r="B857" t="s">
        <v>468</v>
      </c>
      <c r="C857" t="s">
        <v>3167</v>
      </c>
      <c r="D857" t="s">
        <v>1963</v>
      </c>
      <c r="E857" t="s">
        <v>2020</v>
      </c>
      <c r="F857" t="s">
        <v>2021</v>
      </c>
      <c r="G857" t="s">
        <v>2022</v>
      </c>
      <c r="H857" t="s">
        <v>2023</v>
      </c>
      <c r="I857" t="s">
        <v>59</v>
      </c>
      <c r="J857" t="s">
        <v>1963</v>
      </c>
      <c r="K857" t="s">
        <v>3842</v>
      </c>
      <c r="L857" t="s">
        <v>2046</v>
      </c>
      <c r="M857" t="s">
        <v>3041</v>
      </c>
      <c r="N857" t="s">
        <v>3042</v>
      </c>
      <c r="O857" t="s">
        <v>3013</v>
      </c>
      <c r="P857" t="s">
        <v>3014</v>
      </c>
      <c r="Q857" t="s">
        <v>3835</v>
      </c>
      <c r="R857" t="s">
        <v>14</v>
      </c>
      <c r="S857" t="s">
        <v>3836</v>
      </c>
      <c r="T857" t="s">
        <v>3837</v>
      </c>
      <c r="U857" t="s">
        <v>3015</v>
      </c>
      <c r="V857" t="s">
        <v>14</v>
      </c>
      <c r="W857" t="b">
        <v>1</v>
      </c>
      <c r="X857" t="s">
        <v>3843</v>
      </c>
      <c r="Y857" t="b">
        <v>0</v>
      </c>
      <c r="Z857" t="s">
        <v>2032</v>
      </c>
    </row>
    <row r="858" spans="1:26" x14ac:dyDescent="0.35">
      <c r="A858" t="s">
        <v>467</v>
      </c>
      <c r="B858" t="s">
        <v>468</v>
      </c>
      <c r="C858" t="s">
        <v>3167</v>
      </c>
      <c r="D858" t="s">
        <v>1963</v>
      </c>
      <c r="E858" t="s">
        <v>2020</v>
      </c>
      <c r="F858" t="s">
        <v>2021</v>
      </c>
      <c r="G858" t="s">
        <v>2022</v>
      </c>
      <c r="H858" t="s">
        <v>2023</v>
      </c>
      <c r="I858" t="s">
        <v>59</v>
      </c>
      <c r="J858" t="s">
        <v>1963</v>
      </c>
      <c r="K858" t="s">
        <v>3842</v>
      </c>
      <c r="L858" t="s">
        <v>2046</v>
      </c>
      <c r="M858" t="s">
        <v>3041</v>
      </c>
      <c r="N858" t="s">
        <v>3042</v>
      </c>
      <c r="O858" t="s">
        <v>3013</v>
      </c>
      <c r="P858" t="s">
        <v>3014</v>
      </c>
      <c r="Q858" t="s">
        <v>3835</v>
      </c>
      <c r="R858" t="s">
        <v>14</v>
      </c>
      <c r="S858" t="s">
        <v>3836</v>
      </c>
      <c r="T858" t="s">
        <v>3837</v>
      </c>
      <c r="U858" t="s">
        <v>3015</v>
      </c>
      <c r="V858" t="s">
        <v>14</v>
      </c>
      <c r="W858" t="b">
        <v>1</v>
      </c>
      <c r="X858" t="s">
        <v>3843</v>
      </c>
      <c r="Y858" t="b">
        <v>0</v>
      </c>
      <c r="Z858" t="s">
        <v>2032</v>
      </c>
    </row>
    <row r="859" spans="1:26" x14ac:dyDescent="0.35">
      <c r="A859" t="s">
        <v>467</v>
      </c>
      <c r="B859" t="s">
        <v>468</v>
      </c>
      <c r="C859" t="s">
        <v>3167</v>
      </c>
      <c r="D859" t="s">
        <v>1963</v>
      </c>
      <c r="E859" t="s">
        <v>2020</v>
      </c>
      <c r="F859" t="s">
        <v>2021</v>
      </c>
      <c r="G859" t="s">
        <v>2022</v>
      </c>
      <c r="H859" t="s">
        <v>2023</v>
      </c>
      <c r="I859" t="s">
        <v>3828</v>
      </c>
      <c r="J859" t="s">
        <v>1963</v>
      </c>
      <c r="K859" t="s">
        <v>3842</v>
      </c>
      <c r="L859" t="s">
        <v>2046</v>
      </c>
      <c r="M859" t="s">
        <v>3829</v>
      </c>
      <c r="N859" t="s">
        <v>3830</v>
      </c>
      <c r="O859" t="s">
        <v>3013</v>
      </c>
      <c r="P859" t="s">
        <v>3014</v>
      </c>
      <c r="Q859" t="s">
        <v>14</v>
      </c>
      <c r="R859" t="s">
        <v>14</v>
      </c>
      <c r="S859" t="s">
        <v>14</v>
      </c>
      <c r="T859" t="s">
        <v>14</v>
      </c>
      <c r="U859" t="s">
        <v>3015</v>
      </c>
      <c r="V859" t="s">
        <v>14</v>
      </c>
      <c r="W859" t="b">
        <v>1</v>
      </c>
      <c r="X859" t="s">
        <v>3843</v>
      </c>
      <c r="Y859" t="b">
        <v>0</v>
      </c>
      <c r="Z859" t="s">
        <v>2081</v>
      </c>
    </row>
    <row r="860" spans="1:26" x14ac:dyDescent="0.35">
      <c r="A860" t="s">
        <v>467</v>
      </c>
      <c r="B860" t="s">
        <v>468</v>
      </c>
      <c r="C860" t="s">
        <v>3167</v>
      </c>
      <c r="D860" t="s">
        <v>1963</v>
      </c>
      <c r="E860" t="s">
        <v>2020</v>
      </c>
      <c r="F860" t="s">
        <v>2021</v>
      </c>
      <c r="G860" t="s">
        <v>2022</v>
      </c>
      <c r="H860" t="s">
        <v>2023</v>
      </c>
      <c r="I860" t="s">
        <v>3839</v>
      </c>
      <c r="J860" t="s">
        <v>1963</v>
      </c>
      <c r="K860" t="s">
        <v>3842</v>
      </c>
      <c r="L860" t="s">
        <v>2046</v>
      </c>
      <c r="M860" t="s">
        <v>3041</v>
      </c>
      <c r="N860" t="s">
        <v>3042</v>
      </c>
      <c r="O860" t="s">
        <v>3013</v>
      </c>
      <c r="P860" t="s">
        <v>3014</v>
      </c>
      <c r="Q860" t="s">
        <v>3797</v>
      </c>
      <c r="R860" t="s">
        <v>14</v>
      </c>
      <c r="S860" t="s">
        <v>14</v>
      </c>
      <c r="T860" t="s">
        <v>14</v>
      </c>
      <c r="U860" t="s">
        <v>3015</v>
      </c>
      <c r="V860" t="s">
        <v>14</v>
      </c>
      <c r="W860" t="b">
        <v>1</v>
      </c>
      <c r="X860" t="s">
        <v>3843</v>
      </c>
      <c r="Y860" t="b">
        <v>0</v>
      </c>
      <c r="Z860" t="s">
        <v>2081</v>
      </c>
    </row>
    <row r="861" spans="1:26" x14ac:dyDescent="0.35">
      <c r="A861" t="s">
        <v>467</v>
      </c>
      <c r="B861" t="s">
        <v>468</v>
      </c>
      <c r="C861" t="s">
        <v>3167</v>
      </c>
      <c r="D861" t="s">
        <v>1963</v>
      </c>
      <c r="E861" t="s">
        <v>2020</v>
      </c>
      <c r="F861" t="s">
        <v>2021</v>
      </c>
      <c r="G861" t="s">
        <v>2022</v>
      </c>
      <c r="H861" t="s">
        <v>2023</v>
      </c>
      <c r="I861" t="s">
        <v>59</v>
      </c>
      <c r="J861" t="s">
        <v>1963</v>
      </c>
      <c r="K861" t="s">
        <v>3842</v>
      </c>
      <c r="L861" t="s">
        <v>2046</v>
      </c>
      <c r="M861" t="s">
        <v>3041</v>
      </c>
      <c r="N861" t="s">
        <v>3042</v>
      </c>
      <c r="O861" t="s">
        <v>3013</v>
      </c>
      <c r="P861" t="s">
        <v>3014</v>
      </c>
      <c r="Q861" t="s">
        <v>3835</v>
      </c>
      <c r="R861" t="s">
        <v>14</v>
      </c>
      <c r="S861" t="s">
        <v>3836</v>
      </c>
      <c r="T861" t="s">
        <v>3837</v>
      </c>
      <c r="U861" t="s">
        <v>3015</v>
      </c>
      <c r="V861" t="s">
        <v>14</v>
      </c>
      <c r="W861" t="b">
        <v>1</v>
      </c>
      <c r="X861" t="s">
        <v>3843</v>
      </c>
      <c r="Y861" t="b">
        <v>0</v>
      </c>
      <c r="Z861" t="s">
        <v>2032</v>
      </c>
    </row>
    <row r="862" spans="1:26" x14ac:dyDescent="0.35">
      <c r="A862" t="s">
        <v>467</v>
      </c>
      <c r="B862" t="s">
        <v>468</v>
      </c>
      <c r="C862" t="s">
        <v>3167</v>
      </c>
      <c r="D862" t="s">
        <v>1963</v>
      </c>
      <c r="E862" t="s">
        <v>2020</v>
      </c>
      <c r="F862" t="s">
        <v>2021</v>
      </c>
      <c r="G862" t="s">
        <v>2022</v>
      </c>
      <c r="H862" t="s">
        <v>2023</v>
      </c>
      <c r="I862" t="s">
        <v>59</v>
      </c>
      <c r="J862" t="s">
        <v>1963</v>
      </c>
      <c r="K862" t="s">
        <v>3842</v>
      </c>
      <c r="L862" t="s">
        <v>2046</v>
      </c>
      <c r="M862" t="s">
        <v>3041</v>
      </c>
      <c r="N862" t="s">
        <v>3042</v>
      </c>
      <c r="O862" t="s">
        <v>3013</v>
      </c>
      <c r="P862" t="s">
        <v>3014</v>
      </c>
      <c r="Q862" t="s">
        <v>3835</v>
      </c>
      <c r="R862" t="s">
        <v>14</v>
      </c>
      <c r="S862" t="s">
        <v>3836</v>
      </c>
      <c r="T862" t="s">
        <v>3837</v>
      </c>
      <c r="U862" t="s">
        <v>3015</v>
      </c>
      <c r="V862" t="s">
        <v>14</v>
      </c>
      <c r="W862" t="b">
        <v>1</v>
      </c>
      <c r="X862" t="s">
        <v>3843</v>
      </c>
      <c r="Y862" t="b">
        <v>0</v>
      </c>
      <c r="Z862" t="s">
        <v>2032</v>
      </c>
    </row>
    <row r="863" spans="1:26" x14ac:dyDescent="0.35">
      <c r="A863" t="s">
        <v>467</v>
      </c>
      <c r="B863" t="s">
        <v>468</v>
      </c>
      <c r="C863" t="s">
        <v>3167</v>
      </c>
      <c r="D863" t="s">
        <v>1963</v>
      </c>
      <c r="E863" t="s">
        <v>2020</v>
      </c>
      <c r="F863" t="s">
        <v>2021</v>
      </c>
      <c r="G863" t="s">
        <v>2022</v>
      </c>
      <c r="H863" t="s">
        <v>2023</v>
      </c>
      <c r="I863" t="s">
        <v>59</v>
      </c>
      <c r="J863" t="s">
        <v>1963</v>
      </c>
      <c r="K863" t="s">
        <v>3842</v>
      </c>
      <c r="L863" t="s">
        <v>2046</v>
      </c>
      <c r="M863" t="s">
        <v>3041</v>
      </c>
      <c r="N863" t="s">
        <v>3042</v>
      </c>
      <c r="O863" t="s">
        <v>3013</v>
      </c>
      <c r="P863" t="s">
        <v>3014</v>
      </c>
      <c r="Q863" t="s">
        <v>3835</v>
      </c>
      <c r="R863" t="s">
        <v>14</v>
      </c>
      <c r="S863" t="s">
        <v>3836</v>
      </c>
      <c r="T863" t="s">
        <v>3837</v>
      </c>
      <c r="U863" t="s">
        <v>3015</v>
      </c>
      <c r="V863" t="s">
        <v>14</v>
      </c>
      <c r="W863" t="b">
        <v>1</v>
      </c>
      <c r="X863" t="s">
        <v>3843</v>
      </c>
      <c r="Y863" t="b">
        <v>0</v>
      </c>
      <c r="Z863" t="s">
        <v>2032</v>
      </c>
    </row>
    <row r="864" spans="1:26" x14ac:dyDescent="0.35">
      <c r="A864" t="s">
        <v>469</v>
      </c>
      <c r="B864" t="s">
        <v>470</v>
      </c>
      <c r="C864" t="s">
        <v>3167</v>
      </c>
      <c r="D864" t="s">
        <v>1963</v>
      </c>
      <c r="E864" t="s">
        <v>2020</v>
      </c>
      <c r="F864" t="s">
        <v>2021</v>
      </c>
      <c r="G864" t="s">
        <v>2022</v>
      </c>
      <c r="H864" t="s">
        <v>2023</v>
      </c>
      <c r="I864" t="s">
        <v>59</v>
      </c>
      <c r="J864" t="s">
        <v>1963</v>
      </c>
      <c r="K864" t="s">
        <v>3844</v>
      </c>
      <c r="L864" t="s">
        <v>2046</v>
      </c>
      <c r="M864" t="s">
        <v>3041</v>
      </c>
      <c r="N864" t="s">
        <v>3042</v>
      </c>
      <c r="O864" t="s">
        <v>3013</v>
      </c>
      <c r="P864" t="s">
        <v>3014</v>
      </c>
      <c r="Q864" t="s">
        <v>3835</v>
      </c>
      <c r="R864" t="s">
        <v>14</v>
      </c>
      <c r="S864" t="s">
        <v>3836</v>
      </c>
      <c r="T864" t="s">
        <v>3837</v>
      </c>
      <c r="U864" t="s">
        <v>3015</v>
      </c>
      <c r="V864" t="s">
        <v>14</v>
      </c>
      <c r="W864" t="b">
        <v>1</v>
      </c>
      <c r="X864" t="s">
        <v>3845</v>
      </c>
      <c r="Y864" t="b">
        <v>0</v>
      </c>
      <c r="Z864" t="s">
        <v>2032</v>
      </c>
    </row>
    <row r="865" spans="1:26" x14ac:dyDescent="0.35">
      <c r="A865" t="s">
        <v>469</v>
      </c>
      <c r="B865" t="s">
        <v>470</v>
      </c>
      <c r="C865" t="s">
        <v>3167</v>
      </c>
      <c r="D865" t="s">
        <v>1963</v>
      </c>
      <c r="E865" t="s">
        <v>2020</v>
      </c>
      <c r="F865" t="s">
        <v>2021</v>
      </c>
      <c r="G865" t="s">
        <v>2022</v>
      </c>
      <c r="H865" t="s">
        <v>2023</v>
      </c>
      <c r="I865" t="s">
        <v>59</v>
      </c>
      <c r="J865" t="s">
        <v>1963</v>
      </c>
      <c r="K865" t="s">
        <v>3844</v>
      </c>
      <c r="L865" t="s">
        <v>2046</v>
      </c>
      <c r="M865" t="s">
        <v>3041</v>
      </c>
      <c r="N865" t="s">
        <v>3042</v>
      </c>
      <c r="O865" t="s">
        <v>3013</v>
      </c>
      <c r="P865" t="s">
        <v>3014</v>
      </c>
      <c r="Q865" t="s">
        <v>3835</v>
      </c>
      <c r="R865" t="s">
        <v>14</v>
      </c>
      <c r="S865" t="s">
        <v>3836</v>
      </c>
      <c r="T865" t="s">
        <v>3837</v>
      </c>
      <c r="U865" t="s">
        <v>3015</v>
      </c>
      <c r="V865" t="s">
        <v>14</v>
      </c>
      <c r="W865" t="b">
        <v>1</v>
      </c>
      <c r="X865" t="s">
        <v>3845</v>
      </c>
      <c r="Y865" t="b">
        <v>0</v>
      </c>
      <c r="Z865" t="s">
        <v>2032</v>
      </c>
    </row>
    <row r="866" spans="1:26" x14ac:dyDescent="0.35">
      <c r="A866" t="s">
        <v>469</v>
      </c>
      <c r="B866" t="s">
        <v>470</v>
      </c>
      <c r="C866" t="s">
        <v>3167</v>
      </c>
      <c r="D866" t="s">
        <v>1963</v>
      </c>
      <c r="E866" t="s">
        <v>2020</v>
      </c>
      <c r="F866" t="s">
        <v>2021</v>
      </c>
      <c r="G866" t="s">
        <v>2022</v>
      </c>
      <c r="H866" t="s">
        <v>2023</v>
      </c>
      <c r="I866" t="s">
        <v>3828</v>
      </c>
      <c r="J866" t="s">
        <v>1963</v>
      </c>
      <c r="K866" t="s">
        <v>3844</v>
      </c>
      <c r="L866" t="s">
        <v>2046</v>
      </c>
      <c r="M866" t="s">
        <v>3829</v>
      </c>
      <c r="N866" t="s">
        <v>3830</v>
      </c>
      <c r="O866" t="s">
        <v>3013</v>
      </c>
      <c r="P866" t="s">
        <v>3014</v>
      </c>
      <c r="Q866" t="s">
        <v>14</v>
      </c>
      <c r="R866" t="s">
        <v>14</v>
      </c>
      <c r="S866" t="s">
        <v>14</v>
      </c>
      <c r="T866" t="s">
        <v>14</v>
      </c>
      <c r="U866" t="s">
        <v>3015</v>
      </c>
      <c r="V866" t="s">
        <v>14</v>
      </c>
      <c r="W866" t="b">
        <v>1</v>
      </c>
      <c r="X866" t="s">
        <v>3845</v>
      </c>
      <c r="Y866" t="b">
        <v>0</v>
      </c>
      <c r="Z866" t="s">
        <v>2081</v>
      </c>
    </row>
    <row r="867" spans="1:26" x14ac:dyDescent="0.35">
      <c r="A867" t="s">
        <v>469</v>
      </c>
      <c r="B867" t="s">
        <v>470</v>
      </c>
      <c r="C867" t="s">
        <v>3167</v>
      </c>
      <c r="D867" t="s">
        <v>1963</v>
      </c>
      <c r="E867" t="s">
        <v>2020</v>
      </c>
      <c r="F867" t="s">
        <v>2021</v>
      </c>
      <c r="G867" t="s">
        <v>2022</v>
      </c>
      <c r="H867" t="s">
        <v>2023</v>
      </c>
      <c r="I867" t="s">
        <v>59</v>
      </c>
      <c r="J867" t="s">
        <v>1963</v>
      </c>
      <c r="K867" t="s">
        <v>3844</v>
      </c>
      <c r="L867" t="s">
        <v>2046</v>
      </c>
      <c r="M867" t="s">
        <v>3041</v>
      </c>
      <c r="N867" t="s">
        <v>3042</v>
      </c>
      <c r="O867" t="s">
        <v>3013</v>
      </c>
      <c r="P867" t="s">
        <v>3014</v>
      </c>
      <c r="Q867" t="s">
        <v>3835</v>
      </c>
      <c r="R867" t="s">
        <v>14</v>
      </c>
      <c r="S867" t="s">
        <v>3836</v>
      </c>
      <c r="T867" t="s">
        <v>3837</v>
      </c>
      <c r="U867" t="s">
        <v>3015</v>
      </c>
      <c r="V867" t="s">
        <v>14</v>
      </c>
      <c r="W867" t="b">
        <v>1</v>
      </c>
      <c r="X867" t="s">
        <v>3845</v>
      </c>
      <c r="Y867" t="b">
        <v>0</v>
      </c>
      <c r="Z867" t="s">
        <v>2032</v>
      </c>
    </row>
    <row r="868" spans="1:26" x14ac:dyDescent="0.35">
      <c r="A868" t="s">
        <v>469</v>
      </c>
      <c r="B868" t="s">
        <v>470</v>
      </c>
      <c r="C868" t="s">
        <v>3167</v>
      </c>
      <c r="D868" t="s">
        <v>1963</v>
      </c>
      <c r="E868" t="s">
        <v>2020</v>
      </c>
      <c r="F868" t="s">
        <v>2021</v>
      </c>
      <c r="G868" t="s">
        <v>2022</v>
      </c>
      <c r="H868" t="s">
        <v>2023</v>
      </c>
      <c r="I868" t="s">
        <v>59</v>
      </c>
      <c r="J868" t="s">
        <v>1963</v>
      </c>
      <c r="K868" t="s">
        <v>3844</v>
      </c>
      <c r="L868" t="s">
        <v>2046</v>
      </c>
      <c r="M868" t="s">
        <v>3041</v>
      </c>
      <c r="N868" t="s">
        <v>3042</v>
      </c>
      <c r="O868" t="s">
        <v>3013</v>
      </c>
      <c r="P868" t="s">
        <v>3014</v>
      </c>
      <c r="Q868" t="s">
        <v>3835</v>
      </c>
      <c r="R868" t="s">
        <v>14</v>
      </c>
      <c r="S868" t="s">
        <v>3836</v>
      </c>
      <c r="T868" t="s">
        <v>3837</v>
      </c>
      <c r="U868" t="s">
        <v>3015</v>
      </c>
      <c r="V868" t="s">
        <v>14</v>
      </c>
      <c r="W868" t="b">
        <v>1</v>
      </c>
      <c r="X868" t="s">
        <v>3845</v>
      </c>
      <c r="Y868" t="b">
        <v>0</v>
      </c>
      <c r="Z868" t="s">
        <v>2032</v>
      </c>
    </row>
    <row r="869" spans="1:26" x14ac:dyDescent="0.35">
      <c r="A869" t="s">
        <v>469</v>
      </c>
      <c r="B869" t="s">
        <v>470</v>
      </c>
      <c r="C869" t="s">
        <v>3167</v>
      </c>
      <c r="D869" t="s">
        <v>1963</v>
      </c>
      <c r="E869" t="s">
        <v>2020</v>
      </c>
      <c r="F869" t="s">
        <v>2021</v>
      </c>
      <c r="G869" t="s">
        <v>2022</v>
      </c>
      <c r="H869" t="s">
        <v>2023</v>
      </c>
      <c r="I869" t="s">
        <v>59</v>
      </c>
      <c r="J869" t="s">
        <v>1963</v>
      </c>
      <c r="K869" t="s">
        <v>3844</v>
      </c>
      <c r="L869" t="s">
        <v>2046</v>
      </c>
      <c r="M869" t="s">
        <v>3041</v>
      </c>
      <c r="N869" t="s">
        <v>3042</v>
      </c>
      <c r="O869" t="s">
        <v>3013</v>
      </c>
      <c r="P869" t="s">
        <v>3014</v>
      </c>
      <c r="Q869" t="s">
        <v>3835</v>
      </c>
      <c r="R869" t="s">
        <v>14</v>
      </c>
      <c r="S869" t="s">
        <v>3836</v>
      </c>
      <c r="T869" t="s">
        <v>3837</v>
      </c>
      <c r="U869" t="s">
        <v>3015</v>
      </c>
      <c r="V869" t="s">
        <v>14</v>
      </c>
      <c r="W869" t="b">
        <v>1</v>
      </c>
      <c r="X869" t="s">
        <v>3845</v>
      </c>
      <c r="Y869" t="b">
        <v>0</v>
      </c>
      <c r="Z869" t="s">
        <v>2032</v>
      </c>
    </row>
    <row r="870" spans="1:26" x14ac:dyDescent="0.35">
      <c r="A870" t="s">
        <v>469</v>
      </c>
      <c r="B870" t="s">
        <v>470</v>
      </c>
      <c r="C870" t="s">
        <v>3167</v>
      </c>
      <c r="D870" t="s">
        <v>1963</v>
      </c>
      <c r="E870" t="s">
        <v>2020</v>
      </c>
      <c r="F870" t="s">
        <v>2021</v>
      </c>
      <c r="G870" t="s">
        <v>2022</v>
      </c>
      <c r="H870" t="s">
        <v>2023</v>
      </c>
      <c r="I870" t="s">
        <v>59</v>
      </c>
      <c r="J870" t="s">
        <v>1963</v>
      </c>
      <c r="K870" t="s">
        <v>3844</v>
      </c>
      <c r="L870" t="s">
        <v>2046</v>
      </c>
      <c r="M870" t="s">
        <v>3041</v>
      </c>
      <c r="N870" t="s">
        <v>3042</v>
      </c>
      <c r="O870" t="s">
        <v>3013</v>
      </c>
      <c r="P870" t="s">
        <v>3014</v>
      </c>
      <c r="Q870" t="s">
        <v>3835</v>
      </c>
      <c r="R870" t="s">
        <v>14</v>
      </c>
      <c r="S870" t="s">
        <v>3836</v>
      </c>
      <c r="T870" t="s">
        <v>3837</v>
      </c>
      <c r="U870" t="s">
        <v>3015</v>
      </c>
      <c r="V870" t="s">
        <v>14</v>
      </c>
      <c r="W870" t="b">
        <v>1</v>
      </c>
      <c r="X870" t="s">
        <v>3845</v>
      </c>
      <c r="Y870" t="b">
        <v>0</v>
      </c>
      <c r="Z870" t="s">
        <v>2032</v>
      </c>
    </row>
    <row r="871" spans="1:26" x14ac:dyDescent="0.35">
      <c r="A871" t="s">
        <v>469</v>
      </c>
      <c r="B871" t="s">
        <v>470</v>
      </c>
      <c r="C871" t="s">
        <v>3167</v>
      </c>
      <c r="D871" t="s">
        <v>1963</v>
      </c>
      <c r="E871" t="s">
        <v>2020</v>
      </c>
      <c r="F871" t="s">
        <v>2021</v>
      </c>
      <c r="G871" t="s">
        <v>2022</v>
      </c>
      <c r="H871" t="s">
        <v>2023</v>
      </c>
      <c r="I871" t="s">
        <v>3839</v>
      </c>
      <c r="J871" t="s">
        <v>1963</v>
      </c>
      <c r="K871" t="s">
        <v>3844</v>
      </c>
      <c r="L871" t="s">
        <v>2046</v>
      </c>
      <c r="M871" t="s">
        <v>3041</v>
      </c>
      <c r="N871" t="s">
        <v>3042</v>
      </c>
      <c r="O871" t="s">
        <v>3013</v>
      </c>
      <c r="P871" t="s">
        <v>3014</v>
      </c>
      <c r="Q871" t="s">
        <v>3797</v>
      </c>
      <c r="R871" t="s">
        <v>14</v>
      </c>
      <c r="S871" t="s">
        <v>14</v>
      </c>
      <c r="T871" t="s">
        <v>14</v>
      </c>
      <c r="U871" t="s">
        <v>3015</v>
      </c>
      <c r="V871" t="s">
        <v>14</v>
      </c>
      <c r="W871" t="b">
        <v>1</v>
      </c>
      <c r="X871" t="s">
        <v>3845</v>
      </c>
      <c r="Y871" t="b">
        <v>0</v>
      </c>
      <c r="Z871" t="s">
        <v>2081</v>
      </c>
    </row>
    <row r="872" spans="1:26" x14ac:dyDescent="0.35">
      <c r="A872" t="s">
        <v>469</v>
      </c>
      <c r="B872" t="s">
        <v>470</v>
      </c>
      <c r="C872" t="s">
        <v>3167</v>
      </c>
      <c r="D872" t="s">
        <v>1963</v>
      </c>
      <c r="E872" t="s">
        <v>2020</v>
      </c>
      <c r="F872" t="s">
        <v>2021</v>
      </c>
      <c r="G872" t="s">
        <v>2022</v>
      </c>
      <c r="H872" t="s">
        <v>2023</v>
      </c>
      <c r="I872" t="s">
        <v>59</v>
      </c>
      <c r="J872" t="s">
        <v>1963</v>
      </c>
      <c r="K872" t="s">
        <v>3844</v>
      </c>
      <c r="L872" t="s">
        <v>2046</v>
      </c>
      <c r="M872" t="s">
        <v>3041</v>
      </c>
      <c r="N872" t="s">
        <v>3042</v>
      </c>
      <c r="O872" t="s">
        <v>3013</v>
      </c>
      <c r="P872" t="s">
        <v>3014</v>
      </c>
      <c r="Q872" t="s">
        <v>3835</v>
      </c>
      <c r="R872" t="s">
        <v>14</v>
      </c>
      <c r="S872" t="s">
        <v>3836</v>
      </c>
      <c r="T872" t="s">
        <v>3837</v>
      </c>
      <c r="U872" t="s">
        <v>3015</v>
      </c>
      <c r="V872" t="s">
        <v>14</v>
      </c>
      <c r="W872" t="b">
        <v>1</v>
      </c>
      <c r="X872" t="s">
        <v>3845</v>
      </c>
      <c r="Y872" t="b">
        <v>0</v>
      </c>
      <c r="Z872" t="s">
        <v>2032</v>
      </c>
    </row>
    <row r="873" spans="1:26" x14ac:dyDescent="0.35">
      <c r="A873" t="s">
        <v>469</v>
      </c>
      <c r="B873" t="s">
        <v>470</v>
      </c>
      <c r="C873" t="s">
        <v>3167</v>
      </c>
      <c r="D873" t="s">
        <v>1963</v>
      </c>
      <c r="E873" t="s">
        <v>2020</v>
      </c>
      <c r="F873" t="s">
        <v>2021</v>
      </c>
      <c r="G873" t="s">
        <v>2022</v>
      </c>
      <c r="H873" t="s">
        <v>2023</v>
      </c>
      <c r="I873" t="s">
        <v>59</v>
      </c>
      <c r="J873" t="s">
        <v>1963</v>
      </c>
      <c r="K873" t="s">
        <v>3844</v>
      </c>
      <c r="L873" t="s">
        <v>2046</v>
      </c>
      <c r="M873" t="s">
        <v>3041</v>
      </c>
      <c r="N873" t="s">
        <v>3042</v>
      </c>
      <c r="O873" t="s">
        <v>3013</v>
      </c>
      <c r="P873" t="s">
        <v>3014</v>
      </c>
      <c r="Q873" t="s">
        <v>3835</v>
      </c>
      <c r="R873" t="s">
        <v>14</v>
      </c>
      <c r="S873" t="s">
        <v>3836</v>
      </c>
      <c r="T873" t="s">
        <v>3837</v>
      </c>
      <c r="U873" t="s">
        <v>3015</v>
      </c>
      <c r="V873" t="s">
        <v>14</v>
      </c>
      <c r="W873" t="b">
        <v>1</v>
      </c>
      <c r="X873" t="s">
        <v>3845</v>
      </c>
      <c r="Y873" t="b">
        <v>0</v>
      </c>
      <c r="Z873" t="s">
        <v>2032</v>
      </c>
    </row>
    <row r="874" spans="1:26" x14ac:dyDescent="0.35">
      <c r="A874" t="s">
        <v>471</v>
      </c>
      <c r="B874" t="s">
        <v>472</v>
      </c>
      <c r="C874" t="s">
        <v>3167</v>
      </c>
      <c r="D874" t="s">
        <v>1963</v>
      </c>
      <c r="E874" t="s">
        <v>2020</v>
      </c>
      <c r="F874" t="s">
        <v>2021</v>
      </c>
      <c r="G874" t="s">
        <v>2022</v>
      </c>
      <c r="H874" t="s">
        <v>2023</v>
      </c>
      <c r="I874" t="s">
        <v>3846</v>
      </c>
      <c r="J874" t="s">
        <v>1963</v>
      </c>
      <c r="K874" t="s">
        <v>3847</v>
      </c>
      <c r="L874" t="s">
        <v>2046</v>
      </c>
      <c r="M874" t="s">
        <v>14</v>
      </c>
      <c r="N874" t="s">
        <v>14</v>
      </c>
      <c r="O874" t="s">
        <v>14</v>
      </c>
      <c r="P874" t="s">
        <v>14</v>
      </c>
      <c r="Q874" t="s">
        <v>14</v>
      </c>
      <c r="R874" t="s">
        <v>14</v>
      </c>
      <c r="S874" t="s">
        <v>14</v>
      </c>
      <c r="T874" t="s">
        <v>14</v>
      </c>
      <c r="U874" t="s">
        <v>2030</v>
      </c>
      <c r="V874" t="s">
        <v>14</v>
      </c>
      <c r="W874" t="b">
        <v>1</v>
      </c>
      <c r="X874" t="s">
        <v>3848</v>
      </c>
      <c r="Y874" t="b">
        <v>0</v>
      </c>
      <c r="Z874" t="s">
        <v>2053</v>
      </c>
    </row>
    <row r="875" spans="1:26" x14ac:dyDescent="0.35">
      <c r="A875" t="s">
        <v>473</v>
      </c>
      <c r="B875" t="s">
        <v>474</v>
      </c>
      <c r="C875" t="s">
        <v>3167</v>
      </c>
      <c r="D875" t="s">
        <v>1963</v>
      </c>
      <c r="E875" t="s">
        <v>2020</v>
      </c>
      <c r="F875" t="s">
        <v>2021</v>
      </c>
      <c r="G875" t="s">
        <v>2022</v>
      </c>
      <c r="H875" t="s">
        <v>2023</v>
      </c>
      <c r="I875" t="s">
        <v>3846</v>
      </c>
      <c r="J875" t="s">
        <v>1963</v>
      </c>
      <c r="K875" t="s">
        <v>3849</v>
      </c>
      <c r="L875" t="s">
        <v>2046</v>
      </c>
      <c r="M875" t="s">
        <v>14</v>
      </c>
      <c r="N875" t="s">
        <v>14</v>
      </c>
      <c r="O875" t="s">
        <v>14</v>
      </c>
      <c r="P875" t="s">
        <v>14</v>
      </c>
      <c r="Q875" t="s">
        <v>14</v>
      </c>
      <c r="R875" t="s">
        <v>14</v>
      </c>
      <c r="S875" t="s">
        <v>14</v>
      </c>
      <c r="T875" t="s">
        <v>14</v>
      </c>
      <c r="U875" t="s">
        <v>2030</v>
      </c>
      <c r="V875" t="s">
        <v>14</v>
      </c>
      <c r="W875" t="b">
        <v>1</v>
      </c>
      <c r="X875" t="s">
        <v>3850</v>
      </c>
      <c r="Y875" t="b">
        <v>0</v>
      </c>
      <c r="Z875" t="s">
        <v>2053</v>
      </c>
    </row>
    <row r="876" spans="1:26" x14ac:dyDescent="0.35">
      <c r="A876" t="s">
        <v>475</v>
      </c>
      <c r="B876" t="s">
        <v>476</v>
      </c>
      <c r="C876" t="s">
        <v>3167</v>
      </c>
      <c r="D876" t="s">
        <v>1963</v>
      </c>
      <c r="E876" t="s">
        <v>2020</v>
      </c>
      <c r="F876" t="s">
        <v>2021</v>
      </c>
      <c r="G876" t="s">
        <v>2022</v>
      </c>
      <c r="H876" t="s">
        <v>2023</v>
      </c>
      <c r="I876" t="s">
        <v>3851</v>
      </c>
      <c r="J876" t="s">
        <v>1963</v>
      </c>
      <c r="K876" t="s">
        <v>3852</v>
      </c>
      <c r="L876" t="s">
        <v>2046</v>
      </c>
      <c r="M876" t="s">
        <v>3693</v>
      </c>
      <c r="N876" t="s">
        <v>3694</v>
      </c>
      <c r="O876" t="s">
        <v>2075</v>
      </c>
      <c r="P876" t="s">
        <v>2076</v>
      </c>
      <c r="Q876" t="s">
        <v>2077</v>
      </c>
      <c r="R876" t="s">
        <v>14</v>
      </c>
      <c r="S876" t="s">
        <v>3579</v>
      </c>
      <c r="T876" t="s">
        <v>3580</v>
      </c>
      <c r="U876" t="s">
        <v>2080</v>
      </c>
      <c r="V876" t="s">
        <v>14</v>
      </c>
      <c r="W876" t="b">
        <v>1</v>
      </c>
      <c r="X876" t="s">
        <v>3853</v>
      </c>
      <c r="Y876" t="b">
        <v>0</v>
      </c>
      <c r="Z876" t="s">
        <v>2053</v>
      </c>
    </row>
    <row r="877" spans="1:26" x14ac:dyDescent="0.35">
      <c r="A877" t="s">
        <v>477</v>
      </c>
      <c r="B877" t="s">
        <v>478</v>
      </c>
      <c r="C877" t="s">
        <v>3167</v>
      </c>
      <c r="D877" t="s">
        <v>1963</v>
      </c>
      <c r="E877" t="s">
        <v>2020</v>
      </c>
      <c r="F877" t="s">
        <v>2021</v>
      </c>
      <c r="G877" t="s">
        <v>2022</v>
      </c>
      <c r="H877" t="s">
        <v>2023</v>
      </c>
      <c r="I877" t="s">
        <v>3854</v>
      </c>
      <c r="J877" t="s">
        <v>1963</v>
      </c>
      <c r="K877" t="s">
        <v>3855</v>
      </c>
      <c r="L877" t="s">
        <v>2046</v>
      </c>
      <c r="M877" t="s">
        <v>2348</v>
      </c>
      <c r="N877" t="s">
        <v>2349</v>
      </c>
      <c r="O877" t="s">
        <v>2348</v>
      </c>
      <c r="P877" t="s">
        <v>2349</v>
      </c>
      <c r="Q877" t="s">
        <v>3856</v>
      </c>
      <c r="R877" t="s">
        <v>14</v>
      </c>
      <c r="S877" t="s">
        <v>3857</v>
      </c>
      <c r="T877" t="s">
        <v>3858</v>
      </c>
      <c r="U877" t="s">
        <v>2030</v>
      </c>
      <c r="V877" t="s">
        <v>14</v>
      </c>
      <c r="W877" t="b">
        <v>1</v>
      </c>
      <c r="X877" t="s">
        <v>3859</v>
      </c>
      <c r="Y877" t="b">
        <v>0</v>
      </c>
      <c r="Z877" t="s">
        <v>2081</v>
      </c>
    </row>
    <row r="878" spans="1:26" x14ac:dyDescent="0.35">
      <c r="A878" t="s">
        <v>477</v>
      </c>
      <c r="B878" t="s">
        <v>478</v>
      </c>
      <c r="C878" t="s">
        <v>3167</v>
      </c>
      <c r="D878" t="s">
        <v>1963</v>
      </c>
      <c r="E878" t="s">
        <v>2020</v>
      </c>
      <c r="F878" t="s">
        <v>2021</v>
      </c>
      <c r="G878" t="s">
        <v>2022</v>
      </c>
      <c r="H878" t="s">
        <v>2023</v>
      </c>
      <c r="I878" t="s">
        <v>3860</v>
      </c>
      <c r="J878" t="s">
        <v>1963</v>
      </c>
      <c r="K878" t="s">
        <v>3855</v>
      </c>
      <c r="L878" t="s">
        <v>2046</v>
      </c>
      <c r="M878" t="s">
        <v>2348</v>
      </c>
      <c r="N878" t="s">
        <v>2349</v>
      </c>
      <c r="O878" t="s">
        <v>2348</v>
      </c>
      <c r="P878" t="s">
        <v>2349</v>
      </c>
      <c r="Q878" t="s">
        <v>3856</v>
      </c>
      <c r="R878" t="s">
        <v>14</v>
      </c>
      <c r="S878" t="s">
        <v>3857</v>
      </c>
      <c r="T878" t="s">
        <v>3858</v>
      </c>
      <c r="U878" t="s">
        <v>2030</v>
      </c>
      <c r="V878" t="s">
        <v>14</v>
      </c>
      <c r="W878" t="b">
        <v>1</v>
      </c>
      <c r="X878" t="s">
        <v>3859</v>
      </c>
      <c r="Y878" t="b">
        <v>0</v>
      </c>
      <c r="Z878" t="s">
        <v>2053</v>
      </c>
    </row>
    <row r="879" spans="1:26" x14ac:dyDescent="0.35">
      <c r="A879" t="s">
        <v>477</v>
      </c>
      <c r="B879" t="s">
        <v>478</v>
      </c>
      <c r="C879" t="s">
        <v>3167</v>
      </c>
      <c r="D879" t="s">
        <v>1963</v>
      </c>
      <c r="E879" t="s">
        <v>2020</v>
      </c>
      <c r="F879" t="s">
        <v>2021</v>
      </c>
      <c r="G879" t="s">
        <v>2022</v>
      </c>
      <c r="H879" t="s">
        <v>2023</v>
      </c>
      <c r="I879" t="s">
        <v>60</v>
      </c>
      <c r="J879" t="s">
        <v>1963</v>
      </c>
      <c r="K879" t="s">
        <v>3855</v>
      </c>
      <c r="L879" t="s">
        <v>2046</v>
      </c>
      <c r="M879" t="s">
        <v>2348</v>
      </c>
      <c r="N879" t="s">
        <v>2349</v>
      </c>
      <c r="O879" t="s">
        <v>2348</v>
      </c>
      <c r="P879" t="s">
        <v>2349</v>
      </c>
      <c r="Q879" t="s">
        <v>3856</v>
      </c>
      <c r="R879" t="s">
        <v>14</v>
      </c>
      <c r="S879" t="s">
        <v>3857</v>
      </c>
      <c r="T879" t="s">
        <v>3858</v>
      </c>
      <c r="U879" t="s">
        <v>2030</v>
      </c>
      <c r="V879" t="s">
        <v>14</v>
      </c>
      <c r="W879" t="b">
        <v>1</v>
      </c>
      <c r="X879" t="s">
        <v>3859</v>
      </c>
      <c r="Y879" t="b">
        <v>0</v>
      </c>
      <c r="Z879" t="s">
        <v>2081</v>
      </c>
    </row>
    <row r="880" spans="1:26" x14ac:dyDescent="0.35">
      <c r="A880" t="s">
        <v>479</v>
      </c>
      <c r="B880" t="s">
        <v>480</v>
      </c>
      <c r="C880" t="s">
        <v>3167</v>
      </c>
      <c r="D880" t="s">
        <v>1963</v>
      </c>
      <c r="E880" t="s">
        <v>2020</v>
      </c>
      <c r="F880" t="s">
        <v>2021</v>
      </c>
      <c r="G880" t="s">
        <v>2022</v>
      </c>
      <c r="H880" t="s">
        <v>2023</v>
      </c>
      <c r="I880" t="s">
        <v>3448</v>
      </c>
      <c r="J880" t="s">
        <v>1963</v>
      </c>
      <c r="K880" t="s">
        <v>3861</v>
      </c>
      <c r="L880" t="s">
        <v>2046</v>
      </c>
      <c r="M880" t="s">
        <v>3449</v>
      </c>
      <c r="N880" t="s">
        <v>3450</v>
      </c>
      <c r="O880" t="s">
        <v>2101</v>
      </c>
      <c r="P880" t="s">
        <v>2102</v>
      </c>
      <c r="Q880" t="s">
        <v>2103</v>
      </c>
      <c r="R880" t="s">
        <v>14</v>
      </c>
      <c r="S880" t="s">
        <v>2101</v>
      </c>
      <c r="T880" t="s">
        <v>2102</v>
      </c>
      <c r="U880" t="s">
        <v>2052</v>
      </c>
      <c r="V880" t="s">
        <v>14</v>
      </c>
      <c r="W880" t="b">
        <v>1</v>
      </c>
      <c r="X880" t="s">
        <v>3862</v>
      </c>
      <c r="Y880" t="b">
        <v>0</v>
      </c>
      <c r="Z880" t="s">
        <v>2053</v>
      </c>
    </row>
    <row r="881" spans="1:26" x14ac:dyDescent="0.35">
      <c r="A881" t="s">
        <v>481</v>
      </c>
      <c r="B881" t="s">
        <v>482</v>
      </c>
      <c r="C881" t="s">
        <v>2967</v>
      </c>
      <c r="D881" t="s">
        <v>1963</v>
      </c>
      <c r="E881" t="s">
        <v>2020</v>
      </c>
      <c r="F881" t="s">
        <v>2021</v>
      </c>
      <c r="G881" t="s">
        <v>2022</v>
      </c>
      <c r="H881" t="s">
        <v>2023</v>
      </c>
      <c r="I881" t="s">
        <v>1416</v>
      </c>
      <c r="J881" t="s">
        <v>1963</v>
      </c>
      <c r="K881" t="s">
        <v>3863</v>
      </c>
      <c r="L881" t="s">
        <v>2046</v>
      </c>
      <c r="M881" t="s">
        <v>3483</v>
      </c>
      <c r="N881" t="s">
        <v>3484</v>
      </c>
      <c r="O881" t="s">
        <v>2362</v>
      </c>
      <c r="P881" t="s">
        <v>2363</v>
      </c>
      <c r="Q881" t="s">
        <v>3674</v>
      </c>
      <c r="R881" t="s">
        <v>14</v>
      </c>
      <c r="S881" t="s">
        <v>3675</v>
      </c>
      <c r="T881" t="s">
        <v>3676</v>
      </c>
      <c r="U881" t="s">
        <v>2171</v>
      </c>
      <c r="V881" t="s">
        <v>14</v>
      </c>
      <c r="W881" t="b">
        <v>1</v>
      </c>
      <c r="X881" t="s">
        <v>3864</v>
      </c>
      <c r="Y881" t="b">
        <v>1</v>
      </c>
      <c r="Z881" t="s">
        <v>2032</v>
      </c>
    </row>
    <row r="882" spans="1:26" x14ac:dyDescent="0.35">
      <c r="A882" t="s">
        <v>481</v>
      </c>
      <c r="B882" t="s">
        <v>482</v>
      </c>
      <c r="C882" t="s">
        <v>2967</v>
      </c>
      <c r="D882" t="s">
        <v>1963</v>
      </c>
      <c r="E882" t="s">
        <v>2020</v>
      </c>
      <c r="F882" t="s">
        <v>2021</v>
      </c>
      <c r="G882" t="s">
        <v>2022</v>
      </c>
      <c r="H882" t="s">
        <v>2023</v>
      </c>
      <c r="I882" t="s">
        <v>306</v>
      </c>
      <c r="J882" t="s">
        <v>1963</v>
      </c>
      <c r="K882" t="s">
        <v>3863</v>
      </c>
      <c r="L882" t="s">
        <v>2046</v>
      </c>
      <c r="M882" t="s">
        <v>2026</v>
      </c>
      <c r="N882" t="s">
        <v>2027</v>
      </c>
      <c r="O882" t="s">
        <v>2028</v>
      </c>
      <c r="P882" t="s">
        <v>2029</v>
      </c>
      <c r="Q882" t="s">
        <v>3531</v>
      </c>
      <c r="R882" t="s">
        <v>14</v>
      </c>
      <c r="S882" t="s">
        <v>2991</v>
      </c>
      <c r="T882" t="s">
        <v>2992</v>
      </c>
      <c r="U882" t="s">
        <v>2030</v>
      </c>
      <c r="V882" t="s">
        <v>14</v>
      </c>
      <c r="W882" t="b">
        <v>1</v>
      </c>
      <c r="X882" t="s">
        <v>3864</v>
      </c>
      <c r="Y882" t="b">
        <v>1</v>
      </c>
      <c r="Z882" t="s">
        <v>2032</v>
      </c>
    </row>
    <row r="883" spans="1:26" x14ac:dyDescent="0.35">
      <c r="A883" t="s">
        <v>481</v>
      </c>
      <c r="B883" t="s">
        <v>482</v>
      </c>
      <c r="C883" t="s">
        <v>2967</v>
      </c>
      <c r="D883" t="s">
        <v>1963</v>
      </c>
      <c r="E883" t="s">
        <v>2020</v>
      </c>
      <c r="F883" t="s">
        <v>2021</v>
      </c>
      <c r="G883" t="s">
        <v>2022</v>
      </c>
      <c r="H883" t="s">
        <v>2023</v>
      </c>
      <c r="I883" t="s">
        <v>3635</v>
      </c>
      <c r="J883" t="s">
        <v>1963</v>
      </c>
      <c r="K883" t="s">
        <v>3863</v>
      </c>
      <c r="L883" t="s">
        <v>2046</v>
      </c>
      <c r="M883" t="s">
        <v>3390</v>
      </c>
      <c r="N883" t="s">
        <v>3391</v>
      </c>
      <c r="O883" t="s">
        <v>2362</v>
      </c>
      <c r="P883" t="s">
        <v>2363</v>
      </c>
      <c r="Q883" t="s">
        <v>2844</v>
      </c>
      <c r="R883" t="s">
        <v>14</v>
      </c>
      <c r="S883" t="s">
        <v>3397</v>
      </c>
      <c r="T883" t="s">
        <v>3398</v>
      </c>
      <c r="U883" t="s">
        <v>2171</v>
      </c>
      <c r="V883" t="s">
        <v>14</v>
      </c>
      <c r="W883" t="b">
        <v>1</v>
      </c>
      <c r="X883" t="s">
        <v>3864</v>
      </c>
      <c r="Y883" t="b">
        <v>0</v>
      </c>
      <c r="Z883" t="s">
        <v>2032</v>
      </c>
    </row>
    <row r="884" spans="1:26" x14ac:dyDescent="0.35">
      <c r="A884" t="s">
        <v>481</v>
      </c>
      <c r="B884" t="s">
        <v>482</v>
      </c>
      <c r="C884" t="s">
        <v>2967</v>
      </c>
      <c r="D884" t="s">
        <v>1963</v>
      </c>
      <c r="E884" t="s">
        <v>2020</v>
      </c>
      <c r="F884" t="s">
        <v>2021</v>
      </c>
      <c r="G884" t="s">
        <v>2022</v>
      </c>
      <c r="H884" t="s">
        <v>2023</v>
      </c>
      <c r="I884" t="s">
        <v>3677</v>
      </c>
      <c r="J884" t="s">
        <v>1963</v>
      </c>
      <c r="K884" t="s">
        <v>3863</v>
      </c>
      <c r="L884" t="s">
        <v>2046</v>
      </c>
      <c r="M884" t="s">
        <v>3665</v>
      </c>
      <c r="N884" t="s">
        <v>3666</v>
      </c>
      <c r="O884" t="s">
        <v>2362</v>
      </c>
      <c r="P884" t="s">
        <v>2363</v>
      </c>
      <c r="Q884" t="s">
        <v>2844</v>
      </c>
      <c r="R884" t="s">
        <v>14</v>
      </c>
      <c r="S884" t="s">
        <v>3368</v>
      </c>
      <c r="T884" t="s">
        <v>3369</v>
      </c>
      <c r="U884" t="s">
        <v>2171</v>
      </c>
      <c r="V884" t="s">
        <v>14</v>
      </c>
      <c r="W884" t="b">
        <v>1</v>
      </c>
      <c r="X884" t="s">
        <v>3864</v>
      </c>
      <c r="Y884" t="b">
        <v>0</v>
      </c>
      <c r="Z884" t="s">
        <v>2053</v>
      </c>
    </row>
    <row r="885" spans="1:26" x14ac:dyDescent="0.35">
      <c r="A885" t="s">
        <v>483</v>
      </c>
      <c r="B885" t="s">
        <v>484</v>
      </c>
      <c r="C885" t="s">
        <v>2967</v>
      </c>
      <c r="D885" t="s">
        <v>1963</v>
      </c>
      <c r="E885" t="s">
        <v>2020</v>
      </c>
      <c r="F885" t="s">
        <v>2021</v>
      </c>
      <c r="G885" t="s">
        <v>2022</v>
      </c>
      <c r="H885" t="s">
        <v>2023</v>
      </c>
      <c r="I885" t="s">
        <v>3635</v>
      </c>
      <c r="J885" t="s">
        <v>1963</v>
      </c>
      <c r="K885" t="s">
        <v>3865</v>
      </c>
      <c r="L885" t="s">
        <v>2046</v>
      </c>
      <c r="M885" t="s">
        <v>3390</v>
      </c>
      <c r="N885" t="s">
        <v>3391</v>
      </c>
      <c r="O885" t="s">
        <v>2362</v>
      </c>
      <c r="P885" t="s">
        <v>2363</v>
      </c>
      <c r="Q885" t="s">
        <v>2844</v>
      </c>
      <c r="R885" t="s">
        <v>14</v>
      </c>
      <c r="S885" t="s">
        <v>3397</v>
      </c>
      <c r="T885" t="s">
        <v>3398</v>
      </c>
      <c r="U885" t="s">
        <v>2171</v>
      </c>
      <c r="V885" t="s">
        <v>14</v>
      </c>
      <c r="W885" t="b">
        <v>1</v>
      </c>
      <c r="X885" t="s">
        <v>3866</v>
      </c>
      <c r="Y885" t="b">
        <v>0</v>
      </c>
      <c r="Z885" t="s">
        <v>2032</v>
      </c>
    </row>
    <row r="886" spans="1:26" x14ac:dyDescent="0.35">
      <c r="A886" t="s">
        <v>483</v>
      </c>
      <c r="B886" t="s">
        <v>484</v>
      </c>
      <c r="C886" t="s">
        <v>2967</v>
      </c>
      <c r="D886" t="s">
        <v>1963</v>
      </c>
      <c r="E886" t="s">
        <v>2020</v>
      </c>
      <c r="F886" t="s">
        <v>2021</v>
      </c>
      <c r="G886" t="s">
        <v>2022</v>
      </c>
      <c r="H886" t="s">
        <v>2023</v>
      </c>
      <c r="I886" t="s">
        <v>3677</v>
      </c>
      <c r="J886" t="s">
        <v>1963</v>
      </c>
      <c r="K886" t="s">
        <v>3865</v>
      </c>
      <c r="L886" t="s">
        <v>2046</v>
      </c>
      <c r="M886" t="s">
        <v>3665</v>
      </c>
      <c r="N886" t="s">
        <v>3666</v>
      </c>
      <c r="O886" t="s">
        <v>2362</v>
      </c>
      <c r="P886" t="s">
        <v>2363</v>
      </c>
      <c r="Q886" t="s">
        <v>2844</v>
      </c>
      <c r="R886" t="s">
        <v>14</v>
      </c>
      <c r="S886" t="s">
        <v>3368</v>
      </c>
      <c r="T886" t="s">
        <v>3369</v>
      </c>
      <c r="U886" t="s">
        <v>2171</v>
      </c>
      <c r="V886" t="s">
        <v>14</v>
      </c>
      <c r="W886" t="b">
        <v>1</v>
      </c>
      <c r="X886" t="s">
        <v>3866</v>
      </c>
      <c r="Y886" t="b">
        <v>0</v>
      </c>
      <c r="Z886" t="s">
        <v>2053</v>
      </c>
    </row>
    <row r="887" spans="1:26" x14ac:dyDescent="0.35">
      <c r="A887" t="s">
        <v>483</v>
      </c>
      <c r="B887" t="s">
        <v>484</v>
      </c>
      <c r="C887" t="s">
        <v>2967</v>
      </c>
      <c r="D887" t="s">
        <v>1963</v>
      </c>
      <c r="E887" t="s">
        <v>2020</v>
      </c>
      <c r="F887" t="s">
        <v>2021</v>
      </c>
      <c r="G887" t="s">
        <v>2022</v>
      </c>
      <c r="H887" t="s">
        <v>2023</v>
      </c>
      <c r="I887" t="s">
        <v>306</v>
      </c>
      <c r="J887" t="s">
        <v>1963</v>
      </c>
      <c r="K887" t="s">
        <v>3865</v>
      </c>
      <c r="L887" t="s">
        <v>2046</v>
      </c>
      <c r="M887" t="s">
        <v>2026</v>
      </c>
      <c r="N887" t="s">
        <v>2027</v>
      </c>
      <c r="O887" t="s">
        <v>2028</v>
      </c>
      <c r="P887" t="s">
        <v>2029</v>
      </c>
      <c r="Q887" t="s">
        <v>3531</v>
      </c>
      <c r="R887" t="s">
        <v>14</v>
      </c>
      <c r="S887" t="s">
        <v>2991</v>
      </c>
      <c r="T887" t="s">
        <v>2992</v>
      </c>
      <c r="U887" t="s">
        <v>2030</v>
      </c>
      <c r="V887" t="s">
        <v>14</v>
      </c>
      <c r="W887" t="b">
        <v>1</v>
      </c>
      <c r="X887" t="s">
        <v>3866</v>
      </c>
      <c r="Y887" t="b">
        <v>1</v>
      </c>
      <c r="Z887" t="s">
        <v>2032</v>
      </c>
    </row>
    <row r="888" spans="1:26" x14ac:dyDescent="0.35">
      <c r="A888" t="s">
        <v>483</v>
      </c>
      <c r="B888" t="s">
        <v>484</v>
      </c>
      <c r="C888" t="s">
        <v>2967</v>
      </c>
      <c r="D888" t="s">
        <v>1963</v>
      </c>
      <c r="E888" t="s">
        <v>2020</v>
      </c>
      <c r="F888" t="s">
        <v>2021</v>
      </c>
      <c r="G888" t="s">
        <v>2022</v>
      </c>
      <c r="H888" t="s">
        <v>2023</v>
      </c>
      <c r="I888" t="s">
        <v>1416</v>
      </c>
      <c r="J888" t="s">
        <v>1963</v>
      </c>
      <c r="K888" t="s">
        <v>3865</v>
      </c>
      <c r="L888" t="s">
        <v>2046</v>
      </c>
      <c r="M888" t="s">
        <v>3483</v>
      </c>
      <c r="N888" t="s">
        <v>3484</v>
      </c>
      <c r="O888" t="s">
        <v>2362</v>
      </c>
      <c r="P888" t="s">
        <v>2363</v>
      </c>
      <c r="Q888" t="s">
        <v>3674</v>
      </c>
      <c r="R888" t="s">
        <v>14</v>
      </c>
      <c r="S888" t="s">
        <v>3675</v>
      </c>
      <c r="T888" t="s">
        <v>3676</v>
      </c>
      <c r="U888" t="s">
        <v>2171</v>
      </c>
      <c r="V888" t="s">
        <v>14</v>
      </c>
      <c r="W888" t="b">
        <v>1</v>
      </c>
      <c r="X888" t="s">
        <v>3866</v>
      </c>
      <c r="Y888" t="b">
        <v>1</v>
      </c>
      <c r="Z888" t="s">
        <v>2032</v>
      </c>
    </row>
    <row r="889" spans="1:26" x14ac:dyDescent="0.35">
      <c r="A889" t="s">
        <v>485</v>
      </c>
      <c r="B889" t="s">
        <v>486</v>
      </c>
      <c r="C889" t="s">
        <v>3167</v>
      </c>
      <c r="D889" t="s">
        <v>1963</v>
      </c>
      <c r="E889" t="s">
        <v>2020</v>
      </c>
      <c r="F889" t="s">
        <v>2021</v>
      </c>
      <c r="G889" t="s">
        <v>2022</v>
      </c>
      <c r="H889" t="s">
        <v>2023</v>
      </c>
      <c r="I889" t="s">
        <v>3867</v>
      </c>
      <c r="J889" t="s">
        <v>1963</v>
      </c>
      <c r="K889" t="s">
        <v>3868</v>
      </c>
      <c r="L889" t="s">
        <v>2046</v>
      </c>
      <c r="M889" t="s">
        <v>3869</v>
      </c>
      <c r="N889" t="s">
        <v>3870</v>
      </c>
      <c r="O889" t="s">
        <v>2101</v>
      </c>
      <c r="P889" t="s">
        <v>2102</v>
      </c>
      <c r="Q889" t="s">
        <v>2103</v>
      </c>
      <c r="R889" t="s">
        <v>14</v>
      </c>
      <c r="S889" t="s">
        <v>2101</v>
      </c>
      <c r="T889" t="s">
        <v>2102</v>
      </c>
      <c r="U889" t="s">
        <v>2052</v>
      </c>
      <c r="V889" t="s">
        <v>14</v>
      </c>
      <c r="W889" t="b">
        <v>1</v>
      </c>
      <c r="X889" t="s">
        <v>3871</v>
      </c>
      <c r="Y889" t="b">
        <v>0</v>
      </c>
      <c r="Z889" t="s">
        <v>2053</v>
      </c>
    </row>
    <row r="890" spans="1:26" x14ac:dyDescent="0.35">
      <c r="A890" t="s">
        <v>487</v>
      </c>
      <c r="B890" t="s">
        <v>488</v>
      </c>
      <c r="C890" t="s">
        <v>3167</v>
      </c>
      <c r="D890" t="s">
        <v>1963</v>
      </c>
      <c r="E890" t="s">
        <v>2020</v>
      </c>
      <c r="F890" t="s">
        <v>2021</v>
      </c>
      <c r="G890" t="s">
        <v>2022</v>
      </c>
      <c r="H890" t="s">
        <v>2023</v>
      </c>
      <c r="I890" t="s">
        <v>3872</v>
      </c>
      <c r="J890" t="s">
        <v>1963</v>
      </c>
      <c r="K890" t="s">
        <v>3873</v>
      </c>
      <c r="L890" t="s">
        <v>2046</v>
      </c>
      <c r="M890" t="s">
        <v>2348</v>
      </c>
      <c r="N890" t="s">
        <v>2349</v>
      </c>
      <c r="O890" t="s">
        <v>2348</v>
      </c>
      <c r="P890" t="s">
        <v>2349</v>
      </c>
      <c r="Q890" t="s">
        <v>3874</v>
      </c>
      <c r="R890" t="s">
        <v>14</v>
      </c>
      <c r="S890" t="s">
        <v>3875</v>
      </c>
      <c r="T890" t="s">
        <v>3876</v>
      </c>
      <c r="U890" t="s">
        <v>2030</v>
      </c>
      <c r="V890" t="s">
        <v>14</v>
      </c>
      <c r="W890" t="b">
        <v>1</v>
      </c>
      <c r="X890" t="s">
        <v>3877</v>
      </c>
      <c r="Y890" t="b">
        <v>0</v>
      </c>
      <c r="Z890" t="s">
        <v>2053</v>
      </c>
    </row>
    <row r="891" spans="1:26" x14ac:dyDescent="0.35">
      <c r="A891" t="s">
        <v>489</v>
      </c>
      <c r="B891" t="s">
        <v>490</v>
      </c>
      <c r="C891" t="s">
        <v>2967</v>
      </c>
      <c r="D891" t="s">
        <v>1963</v>
      </c>
      <c r="E891" t="s">
        <v>2020</v>
      </c>
      <c r="F891" t="s">
        <v>2021</v>
      </c>
      <c r="G891" t="s">
        <v>2022</v>
      </c>
      <c r="H891" t="s">
        <v>2023</v>
      </c>
      <c r="I891" t="s">
        <v>3718</v>
      </c>
      <c r="J891" t="s">
        <v>1963</v>
      </c>
      <c r="K891" t="s">
        <v>3878</v>
      </c>
      <c r="L891" t="s">
        <v>2046</v>
      </c>
      <c r="M891" t="s">
        <v>3720</v>
      </c>
      <c r="N891" t="s">
        <v>3721</v>
      </c>
      <c r="O891" t="s">
        <v>3722</v>
      </c>
      <c r="P891" t="s">
        <v>3723</v>
      </c>
      <c r="Q891" t="s">
        <v>14</v>
      </c>
      <c r="R891" t="s">
        <v>14</v>
      </c>
      <c r="S891" t="s">
        <v>3724</v>
      </c>
      <c r="T891" t="s">
        <v>3725</v>
      </c>
      <c r="U891" t="s">
        <v>2233</v>
      </c>
      <c r="V891" t="s">
        <v>14</v>
      </c>
      <c r="W891" t="b">
        <v>1</v>
      </c>
      <c r="X891" t="s">
        <v>3879</v>
      </c>
      <c r="Y891" t="b">
        <v>0</v>
      </c>
      <c r="Z891" t="s">
        <v>2053</v>
      </c>
    </row>
    <row r="892" spans="1:26" x14ac:dyDescent="0.35">
      <c r="A892" t="s">
        <v>491</v>
      </c>
      <c r="B892" t="s">
        <v>492</v>
      </c>
      <c r="C892" t="s">
        <v>3167</v>
      </c>
      <c r="D892" t="s">
        <v>1963</v>
      </c>
      <c r="E892" t="s">
        <v>2020</v>
      </c>
      <c r="F892" t="s">
        <v>2021</v>
      </c>
      <c r="G892" t="s">
        <v>2022</v>
      </c>
      <c r="H892" t="s">
        <v>2023</v>
      </c>
      <c r="I892" t="s">
        <v>3880</v>
      </c>
      <c r="J892" t="s">
        <v>1963</v>
      </c>
      <c r="K892" t="s">
        <v>3881</v>
      </c>
      <c r="L892" t="s">
        <v>2046</v>
      </c>
      <c r="M892" t="s">
        <v>3207</v>
      </c>
      <c r="N892" t="s">
        <v>3208</v>
      </c>
      <c r="O892" t="s">
        <v>3207</v>
      </c>
      <c r="P892" t="s">
        <v>3208</v>
      </c>
      <c r="Q892" t="s">
        <v>14</v>
      </c>
      <c r="R892" t="s">
        <v>14</v>
      </c>
      <c r="S892" t="s">
        <v>14</v>
      </c>
      <c r="T892" t="s">
        <v>14</v>
      </c>
      <c r="U892" t="s">
        <v>2030</v>
      </c>
      <c r="V892" t="s">
        <v>14</v>
      </c>
      <c r="W892" t="b">
        <v>1</v>
      </c>
      <c r="X892" t="s">
        <v>3882</v>
      </c>
      <c r="Y892" t="b">
        <v>0</v>
      </c>
      <c r="Z892" t="s">
        <v>2053</v>
      </c>
    </row>
    <row r="893" spans="1:26" x14ac:dyDescent="0.35">
      <c r="A893" t="s">
        <v>493</v>
      </c>
      <c r="B893" t="s">
        <v>494</v>
      </c>
      <c r="C893" t="s">
        <v>3167</v>
      </c>
      <c r="D893" t="s">
        <v>1963</v>
      </c>
      <c r="E893" t="s">
        <v>2020</v>
      </c>
      <c r="F893" t="s">
        <v>2140</v>
      </c>
      <c r="G893" t="s">
        <v>2141</v>
      </c>
      <c r="H893" t="s">
        <v>2023</v>
      </c>
      <c r="I893" t="s">
        <v>3376</v>
      </c>
      <c r="J893" t="s">
        <v>1963</v>
      </c>
      <c r="K893" t="s">
        <v>3883</v>
      </c>
      <c r="L893" t="s">
        <v>2046</v>
      </c>
      <c r="M893" t="s">
        <v>3378</v>
      </c>
      <c r="N893" t="s">
        <v>3379</v>
      </c>
      <c r="O893" t="s">
        <v>2111</v>
      </c>
      <c r="P893" t="s">
        <v>2112</v>
      </c>
      <c r="Q893" t="s">
        <v>14</v>
      </c>
      <c r="R893" t="s">
        <v>14</v>
      </c>
      <c r="S893" t="s">
        <v>14</v>
      </c>
      <c r="T893" t="s">
        <v>14</v>
      </c>
      <c r="U893" t="s">
        <v>2052</v>
      </c>
      <c r="V893" t="s">
        <v>14</v>
      </c>
      <c r="W893" t="b">
        <v>1</v>
      </c>
      <c r="X893" t="s">
        <v>3884</v>
      </c>
      <c r="Y893" t="b">
        <v>0</v>
      </c>
      <c r="Z893" t="s">
        <v>2053</v>
      </c>
    </row>
    <row r="894" spans="1:26" x14ac:dyDescent="0.35">
      <c r="A894" t="s">
        <v>495</v>
      </c>
      <c r="B894" t="s">
        <v>496</v>
      </c>
      <c r="C894" t="s">
        <v>3167</v>
      </c>
      <c r="D894" t="s">
        <v>1963</v>
      </c>
      <c r="E894" t="s">
        <v>2020</v>
      </c>
      <c r="F894" t="s">
        <v>2140</v>
      </c>
      <c r="G894" t="s">
        <v>2141</v>
      </c>
      <c r="H894" t="s">
        <v>2023</v>
      </c>
      <c r="I894" t="s">
        <v>3376</v>
      </c>
      <c r="J894" t="s">
        <v>1963</v>
      </c>
      <c r="K894" t="s">
        <v>3885</v>
      </c>
      <c r="L894" t="s">
        <v>2046</v>
      </c>
      <c r="M894" t="s">
        <v>3378</v>
      </c>
      <c r="N894" t="s">
        <v>3379</v>
      </c>
      <c r="O894" t="s">
        <v>2111</v>
      </c>
      <c r="P894" t="s">
        <v>2112</v>
      </c>
      <c r="Q894" t="s">
        <v>14</v>
      </c>
      <c r="R894" t="s">
        <v>14</v>
      </c>
      <c r="S894" t="s">
        <v>14</v>
      </c>
      <c r="T894" t="s">
        <v>14</v>
      </c>
      <c r="U894" t="s">
        <v>2052</v>
      </c>
      <c r="V894" t="s">
        <v>14</v>
      </c>
      <c r="W894" t="b">
        <v>1</v>
      </c>
      <c r="X894" t="s">
        <v>3886</v>
      </c>
      <c r="Y894" t="b">
        <v>0</v>
      </c>
      <c r="Z894" t="s">
        <v>2053</v>
      </c>
    </row>
    <row r="895" spans="1:26" x14ac:dyDescent="0.35">
      <c r="A895" t="s">
        <v>497</v>
      </c>
      <c r="B895" t="s">
        <v>3887</v>
      </c>
      <c r="C895" t="s">
        <v>2967</v>
      </c>
      <c r="D895" t="s">
        <v>1963</v>
      </c>
      <c r="E895" t="s">
        <v>2020</v>
      </c>
      <c r="F895" t="s">
        <v>2021</v>
      </c>
      <c r="G895" t="s">
        <v>2022</v>
      </c>
      <c r="H895" t="s">
        <v>2023</v>
      </c>
      <c r="I895" t="s">
        <v>3880</v>
      </c>
      <c r="J895" t="s">
        <v>1963</v>
      </c>
      <c r="K895" t="s">
        <v>3888</v>
      </c>
      <c r="L895" t="s">
        <v>2046</v>
      </c>
      <c r="M895" t="s">
        <v>3207</v>
      </c>
      <c r="N895" t="s">
        <v>3208</v>
      </c>
      <c r="O895" t="s">
        <v>3207</v>
      </c>
      <c r="P895" t="s">
        <v>3208</v>
      </c>
      <c r="Q895" t="s">
        <v>14</v>
      </c>
      <c r="R895" t="s">
        <v>14</v>
      </c>
      <c r="S895" t="s">
        <v>14</v>
      </c>
      <c r="T895" t="s">
        <v>14</v>
      </c>
      <c r="U895" t="s">
        <v>2030</v>
      </c>
      <c r="V895" t="s">
        <v>14</v>
      </c>
      <c r="W895" t="b">
        <v>1</v>
      </c>
      <c r="X895" t="s">
        <v>3889</v>
      </c>
      <c r="Y895" t="b">
        <v>0</v>
      </c>
      <c r="Z895" t="s">
        <v>2053</v>
      </c>
    </row>
    <row r="896" spans="1:26" x14ac:dyDescent="0.35">
      <c r="A896" t="s">
        <v>498</v>
      </c>
      <c r="B896" t="s">
        <v>499</v>
      </c>
      <c r="C896" t="s">
        <v>3167</v>
      </c>
      <c r="D896" t="s">
        <v>1963</v>
      </c>
      <c r="E896" t="s">
        <v>2020</v>
      </c>
      <c r="F896" t="s">
        <v>2055</v>
      </c>
      <c r="G896" t="s">
        <v>2056</v>
      </c>
      <c r="H896" t="s">
        <v>2023</v>
      </c>
      <c r="I896" t="s">
        <v>3890</v>
      </c>
      <c r="J896" t="s">
        <v>1963</v>
      </c>
      <c r="K896" t="s">
        <v>3891</v>
      </c>
      <c r="L896" t="s">
        <v>2046</v>
      </c>
      <c r="M896" t="s">
        <v>2965</v>
      </c>
      <c r="N896" t="s">
        <v>2966</v>
      </c>
      <c r="O896" t="s">
        <v>2060</v>
      </c>
      <c r="P896" t="s">
        <v>2061</v>
      </c>
      <c r="Q896" t="s">
        <v>3892</v>
      </c>
      <c r="R896" t="s">
        <v>14</v>
      </c>
      <c r="S896" t="s">
        <v>3893</v>
      </c>
      <c r="T896" t="s">
        <v>3894</v>
      </c>
      <c r="U896" t="s">
        <v>2052</v>
      </c>
      <c r="V896" t="s">
        <v>14</v>
      </c>
      <c r="W896" t="b">
        <v>1</v>
      </c>
      <c r="X896" t="s">
        <v>3895</v>
      </c>
      <c r="Y896" t="b">
        <v>0</v>
      </c>
      <c r="Z896" t="s">
        <v>2053</v>
      </c>
    </row>
    <row r="897" spans="1:26" x14ac:dyDescent="0.35">
      <c r="A897" t="s">
        <v>500</v>
      </c>
      <c r="B897" t="s">
        <v>501</v>
      </c>
      <c r="C897" t="s">
        <v>3167</v>
      </c>
      <c r="D897" t="s">
        <v>1963</v>
      </c>
      <c r="E897" t="s">
        <v>2020</v>
      </c>
      <c r="F897" t="s">
        <v>2021</v>
      </c>
      <c r="G897" t="s">
        <v>2022</v>
      </c>
      <c r="H897" t="s">
        <v>2023</v>
      </c>
      <c r="I897" t="s">
        <v>3400</v>
      </c>
      <c r="J897" t="s">
        <v>1963</v>
      </c>
      <c r="K897" t="s">
        <v>3896</v>
      </c>
      <c r="L897" t="s">
        <v>2046</v>
      </c>
      <c r="M897" t="s">
        <v>3402</v>
      </c>
      <c r="N897" t="s">
        <v>3403</v>
      </c>
      <c r="O897" t="s">
        <v>3404</v>
      </c>
      <c r="P897" t="s">
        <v>3405</v>
      </c>
      <c r="Q897" t="s">
        <v>3406</v>
      </c>
      <c r="R897" t="s">
        <v>14</v>
      </c>
      <c r="S897" t="s">
        <v>3402</v>
      </c>
      <c r="T897" t="s">
        <v>3403</v>
      </c>
      <c r="U897" t="s">
        <v>2030</v>
      </c>
      <c r="V897" t="s">
        <v>14</v>
      </c>
      <c r="W897" t="b">
        <v>1</v>
      </c>
      <c r="X897" t="s">
        <v>3897</v>
      </c>
      <c r="Y897" t="b">
        <v>0</v>
      </c>
      <c r="Z897" t="s">
        <v>2081</v>
      </c>
    </row>
    <row r="898" spans="1:26" x14ac:dyDescent="0.35">
      <c r="A898" t="s">
        <v>500</v>
      </c>
      <c r="B898" t="s">
        <v>501</v>
      </c>
      <c r="C898" t="s">
        <v>3167</v>
      </c>
      <c r="D898" t="s">
        <v>1963</v>
      </c>
      <c r="E898" t="s">
        <v>2020</v>
      </c>
      <c r="F898" t="s">
        <v>2021</v>
      </c>
      <c r="G898" t="s">
        <v>2022</v>
      </c>
      <c r="H898" t="s">
        <v>2023</v>
      </c>
      <c r="I898" t="s">
        <v>3898</v>
      </c>
      <c r="J898" t="s">
        <v>1963</v>
      </c>
      <c r="K898" t="s">
        <v>3896</v>
      </c>
      <c r="L898" t="s">
        <v>2046</v>
      </c>
      <c r="M898" t="s">
        <v>14</v>
      </c>
      <c r="N898" t="s">
        <v>14</v>
      </c>
      <c r="O898" t="s">
        <v>3579</v>
      </c>
      <c r="P898" t="s">
        <v>3580</v>
      </c>
      <c r="Q898" t="s">
        <v>14</v>
      </c>
      <c r="R898" t="s">
        <v>14</v>
      </c>
      <c r="S898" t="s">
        <v>14</v>
      </c>
      <c r="T898" t="s">
        <v>14</v>
      </c>
      <c r="U898" t="s">
        <v>2390</v>
      </c>
      <c r="V898" t="s">
        <v>14</v>
      </c>
      <c r="W898" t="b">
        <v>1</v>
      </c>
      <c r="X898" t="s">
        <v>3897</v>
      </c>
      <c r="Y898" t="b">
        <v>0</v>
      </c>
      <c r="Z898" t="s">
        <v>2032</v>
      </c>
    </row>
    <row r="899" spans="1:26" x14ac:dyDescent="0.35">
      <c r="A899" t="s">
        <v>502</v>
      </c>
      <c r="B899" t="s">
        <v>503</v>
      </c>
      <c r="C899" t="s">
        <v>3167</v>
      </c>
      <c r="D899" t="s">
        <v>1963</v>
      </c>
      <c r="E899" t="s">
        <v>2020</v>
      </c>
      <c r="F899" t="s">
        <v>2021</v>
      </c>
      <c r="G899" t="s">
        <v>2022</v>
      </c>
      <c r="H899" t="s">
        <v>2023</v>
      </c>
      <c r="I899" t="s">
        <v>3174</v>
      </c>
      <c r="J899" t="s">
        <v>1963</v>
      </c>
      <c r="K899" t="s">
        <v>3899</v>
      </c>
      <c r="L899" t="s">
        <v>2046</v>
      </c>
      <c r="M899" t="s">
        <v>3176</v>
      </c>
      <c r="N899" t="s">
        <v>3177</v>
      </c>
      <c r="O899" t="s">
        <v>3154</v>
      </c>
      <c r="P899" t="s">
        <v>3155</v>
      </c>
      <c r="Q899" t="s">
        <v>3178</v>
      </c>
      <c r="R899" t="s">
        <v>14</v>
      </c>
      <c r="S899" t="s">
        <v>3179</v>
      </c>
      <c r="T899" t="s">
        <v>3180</v>
      </c>
      <c r="U899" t="s">
        <v>3015</v>
      </c>
      <c r="V899" t="s">
        <v>14</v>
      </c>
      <c r="W899" t="b">
        <v>1</v>
      </c>
      <c r="X899" t="s">
        <v>3900</v>
      </c>
      <c r="Y899" t="b">
        <v>0</v>
      </c>
      <c r="Z899" t="s">
        <v>2032</v>
      </c>
    </row>
    <row r="900" spans="1:26" x14ac:dyDescent="0.35">
      <c r="A900" t="s">
        <v>504</v>
      </c>
      <c r="B900" t="s">
        <v>505</v>
      </c>
      <c r="C900" t="s">
        <v>3167</v>
      </c>
      <c r="D900" t="s">
        <v>1963</v>
      </c>
      <c r="E900" t="s">
        <v>2020</v>
      </c>
      <c r="F900" t="s">
        <v>2021</v>
      </c>
      <c r="G900" t="s">
        <v>2022</v>
      </c>
      <c r="H900" t="s">
        <v>2023</v>
      </c>
      <c r="I900" t="s">
        <v>3174</v>
      </c>
      <c r="J900" t="s">
        <v>1963</v>
      </c>
      <c r="K900" t="s">
        <v>3901</v>
      </c>
      <c r="L900" t="s">
        <v>2046</v>
      </c>
      <c r="M900" t="s">
        <v>3176</v>
      </c>
      <c r="N900" t="s">
        <v>3177</v>
      </c>
      <c r="O900" t="s">
        <v>3154</v>
      </c>
      <c r="P900" t="s">
        <v>3155</v>
      </c>
      <c r="Q900" t="s">
        <v>3178</v>
      </c>
      <c r="R900" t="s">
        <v>14</v>
      </c>
      <c r="S900" t="s">
        <v>3179</v>
      </c>
      <c r="T900" t="s">
        <v>3180</v>
      </c>
      <c r="U900" t="s">
        <v>3015</v>
      </c>
      <c r="V900" t="s">
        <v>14</v>
      </c>
      <c r="W900" t="b">
        <v>1</v>
      </c>
      <c r="X900" t="s">
        <v>3902</v>
      </c>
      <c r="Y900" t="b">
        <v>0</v>
      </c>
      <c r="Z900" t="s">
        <v>2032</v>
      </c>
    </row>
    <row r="901" spans="1:26" x14ac:dyDescent="0.35">
      <c r="A901" t="s">
        <v>506</v>
      </c>
      <c r="B901" t="s">
        <v>507</v>
      </c>
      <c r="C901" t="s">
        <v>3167</v>
      </c>
      <c r="D901" t="s">
        <v>1963</v>
      </c>
      <c r="E901" t="s">
        <v>2020</v>
      </c>
      <c r="F901" t="s">
        <v>2021</v>
      </c>
      <c r="G901" t="s">
        <v>2022</v>
      </c>
      <c r="H901" t="s">
        <v>2023</v>
      </c>
      <c r="I901" t="s">
        <v>2975</v>
      </c>
      <c r="J901" t="s">
        <v>1963</v>
      </c>
      <c r="K901" t="s">
        <v>3903</v>
      </c>
      <c r="L901" t="s">
        <v>2046</v>
      </c>
      <c r="M901" t="s">
        <v>2970</v>
      </c>
      <c r="N901" t="s">
        <v>2971</v>
      </c>
      <c r="O901" t="s">
        <v>2401</v>
      </c>
      <c r="P901" t="s">
        <v>2402</v>
      </c>
      <c r="Q901" t="s">
        <v>14</v>
      </c>
      <c r="R901" t="s">
        <v>14</v>
      </c>
      <c r="S901" t="s">
        <v>2972</v>
      </c>
      <c r="T901" t="s">
        <v>2973</v>
      </c>
      <c r="U901" t="s">
        <v>2390</v>
      </c>
      <c r="V901" t="s">
        <v>14</v>
      </c>
      <c r="W901" t="b">
        <v>1</v>
      </c>
      <c r="X901" t="s">
        <v>3904</v>
      </c>
      <c r="Y901" t="b">
        <v>0</v>
      </c>
      <c r="Z901" t="s">
        <v>2032</v>
      </c>
    </row>
    <row r="902" spans="1:26" x14ac:dyDescent="0.35">
      <c r="A902" t="s">
        <v>506</v>
      </c>
      <c r="B902" t="s">
        <v>507</v>
      </c>
      <c r="C902" t="s">
        <v>3167</v>
      </c>
      <c r="D902" t="s">
        <v>1963</v>
      </c>
      <c r="E902" t="s">
        <v>2020</v>
      </c>
      <c r="F902" t="s">
        <v>2021</v>
      </c>
      <c r="G902" t="s">
        <v>2022</v>
      </c>
      <c r="H902" t="s">
        <v>2023</v>
      </c>
      <c r="I902" t="s">
        <v>2968</v>
      </c>
      <c r="J902" t="s">
        <v>1963</v>
      </c>
      <c r="K902" t="s">
        <v>3903</v>
      </c>
      <c r="L902" t="s">
        <v>2046</v>
      </c>
      <c r="M902" t="s">
        <v>2970</v>
      </c>
      <c r="N902" t="s">
        <v>2971</v>
      </c>
      <c r="O902" t="s">
        <v>2401</v>
      </c>
      <c r="P902" t="s">
        <v>2402</v>
      </c>
      <c r="Q902" t="s">
        <v>14</v>
      </c>
      <c r="R902" t="s">
        <v>14</v>
      </c>
      <c r="S902" t="s">
        <v>2972</v>
      </c>
      <c r="T902" t="s">
        <v>2973</v>
      </c>
      <c r="U902" t="s">
        <v>2390</v>
      </c>
      <c r="V902" t="s">
        <v>14</v>
      </c>
      <c r="W902" t="b">
        <v>1</v>
      </c>
      <c r="X902" t="s">
        <v>3904</v>
      </c>
      <c r="Y902" t="b">
        <v>0</v>
      </c>
      <c r="Z902" t="s">
        <v>2032</v>
      </c>
    </row>
    <row r="903" spans="1:26" x14ac:dyDescent="0.35">
      <c r="A903" t="s">
        <v>506</v>
      </c>
      <c r="B903" t="s">
        <v>507</v>
      </c>
      <c r="C903" t="s">
        <v>3167</v>
      </c>
      <c r="D903" t="s">
        <v>1963</v>
      </c>
      <c r="E903" t="s">
        <v>2020</v>
      </c>
      <c r="F903" t="s">
        <v>2021</v>
      </c>
      <c r="G903" t="s">
        <v>2022</v>
      </c>
      <c r="H903" t="s">
        <v>2023</v>
      </c>
      <c r="I903" t="s">
        <v>40</v>
      </c>
      <c r="J903" t="s">
        <v>1963</v>
      </c>
      <c r="K903" t="s">
        <v>3903</v>
      </c>
      <c r="L903" t="s">
        <v>2046</v>
      </c>
      <c r="M903" t="s">
        <v>2214</v>
      </c>
      <c r="N903" t="s">
        <v>2215</v>
      </c>
      <c r="O903" t="s">
        <v>2214</v>
      </c>
      <c r="P903" t="s">
        <v>2215</v>
      </c>
      <c r="Q903" t="s">
        <v>14</v>
      </c>
      <c r="R903" t="s">
        <v>14</v>
      </c>
      <c r="S903" t="s">
        <v>14</v>
      </c>
      <c r="T903" t="s">
        <v>14</v>
      </c>
      <c r="U903" t="s">
        <v>2052</v>
      </c>
      <c r="V903" t="s">
        <v>14</v>
      </c>
      <c r="W903" t="b">
        <v>1</v>
      </c>
      <c r="X903" t="s">
        <v>3904</v>
      </c>
      <c r="Y903" t="b">
        <v>0</v>
      </c>
      <c r="Z903" t="s">
        <v>2053</v>
      </c>
    </row>
    <row r="904" spans="1:26" x14ac:dyDescent="0.35">
      <c r="A904" t="s">
        <v>508</v>
      </c>
      <c r="B904" t="s">
        <v>509</v>
      </c>
      <c r="C904" t="s">
        <v>3167</v>
      </c>
      <c r="D904" t="s">
        <v>1963</v>
      </c>
      <c r="E904" t="s">
        <v>2020</v>
      </c>
      <c r="F904" t="s">
        <v>2021</v>
      </c>
      <c r="G904" t="s">
        <v>2022</v>
      </c>
      <c r="H904" t="s">
        <v>2023</v>
      </c>
      <c r="I904" t="s">
        <v>40</v>
      </c>
      <c r="J904" t="s">
        <v>1963</v>
      </c>
      <c r="K904" t="s">
        <v>3905</v>
      </c>
      <c r="L904" t="s">
        <v>2046</v>
      </c>
      <c r="M904" t="s">
        <v>2214</v>
      </c>
      <c r="N904" t="s">
        <v>2215</v>
      </c>
      <c r="O904" t="s">
        <v>2214</v>
      </c>
      <c r="P904" t="s">
        <v>2215</v>
      </c>
      <c r="Q904" t="s">
        <v>14</v>
      </c>
      <c r="R904" t="s">
        <v>14</v>
      </c>
      <c r="S904" t="s">
        <v>14</v>
      </c>
      <c r="T904" t="s">
        <v>14</v>
      </c>
      <c r="U904" t="s">
        <v>2052</v>
      </c>
      <c r="V904" t="s">
        <v>14</v>
      </c>
      <c r="W904" t="b">
        <v>1</v>
      </c>
      <c r="X904" t="s">
        <v>3906</v>
      </c>
      <c r="Y904" t="b">
        <v>0</v>
      </c>
      <c r="Z904" t="s">
        <v>2053</v>
      </c>
    </row>
    <row r="905" spans="1:26" x14ac:dyDescent="0.35">
      <c r="A905" t="s">
        <v>508</v>
      </c>
      <c r="B905" t="s">
        <v>509</v>
      </c>
      <c r="C905" t="s">
        <v>3167</v>
      </c>
      <c r="D905" t="s">
        <v>1963</v>
      </c>
      <c r="E905" t="s">
        <v>2020</v>
      </c>
      <c r="F905" t="s">
        <v>2021</v>
      </c>
      <c r="G905" t="s">
        <v>2022</v>
      </c>
      <c r="H905" t="s">
        <v>2023</v>
      </c>
      <c r="I905" t="s">
        <v>2968</v>
      </c>
      <c r="J905" t="s">
        <v>1963</v>
      </c>
      <c r="K905" t="s">
        <v>3905</v>
      </c>
      <c r="L905" t="s">
        <v>2046</v>
      </c>
      <c r="M905" t="s">
        <v>2970</v>
      </c>
      <c r="N905" t="s">
        <v>2971</v>
      </c>
      <c r="O905" t="s">
        <v>2401</v>
      </c>
      <c r="P905" t="s">
        <v>2402</v>
      </c>
      <c r="Q905" t="s">
        <v>14</v>
      </c>
      <c r="R905" t="s">
        <v>14</v>
      </c>
      <c r="S905" t="s">
        <v>2972</v>
      </c>
      <c r="T905" t="s">
        <v>2973</v>
      </c>
      <c r="U905" t="s">
        <v>2390</v>
      </c>
      <c r="V905" t="s">
        <v>14</v>
      </c>
      <c r="W905" t="b">
        <v>1</v>
      </c>
      <c r="X905" t="s">
        <v>3906</v>
      </c>
      <c r="Y905" t="b">
        <v>0</v>
      </c>
      <c r="Z905" t="s">
        <v>2032</v>
      </c>
    </row>
    <row r="906" spans="1:26" x14ac:dyDescent="0.35">
      <c r="A906" t="s">
        <v>508</v>
      </c>
      <c r="B906" t="s">
        <v>509</v>
      </c>
      <c r="C906" t="s">
        <v>3167</v>
      </c>
      <c r="D906" t="s">
        <v>1963</v>
      </c>
      <c r="E906" t="s">
        <v>2020</v>
      </c>
      <c r="F906" t="s">
        <v>2021</v>
      </c>
      <c r="G906" t="s">
        <v>2022</v>
      </c>
      <c r="H906" t="s">
        <v>2023</v>
      </c>
      <c r="I906" t="s">
        <v>2975</v>
      </c>
      <c r="J906" t="s">
        <v>1963</v>
      </c>
      <c r="K906" t="s">
        <v>3905</v>
      </c>
      <c r="L906" t="s">
        <v>2046</v>
      </c>
      <c r="M906" t="s">
        <v>2970</v>
      </c>
      <c r="N906" t="s">
        <v>2971</v>
      </c>
      <c r="O906" t="s">
        <v>2401</v>
      </c>
      <c r="P906" t="s">
        <v>2402</v>
      </c>
      <c r="Q906" t="s">
        <v>14</v>
      </c>
      <c r="R906" t="s">
        <v>14</v>
      </c>
      <c r="S906" t="s">
        <v>2972</v>
      </c>
      <c r="T906" t="s">
        <v>2973</v>
      </c>
      <c r="U906" t="s">
        <v>2390</v>
      </c>
      <c r="V906" t="s">
        <v>14</v>
      </c>
      <c r="W906" t="b">
        <v>1</v>
      </c>
      <c r="X906" t="s">
        <v>3906</v>
      </c>
      <c r="Y906" t="b">
        <v>0</v>
      </c>
      <c r="Z906" t="s">
        <v>2032</v>
      </c>
    </row>
    <row r="907" spans="1:26" x14ac:dyDescent="0.35">
      <c r="A907" t="s">
        <v>510</v>
      </c>
      <c r="B907" t="s">
        <v>511</v>
      </c>
      <c r="C907" t="s">
        <v>3167</v>
      </c>
      <c r="D907" t="s">
        <v>1963</v>
      </c>
      <c r="E907" t="s">
        <v>2020</v>
      </c>
      <c r="F907" t="s">
        <v>2021</v>
      </c>
      <c r="G907" t="s">
        <v>2022</v>
      </c>
      <c r="H907" t="s">
        <v>2023</v>
      </c>
      <c r="I907" t="s">
        <v>2968</v>
      </c>
      <c r="J907" t="s">
        <v>1963</v>
      </c>
      <c r="K907" t="s">
        <v>3907</v>
      </c>
      <c r="L907" t="s">
        <v>2046</v>
      </c>
      <c r="M907" t="s">
        <v>2970</v>
      </c>
      <c r="N907" t="s">
        <v>2971</v>
      </c>
      <c r="O907" t="s">
        <v>2401</v>
      </c>
      <c r="P907" t="s">
        <v>2402</v>
      </c>
      <c r="Q907" t="s">
        <v>14</v>
      </c>
      <c r="R907" t="s">
        <v>14</v>
      </c>
      <c r="S907" t="s">
        <v>2972</v>
      </c>
      <c r="T907" t="s">
        <v>2973</v>
      </c>
      <c r="U907" t="s">
        <v>2390</v>
      </c>
      <c r="V907" t="s">
        <v>14</v>
      </c>
      <c r="W907" t="b">
        <v>1</v>
      </c>
      <c r="X907" t="s">
        <v>3908</v>
      </c>
      <c r="Y907" t="b">
        <v>0</v>
      </c>
      <c r="Z907" t="s">
        <v>2032</v>
      </c>
    </row>
    <row r="908" spans="1:26" x14ac:dyDescent="0.35">
      <c r="A908" t="s">
        <v>510</v>
      </c>
      <c r="B908" t="s">
        <v>511</v>
      </c>
      <c r="C908" t="s">
        <v>3167</v>
      </c>
      <c r="D908" t="s">
        <v>1963</v>
      </c>
      <c r="E908" t="s">
        <v>2020</v>
      </c>
      <c r="F908" t="s">
        <v>2021</v>
      </c>
      <c r="G908" t="s">
        <v>2022</v>
      </c>
      <c r="H908" t="s">
        <v>2023</v>
      </c>
      <c r="I908" t="s">
        <v>40</v>
      </c>
      <c r="J908" t="s">
        <v>1963</v>
      </c>
      <c r="K908" t="s">
        <v>3907</v>
      </c>
      <c r="L908" t="s">
        <v>2046</v>
      </c>
      <c r="M908" t="s">
        <v>2214</v>
      </c>
      <c r="N908" t="s">
        <v>2215</v>
      </c>
      <c r="O908" t="s">
        <v>2214</v>
      </c>
      <c r="P908" t="s">
        <v>2215</v>
      </c>
      <c r="Q908" t="s">
        <v>14</v>
      </c>
      <c r="R908" t="s">
        <v>14</v>
      </c>
      <c r="S908" t="s">
        <v>14</v>
      </c>
      <c r="T908" t="s">
        <v>14</v>
      </c>
      <c r="U908" t="s">
        <v>2052</v>
      </c>
      <c r="V908" t="s">
        <v>14</v>
      </c>
      <c r="W908" t="b">
        <v>1</v>
      </c>
      <c r="X908" t="s">
        <v>3908</v>
      </c>
      <c r="Y908" t="b">
        <v>0</v>
      </c>
      <c r="Z908" t="s">
        <v>2053</v>
      </c>
    </row>
    <row r="909" spans="1:26" x14ac:dyDescent="0.35">
      <c r="A909" t="s">
        <v>510</v>
      </c>
      <c r="B909" t="s">
        <v>511</v>
      </c>
      <c r="C909" t="s">
        <v>3167</v>
      </c>
      <c r="D909" t="s">
        <v>1963</v>
      </c>
      <c r="E909" t="s">
        <v>2020</v>
      </c>
      <c r="F909" t="s">
        <v>2021</v>
      </c>
      <c r="G909" t="s">
        <v>2022</v>
      </c>
      <c r="H909" t="s">
        <v>2023</v>
      </c>
      <c r="I909" t="s">
        <v>2975</v>
      </c>
      <c r="J909" t="s">
        <v>1963</v>
      </c>
      <c r="K909" t="s">
        <v>3907</v>
      </c>
      <c r="L909" t="s">
        <v>2046</v>
      </c>
      <c r="M909" t="s">
        <v>2970</v>
      </c>
      <c r="N909" t="s">
        <v>2971</v>
      </c>
      <c r="O909" t="s">
        <v>2401</v>
      </c>
      <c r="P909" t="s">
        <v>2402</v>
      </c>
      <c r="Q909" t="s">
        <v>14</v>
      </c>
      <c r="R909" t="s">
        <v>14</v>
      </c>
      <c r="S909" t="s">
        <v>2972</v>
      </c>
      <c r="T909" t="s">
        <v>2973</v>
      </c>
      <c r="U909" t="s">
        <v>2390</v>
      </c>
      <c r="V909" t="s">
        <v>14</v>
      </c>
      <c r="W909" t="b">
        <v>1</v>
      </c>
      <c r="X909" t="s">
        <v>3908</v>
      </c>
      <c r="Y909" t="b">
        <v>0</v>
      </c>
      <c r="Z909" t="s">
        <v>2032</v>
      </c>
    </row>
    <row r="910" spans="1:26" x14ac:dyDescent="0.35">
      <c r="A910" t="s">
        <v>512</v>
      </c>
      <c r="B910" t="s">
        <v>513</v>
      </c>
      <c r="C910" t="s">
        <v>3167</v>
      </c>
      <c r="D910" t="s">
        <v>1963</v>
      </c>
      <c r="E910" t="s">
        <v>2020</v>
      </c>
      <c r="F910" t="s">
        <v>2021</v>
      </c>
      <c r="G910" t="s">
        <v>2022</v>
      </c>
      <c r="H910" t="s">
        <v>2023</v>
      </c>
      <c r="I910" t="s">
        <v>2975</v>
      </c>
      <c r="J910" t="s">
        <v>1963</v>
      </c>
      <c r="K910" t="s">
        <v>3909</v>
      </c>
      <c r="L910" t="s">
        <v>2046</v>
      </c>
      <c r="M910" t="s">
        <v>2970</v>
      </c>
      <c r="N910" t="s">
        <v>2971</v>
      </c>
      <c r="O910" t="s">
        <v>2401</v>
      </c>
      <c r="P910" t="s">
        <v>2402</v>
      </c>
      <c r="Q910" t="s">
        <v>14</v>
      </c>
      <c r="R910" t="s">
        <v>14</v>
      </c>
      <c r="S910" t="s">
        <v>2972</v>
      </c>
      <c r="T910" t="s">
        <v>2973</v>
      </c>
      <c r="U910" t="s">
        <v>2390</v>
      </c>
      <c r="V910" t="s">
        <v>14</v>
      </c>
      <c r="W910" t="b">
        <v>1</v>
      </c>
      <c r="X910" t="s">
        <v>3910</v>
      </c>
      <c r="Y910" t="b">
        <v>0</v>
      </c>
      <c r="Z910" t="s">
        <v>2032</v>
      </c>
    </row>
    <row r="911" spans="1:26" x14ac:dyDescent="0.35">
      <c r="A911" t="s">
        <v>512</v>
      </c>
      <c r="B911" t="s">
        <v>513</v>
      </c>
      <c r="C911" t="s">
        <v>3167</v>
      </c>
      <c r="D911" t="s">
        <v>1963</v>
      </c>
      <c r="E911" t="s">
        <v>2020</v>
      </c>
      <c r="F911" t="s">
        <v>2021</v>
      </c>
      <c r="G911" t="s">
        <v>2022</v>
      </c>
      <c r="H911" t="s">
        <v>2023</v>
      </c>
      <c r="I911" t="s">
        <v>2968</v>
      </c>
      <c r="J911" t="s">
        <v>1963</v>
      </c>
      <c r="K911" t="s">
        <v>3909</v>
      </c>
      <c r="L911" t="s">
        <v>2046</v>
      </c>
      <c r="M911" t="s">
        <v>2970</v>
      </c>
      <c r="N911" t="s">
        <v>2971</v>
      </c>
      <c r="O911" t="s">
        <v>2401</v>
      </c>
      <c r="P911" t="s">
        <v>2402</v>
      </c>
      <c r="Q911" t="s">
        <v>14</v>
      </c>
      <c r="R911" t="s">
        <v>14</v>
      </c>
      <c r="S911" t="s">
        <v>2972</v>
      </c>
      <c r="T911" t="s">
        <v>2973</v>
      </c>
      <c r="U911" t="s">
        <v>2390</v>
      </c>
      <c r="V911" t="s">
        <v>14</v>
      </c>
      <c r="W911" t="b">
        <v>1</v>
      </c>
      <c r="X911" t="s">
        <v>3910</v>
      </c>
      <c r="Y911" t="b">
        <v>0</v>
      </c>
      <c r="Z911" t="s">
        <v>2032</v>
      </c>
    </row>
    <row r="912" spans="1:26" x14ac:dyDescent="0.35">
      <c r="A912" t="s">
        <v>512</v>
      </c>
      <c r="B912" t="s">
        <v>513</v>
      </c>
      <c r="C912" t="s">
        <v>3167</v>
      </c>
      <c r="D912" t="s">
        <v>1963</v>
      </c>
      <c r="E912" t="s">
        <v>2020</v>
      </c>
      <c r="F912" t="s">
        <v>2021</v>
      </c>
      <c r="G912" t="s">
        <v>2022</v>
      </c>
      <c r="H912" t="s">
        <v>2023</v>
      </c>
      <c r="I912" t="s">
        <v>40</v>
      </c>
      <c r="J912" t="s">
        <v>1963</v>
      </c>
      <c r="K912" t="s">
        <v>3909</v>
      </c>
      <c r="L912" t="s">
        <v>2046</v>
      </c>
      <c r="M912" t="s">
        <v>2214</v>
      </c>
      <c r="N912" t="s">
        <v>2215</v>
      </c>
      <c r="O912" t="s">
        <v>2214</v>
      </c>
      <c r="P912" t="s">
        <v>2215</v>
      </c>
      <c r="Q912" t="s">
        <v>14</v>
      </c>
      <c r="R912" t="s">
        <v>14</v>
      </c>
      <c r="S912" t="s">
        <v>14</v>
      </c>
      <c r="T912" t="s">
        <v>14</v>
      </c>
      <c r="U912" t="s">
        <v>2052</v>
      </c>
      <c r="V912" t="s">
        <v>14</v>
      </c>
      <c r="W912" t="b">
        <v>1</v>
      </c>
      <c r="X912" t="s">
        <v>3910</v>
      </c>
      <c r="Y912" t="b">
        <v>0</v>
      </c>
      <c r="Z912" t="s">
        <v>2053</v>
      </c>
    </row>
    <row r="913" spans="1:26" x14ac:dyDescent="0.35">
      <c r="A913" t="s">
        <v>514</v>
      </c>
      <c r="B913" t="s">
        <v>515</v>
      </c>
      <c r="C913" t="s">
        <v>3167</v>
      </c>
      <c r="D913" t="s">
        <v>1963</v>
      </c>
      <c r="E913" t="s">
        <v>2020</v>
      </c>
      <c r="F913" t="s">
        <v>2021</v>
      </c>
      <c r="G913" t="s">
        <v>2022</v>
      </c>
      <c r="H913" t="s">
        <v>2023</v>
      </c>
      <c r="I913" t="s">
        <v>2968</v>
      </c>
      <c r="J913" t="s">
        <v>1963</v>
      </c>
      <c r="K913" t="s">
        <v>3911</v>
      </c>
      <c r="L913" t="s">
        <v>2046</v>
      </c>
      <c r="M913" t="s">
        <v>2970</v>
      </c>
      <c r="N913" t="s">
        <v>2971</v>
      </c>
      <c r="O913" t="s">
        <v>2401</v>
      </c>
      <c r="P913" t="s">
        <v>2402</v>
      </c>
      <c r="Q913" t="s">
        <v>14</v>
      </c>
      <c r="R913" t="s">
        <v>14</v>
      </c>
      <c r="S913" t="s">
        <v>2972</v>
      </c>
      <c r="T913" t="s">
        <v>2973</v>
      </c>
      <c r="U913" t="s">
        <v>2390</v>
      </c>
      <c r="V913" t="s">
        <v>14</v>
      </c>
      <c r="W913" t="b">
        <v>1</v>
      </c>
      <c r="X913" t="s">
        <v>3912</v>
      </c>
      <c r="Y913" t="b">
        <v>0</v>
      </c>
      <c r="Z913" t="s">
        <v>2032</v>
      </c>
    </row>
    <row r="914" spans="1:26" x14ac:dyDescent="0.35">
      <c r="A914" t="s">
        <v>514</v>
      </c>
      <c r="B914" t="s">
        <v>515</v>
      </c>
      <c r="C914" t="s">
        <v>3167</v>
      </c>
      <c r="D914" t="s">
        <v>1963</v>
      </c>
      <c r="E914" t="s">
        <v>2020</v>
      </c>
      <c r="F914" t="s">
        <v>2021</v>
      </c>
      <c r="G914" t="s">
        <v>2022</v>
      </c>
      <c r="H914" t="s">
        <v>2023</v>
      </c>
      <c r="I914" t="s">
        <v>40</v>
      </c>
      <c r="J914" t="s">
        <v>1963</v>
      </c>
      <c r="K914" t="s">
        <v>3911</v>
      </c>
      <c r="L914" t="s">
        <v>2046</v>
      </c>
      <c r="M914" t="s">
        <v>2214</v>
      </c>
      <c r="N914" t="s">
        <v>2215</v>
      </c>
      <c r="O914" t="s">
        <v>2214</v>
      </c>
      <c r="P914" t="s">
        <v>2215</v>
      </c>
      <c r="Q914" t="s">
        <v>14</v>
      </c>
      <c r="R914" t="s">
        <v>14</v>
      </c>
      <c r="S914" t="s">
        <v>14</v>
      </c>
      <c r="T914" t="s">
        <v>14</v>
      </c>
      <c r="U914" t="s">
        <v>2052</v>
      </c>
      <c r="V914" t="s">
        <v>14</v>
      </c>
      <c r="W914" t="b">
        <v>1</v>
      </c>
      <c r="X914" t="s">
        <v>3912</v>
      </c>
      <c r="Y914" t="b">
        <v>0</v>
      </c>
      <c r="Z914" t="s">
        <v>2053</v>
      </c>
    </row>
    <row r="915" spans="1:26" x14ac:dyDescent="0.35">
      <c r="A915" t="s">
        <v>514</v>
      </c>
      <c r="B915" t="s">
        <v>515</v>
      </c>
      <c r="C915" t="s">
        <v>3167</v>
      </c>
      <c r="D915" t="s">
        <v>1963</v>
      </c>
      <c r="E915" t="s">
        <v>2020</v>
      </c>
      <c r="F915" t="s">
        <v>2021</v>
      </c>
      <c r="G915" t="s">
        <v>2022</v>
      </c>
      <c r="H915" t="s">
        <v>2023</v>
      </c>
      <c r="I915" t="s">
        <v>2975</v>
      </c>
      <c r="J915" t="s">
        <v>1963</v>
      </c>
      <c r="K915" t="s">
        <v>3911</v>
      </c>
      <c r="L915" t="s">
        <v>2046</v>
      </c>
      <c r="M915" t="s">
        <v>2970</v>
      </c>
      <c r="N915" t="s">
        <v>2971</v>
      </c>
      <c r="O915" t="s">
        <v>2401</v>
      </c>
      <c r="P915" t="s">
        <v>2402</v>
      </c>
      <c r="Q915" t="s">
        <v>14</v>
      </c>
      <c r="R915" t="s">
        <v>14</v>
      </c>
      <c r="S915" t="s">
        <v>2972</v>
      </c>
      <c r="T915" t="s">
        <v>2973</v>
      </c>
      <c r="U915" t="s">
        <v>2390</v>
      </c>
      <c r="V915" t="s">
        <v>14</v>
      </c>
      <c r="W915" t="b">
        <v>1</v>
      </c>
      <c r="X915" t="s">
        <v>3912</v>
      </c>
      <c r="Y915" t="b">
        <v>0</v>
      </c>
      <c r="Z915" t="s">
        <v>2032</v>
      </c>
    </row>
    <row r="916" spans="1:26" x14ac:dyDescent="0.35">
      <c r="A916" t="s">
        <v>516</v>
      </c>
      <c r="B916" t="s">
        <v>517</v>
      </c>
      <c r="C916" t="s">
        <v>3167</v>
      </c>
      <c r="D916" t="s">
        <v>1963</v>
      </c>
      <c r="E916" t="s">
        <v>2020</v>
      </c>
      <c r="F916" t="s">
        <v>2021</v>
      </c>
      <c r="G916" t="s">
        <v>2022</v>
      </c>
      <c r="H916" t="s">
        <v>2023</v>
      </c>
      <c r="I916" t="s">
        <v>2975</v>
      </c>
      <c r="J916" t="s">
        <v>1963</v>
      </c>
      <c r="K916" t="s">
        <v>3913</v>
      </c>
      <c r="L916" t="s">
        <v>2046</v>
      </c>
      <c r="M916" t="s">
        <v>2970</v>
      </c>
      <c r="N916" t="s">
        <v>2971</v>
      </c>
      <c r="O916" t="s">
        <v>2401</v>
      </c>
      <c r="P916" t="s">
        <v>2402</v>
      </c>
      <c r="Q916" t="s">
        <v>14</v>
      </c>
      <c r="R916" t="s">
        <v>14</v>
      </c>
      <c r="S916" t="s">
        <v>2972</v>
      </c>
      <c r="T916" t="s">
        <v>2973</v>
      </c>
      <c r="U916" t="s">
        <v>2390</v>
      </c>
      <c r="V916" t="s">
        <v>14</v>
      </c>
      <c r="W916" t="b">
        <v>1</v>
      </c>
      <c r="X916" t="s">
        <v>3914</v>
      </c>
      <c r="Y916" t="b">
        <v>0</v>
      </c>
      <c r="Z916" t="s">
        <v>2032</v>
      </c>
    </row>
    <row r="917" spans="1:26" x14ac:dyDescent="0.35">
      <c r="A917" t="s">
        <v>516</v>
      </c>
      <c r="B917" t="s">
        <v>517</v>
      </c>
      <c r="C917" t="s">
        <v>3167</v>
      </c>
      <c r="D917" t="s">
        <v>1963</v>
      </c>
      <c r="E917" t="s">
        <v>2020</v>
      </c>
      <c r="F917" t="s">
        <v>2021</v>
      </c>
      <c r="G917" t="s">
        <v>2022</v>
      </c>
      <c r="H917" t="s">
        <v>2023</v>
      </c>
      <c r="I917" t="s">
        <v>2968</v>
      </c>
      <c r="J917" t="s">
        <v>1963</v>
      </c>
      <c r="K917" t="s">
        <v>3913</v>
      </c>
      <c r="L917" t="s">
        <v>2046</v>
      </c>
      <c r="M917" t="s">
        <v>2970</v>
      </c>
      <c r="N917" t="s">
        <v>2971</v>
      </c>
      <c r="O917" t="s">
        <v>2401</v>
      </c>
      <c r="P917" t="s">
        <v>2402</v>
      </c>
      <c r="Q917" t="s">
        <v>14</v>
      </c>
      <c r="R917" t="s">
        <v>14</v>
      </c>
      <c r="S917" t="s">
        <v>2972</v>
      </c>
      <c r="T917" t="s">
        <v>2973</v>
      </c>
      <c r="U917" t="s">
        <v>2390</v>
      </c>
      <c r="V917" t="s">
        <v>14</v>
      </c>
      <c r="W917" t="b">
        <v>1</v>
      </c>
      <c r="X917" t="s">
        <v>3914</v>
      </c>
      <c r="Y917" t="b">
        <v>0</v>
      </c>
      <c r="Z917" t="s">
        <v>2032</v>
      </c>
    </row>
    <row r="918" spans="1:26" x14ac:dyDescent="0.35">
      <c r="A918" t="s">
        <v>516</v>
      </c>
      <c r="B918" t="s">
        <v>517</v>
      </c>
      <c r="C918" t="s">
        <v>3167</v>
      </c>
      <c r="D918" t="s">
        <v>1963</v>
      </c>
      <c r="E918" t="s">
        <v>2020</v>
      </c>
      <c r="F918" t="s">
        <v>2021</v>
      </c>
      <c r="G918" t="s">
        <v>2022</v>
      </c>
      <c r="H918" t="s">
        <v>2023</v>
      </c>
      <c r="I918" t="s">
        <v>40</v>
      </c>
      <c r="J918" t="s">
        <v>1963</v>
      </c>
      <c r="K918" t="s">
        <v>3913</v>
      </c>
      <c r="L918" t="s">
        <v>2046</v>
      </c>
      <c r="M918" t="s">
        <v>2214</v>
      </c>
      <c r="N918" t="s">
        <v>2215</v>
      </c>
      <c r="O918" t="s">
        <v>2214</v>
      </c>
      <c r="P918" t="s">
        <v>2215</v>
      </c>
      <c r="Q918" t="s">
        <v>14</v>
      </c>
      <c r="R918" t="s">
        <v>14</v>
      </c>
      <c r="S918" t="s">
        <v>14</v>
      </c>
      <c r="T918" t="s">
        <v>14</v>
      </c>
      <c r="U918" t="s">
        <v>2052</v>
      </c>
      <c r="V918" t="s">
        <v>14</v>
      </c>
      <c r="W918" t="b">
        <v>1</v>
      </c>
      <c r="X918" t="s">
        <v>3914</v>
      </c>
      <c r="Y918" t="b">
        <v>0</v>
      </c>
      <c r="Z918" t="s">
        <v>2053</v>
      </c>
    </row>
    <row r="919" spans="1:26" x14ac:dyDescent="0.35">
      <c r="A919" t="s">
        <v>518</v>
      </c>
      <c r="B919" t="s">
        <v>519</v>
      </c>
      <c r="C919" t="s">
        <v>3167</v>
      </c>
      <c r="D919" t="s">
        <v>1963</v>
      </c>
      <c r="E919" t="s">
        <v>2020</v>
      </c>
      <c r="F919" t="s">
        <v>2021</v>
      </c>
      <c r="G919" t="s">
        <v>2022</v>
      </c>
      <c r="H919" t="s">
        <v>2023</v>
      </c>
      <c r="I919" t="s">
        <v>2975</v>
      </c>
      <c r="J919" t="s">
        <v>1963</v>
      </c>
      <c r="K919" t="s">
        <v>3915</v>
      </c>
      <c r="L919" t="s">
        <v>2046</v>
      </c>
      <c r="M919" t="s">
        <v>2970</v>
      </c>
      <c r="N919" t="s">
        <v>2971</v>
      </c>
      <c r="O919" t="s">
        <v>2401</v>
      </c>
      <c r="P919" t="s">
        <v>2402</v>
      </c>
      <c r="Q919" t="s">
        <v>14</v>
      </c>
      <c r="R919" t="s">
        <v>14</v>
      </c>
      <c r="S919" t="s">
        <v>2972</v>
      </c>
      <c r="T919" t="s">
        <v>2973</v>
      </c>
      <c r="U919" t="s">
        <v>2390</v>
      </c>
      <c r="V919" t="s">
        <v>14</v>
      </c>
      <c r="W919" t="b">
        <v>1</v>
      </c>
      <c r="X919" t="s">
        <v>3916</v>
      </c>
      <c r="Y919" t="b">
        <v>0</v>
      </c>
      <c r="Z919" t="s">
        <v>2032</v>
      </c>
    </row>
    <row r="920" spans="1:26" x14ac:dyDescent="0.35">
      <c r="A920" t="s">
        <v>518</v>
      </c>
      <c r="B920" t="s">
        <v>519</v>
      </c>
      <c r="C920" t="s">
        <v>3167</v>
      </c>
      <c r="D920" t="s">
        <v>1963</v>
      </c>
      <c r="E920" t="s">
        <v>2020</v>
      </c>
      <c r="F920" t="s">
        <v>2021</v>
      </c>
      <c r="G920" t="s">
        <v>2022</v>
      </c>
      <c r="H920" t="s">
        <v>2023</v>
      </c>
      <c r="I920" t="s">
        <v>2968</v>
      </c>
      <c r="J920" t="s">
        <v>1963</v>
      </c>
      <c r="K920" t="s">
        <v>3915</v>
      </c>
      <c r="L920" t="s">
        <v>2046</v>
      </c>
      <c r="M920" t="s">
        <v>2970</v>
      </c>
      <c r="N920" t="s">
        <v>2971</v>
      </c>
      <c r="O920" t="s">
        <v>2401</v>
      </c>
      <c r="P920" t="s">
        <v>2402</v>
      </c>
      <c r="Q920" t="s">
        <v>14</v>
      </c>
      <c r="R920" t="s">
        <v>14</v>
      </c>
      <c r="S920" t="s">
        <v>2972</v>
      </c>
      <c r="T920" t="s">
        <v>2973</v>
      </c>
      <c r="U920" t="s">
        <v>2390</v>
      </c>
      <c r="V920" t="s">
        <v>14</v>
      </c>
      <c r="W920" t="b">
        <v>1</v>
      </c>
      <c r="X920" t="s">
        <v>3916</v>
      </c>
      <c r="Y920" t="b">
        <v>0</v>
      </c>
      <c r="Z920" t="s">
        <v>2032</v>
      </c>
    </row>
    <row r="921" spans="1:26" x14ac:dyDescent="0.35">
      <c r="A921" t="s">
        <v>518</v>
      </c>
      <c r="B921" t="s">
        <v>519</v>
      </c>
      <c r="C921" t="s">
        <v>3167</v>
      </c>
      <c r="D921" t="s">
        <v>1963</v>
      </c>
      <c r="E921" t="s">
        <v>2020</v>
      </c>
      <c r="F921" t="s">
        <v>2021</v>
      </c>
      <c r="G921" t="s">
        <v>2022</v>
      </c>
      <c r="H921" t="s">
        <v>2023</v>
      </c>
      <c r="I921" t="s">
        <v>40</v>
      </c>
      <c r="J921" t="s">
        <v>1963</v>
      </c>
      <c r="K921" t="s">
        <v>3915</v>
      </c>
      <c r="L921" t="s">
        <v>2046</v>
      </c>
      <c r="M921" t="s">
        <v>2214</v>
      </c>
      <c r="N921" t="s">
        <v>2215</v>
      </c>
      <c r="O921" t="s">
        <v>2214</v>
      </c>
      <c r="P921" t="s">
        <v>2215</v>
      </c>
      <c r="Q921" t="s">
        <v>14</v>
      </c>
      <c r="R921" t="s">
        <v>14</v>
      </c>
      <c r="S921" t="s">
        <v>14</v>
      </c>
      <c r="T921" t="s">
        <v>14</v>
      </c>
      <c r="U921" t="s">
        <v>2052</v>
      </c>
      <c r="V921" t="s">
        <v>14</v>
      </c>
      <c r="W921" t="b">
        <v>1</v>
      </c>
      <c r="X921" t="s">
        <v>3916</v>
      </c>
      <c r="Y921" t="b">
        <v>0</v>
      </c>
      <c r="Z921" t="s">
        <v>2053</v>
      </c>
    </row>
    <row r="922" spans="1:26" x14ac:dyDescent="0.35">
      <c r="A922" t="s">
        <v>520</v>
      </c>
      <c r="B922" t="s">
        <v>521</v>
      </c>
      <c r="C922" t="s">
        <v>3167</v>
      </c>
      <c r="D922" t="s">
        <v>1963</v>
      </c>
      <c r="E922" t="s">
        <v>2020</v>
      </c>
      <c r="F922" t="s">
        <v>2021</v>
      </c>
      <c r="G922" t="s">
        <v>2022</v>
      </c>
      <c r="H922" t="s">
        <v>2023</v>
      </c>
      <c r="I922" t="s">
        <v>2975</v>
      </c>
      <c r="J922" t="s">
        <v>1963</v>
      </c>
      <c r="K922" t="s">
        <v>3917</v>
      </c>
      <c r="L922" t="s">
        <v>2046</v>
      </c>
      <c r="M922" t="s">
        <v>2970</v>
      </c>
      <c r="N922" t="s">
        <v>2971</v>
      </c>
      <c r="O922" t="s">
        <v>2401</v>
      </c>
      <c r="P922" t="s">
        <v>2402</v>
      </c>
      <c r="Q922" t="s">
        <v>14</v>
      </c>
      <c r="R922" t="s">
        <v>14</v>
      </c>
      <c r="S922" t="s">
        <v>2972</v>
      </c>
      <c r="T922" t="s">
        <v>2973</v>
      </c>
      <c r="U922" t="s">
        <v>2390</v>
      </c>
      <c r="V922" t="s">
        <v>14</v>
      </c>
      <c r="W922" t="b">
        <v>1</v>
      </c>
      <c r="X922" t="s">
        <v>3918</v>
      </c>
      <c r="Y922" t="b">
        <v>0</v>
      </c>
      <c r="Z922" t="s">
        <v>2032</v>
      </c>
    </row>
    <row r="923" spans="1:26" x14ac:dyDescent="0.35">
      <c r="A923" t="s">
        <v>520</v>
      </c>
      <c r="B923" t="s">
        <v>521</v>
      </c>
      <c r="C923" t="s">
        <v>3167</v>
      </c>
      <c r="D923" t="s">
        <v>1963</v>
      </c>
      <c r="E923" t="s">
        <v>2020</v>
      </c>
      <c r="F923" t="s">
        <v>2021</v>
      </c>
      <c r="G923" t="s">
        <v>2022</v>
      </c>
      <c r="H923" t="s">
        <v>2023</v>
      </c>
      <c r="I923" t="s">
        <v>2968</v>
      </c>
      <c r="J923" t="s">
        <v>1963</v>
      </c>
      <c r="K923" t="s">
        <v>3917</v>
      </c>
      <c r="L923" t="s">
        <v>2046</v>
      </c>
      <c r="M923" t="s">
        <v>2970</v>
      </c>
      <c r="N923" t="s">
        <v>2971</v>
      </c>
      <c r="O923" t="s">
        <v>2401</v>
      </c>
      <c r="P923" t="s">
        <v>2402</v>
      </c>
      <c r="Q923" t="s">
        <v>14</v>
      </c>
      <c r="R923" t="s">
        <v>14</v>
      </c>
      <c r="S923" t="s">
        <v>2972</v>
      </c>
      <c r="T923" t="s">
        <v>2973</v>
      </c>
      <c r="U923" t="s">
        <v>2390</v>
      </c>
      <c r="V923" t="s">
        <v>14</v>
      </c>
      <c r="W923" t="b">
        <v>1</v>
      </c>
      <c r="X923" t="s">
        <v>3918</v>
      </c>
      <c r="Y923" t="b">
        <v>0</v>
      </c>
      <c r="Z923" t="s">
        <v>2032</v>
      </c>
    </row>
    <row r="924" spans="1:26" x14ac:dyDescent="0.35">
      <c r="A924" t="s">
        <v>520</v>
      </c>
      <c r="B924" t="s">
        <v>521</v>
      </c>
      <c r="C924" t="s">
        <v>3167</v>
      </c>
      <c r="D924" t="s">
        <v>1963</v>
      </c>
      <c r="E924" t="s">
        <v>2020</v>
      </c>
      <c r="F924" t="s">
        <v>2021</v>
      </c>
      <c r="G924" t="s">
        <v>2022</v>
      </c>
      <c r="H924" t="s">
        <v>2023</v>
      </c>
      <c r="I924" t="s">
        <v>40</v>
      </c>
      <c r="J924" t="s">
        <v>1963</v>
      </c>
      <c r="K924" t="s">
        <v>3917</v>
      </c>
      <c r="L924" t="s">
        <v>2046</v>
      </c>
      <c r="M924" t="s">
        <v>2214</v>
      </c>
      <c r="N924" t="s">
        <v>2215</v>
      </c>
      <c r="O924" t="s">
        <v>2214</v>
      </c>
      <c r="P924" t="s">
        <v>2215</v>
      </c>
      <c r="Q924" t="s">
        <v>14</v>
      </c>
      <c r="R924" t="s">
        <v>14</v>
      </c>
      <c r="S924" t="s">
        <v>14</v>
      </c>
      <c r="T924" t="s">
        <v>14</v>
      </c>
      <c r="U924" t="s">
        <v>2052</v>
      </c>
      <c r="V924" t="s">
        <v>14</v>
      </c>
      <c r="W924" t="b">
        <v>1</v>
      </c>
      <c r="X924" t="s">
        <v>3918</v>
      </c>
      <c r="Y924" t="b">
        <v>0</v>
      </c>
      <c r="Z924" t="s">
        <v>2053</v>
      </c>
    </row>
    <row r="925" spans="1:26" x14ac:dyDescent="0.35">
      <c r="A925" t="s">
        <v>522</v>
      </c>
      <c r="B925" t="s">
        <v>523</v>
      </c>
      <c r="C925" t="s">
        <v>3167</v>
      </c>
      <c r="D925" t="s">
        <v>1963</v>
      </c>
      <c r="E925" t="s">
        <v>2020</v>
      </c>
      <c r="F925" t="s">
        <v>2021</v>
      </c>
      <c r="G925" t="s">
        <v>2022</v>
      </c>
      <c r="H925" t="s">
        <v>2023</v>
      </c>
      <c r="I925" t="s">
        <v>2460</v>
      </c>
      <c r="J925" t="s">
        <v>1963</v>
      </c>
      <c r="K925" t="s">
        <v>3919</v>
      </c>
      <c r="L925" t="s">
        <v>2046</v>
      </c>
      <c r="M925" t="s">
        <v>2338</v>
      </c>
      <c r="N925" t="s">
        <v>2339</v>
      </c>
      <c r="O925" t="s">
        <v>2340</v>
      </c>
      <c r="P925" t="s">
        <v>2341</v>
      </c>
      <c r="Q925" t="s">
        <v>14</v>
      </c>
      <c r="R925" t="s">
        <v>14</v>
      </c>
      <c r="S925" t="s">
        <v>2342</v>
      </c>
      <c r="T925" t="s">
        <v>2343</v>
      </c>
      <c r="U925" t="s">
        <v>2171</v>
      </c>
      <c r="V925" t="s">
        <v>14</v>
      </c>
      <c r="W925" t="b">
        <v>1</v>
      </c>
      <c r="X925" t="s">
        <v>3920</v>
      </c>
      <c r="Y925" t="b">
        <v>0</v>
      </c>
      <c r="Z925" t="s">
        <v>2032</v>
      </c>
    </row>
    <row r="926" spans="1:26" x14ac:dyDescent="0.35">
      <c r="A926" t="s">
        <v>524</v>
      </c>
      <c r="B926" t="s">
        <v>3921</v>
      </c>
      <c r="C926" t="s">
        <v>3922</v>
      </c>
      <c r="D926" t="s">
        <v>1963</v>
      </c>
      <c r="E926" t="s">
        <v>2020</v>
      </c>
      <c r="F926" t="s">
        <v>2140</v>
      </c>
      <c r="G926" t="s">
        <v>2141</v>
      </c>
      <c r="H926" t="s">
        <v>2023</v>
      </c>
      <c r="I926" t="s">
        <v>3376</v>
      </c>
      <c r="J926" t="s">
        <v>1963</v>
      </c>
      <c r="K926" t="s">
        <v>3923</v>
      </c>
      <c r="L926" t="s">
        <v>2025</v>
      </c>
      <c r="M926" t="s">
        <v>3378</v>
      </c>
      <c r="N926" t="s">
        <v>3379</v>
      </c>
      <c r="O926" t="s">
        <v>2111</v>
      </c>
      <c r="P926" t="s">
        <v>2112</v>
      </c>
      <c r="Q926" t="s">
        <v>14</v>
      </c>
      <c r="R926" t="s">
        <v>14</v>
      </c>
      <c r="S926" t="s">
        <v>14</v>
      </c>
      <c r="T926" t="s">
        <v>14</v>
      </c>
      <c r="U926" t="s">
        <v>2052</v>
      </c>
      <c r="V926" t="s">
        <v>14</v>
      </c>
      <c r="W926" t="b">
        <v>1</v>
      </c>
      <c r="X926" t="s">
        <v>3924</v>
      </c>
      <c r="Y926" t="b">
        <v>0</v>
      </c>
      <c r="Z926" t="s">
        <v>2053</v>
      </c>
    </row>
    <row r="927" spans="1:26" x14ac:dyDescent="0.35">
      <c r="A927" t="s">
        <v>525</v>
      </c>
      <c r="B927" t="s">
        <v>526</v>
      </c>
      <c r="C927" t="s">
        <v>2967</v>
      </c>
      <c r="D927" t="s">
        <v>1963</v>
      </c>
      <c r="E927" t="s">
        <v>2020</v>
      </c>
      <c r="F927" t="s">
        <v>2021</v>
      </c>
      <c r="G927" t="s">
        <v>2022</v>
      </c>
      <c r="H927" t="s">
        <v>2023</v>
      </c>
      <c r="I927" t="s">
        <v>3880</v>
      </c>
      <c r="J927" t="s">
        <v>1963</v>
      </c>
      <c r="K927" t="s">
        <v>3925</v>
      </c>
      <c r="L927" t="s">
        <v>2046</v>
      </c>
      <c r="M927" t="s">
        <v>3207</v>
      </c>
      <c r="N927" t="s">
        <v>3208</v>
      </c>
      <c r="O927" t="s">
        <v>3207</v>
      </c>
      <c r="P927" t="s">
        <v>3208</v>
      </c>
      <c r="Q927" t="s">
        <v>14</v>
      </c>
      <c r="R927" t="s">
        <v>14</v>
      </c>
      <c r="S927" t="s">
        <v>14</v>
      </c>
      <c r="T927" t="s">
        <v>14</v>
      </c>
      <c r="U927" t="s">
        <v>2030</v>
      </c>
      <c r="V927" t="s">
        <v>14</v>
      </c>
      <c r="W927" t="b">
        <v>1</v>
      </c>
      <c r="X927" t="s">
        <v>3926</v>
      </c>
      <c r="Y927" t="b">
        <v>0</v>
      </c>
      <c r="Z927" t="s">
        <v>2053</v>
      </c>
    </row>
    <row r="928" spans="1:26" x14ac:dyDescent="0.35">
      <c r="A928" t="s">
        <v>527</v>
      </c>
      <c r="B928" t="s">
        <v>528</v>
      </c>
      <c r="C928" t="s">
        <v>3167</v>
      </c>
      <c r="D928" t="s">
        <v>1963</v>
      </c>
      <c r="E928" t="s">
        <v>2020</v>
      </c>
      <c r="F928" t="s">
        <v>2021</v>
      </c>
      <c r="G928" t="s">
        <v>2022</v>
      </c>
      <c r="H928" t="s">
        <v>2023</v>
      </c>
      <c r="I928" t="s">
        <v>3927</v>
      </c>
      <c r="J928" t="s">
        <v>1963</v>
      </c>
      <c r="K928" t="s">
        <v>3928</v>
      </c>
      <c r="L928" t="s">
        <v>2046</v>
      </c>
      <c r="M928" t="s">
        <v>3929</v>
      </c>
      <c r="N928" t="s">
        <v>3930</v>
      </c>
      <c r="O928" t="s">
        <v>2401</v>
      </c>
      <c r="P928" t="s">
        <v>2402</v>
      </c>
      <c r="Q928" t="s">
        <v>14</v>
      </c>
      <c r="R928" t="s">
        <v>14</v>
      </c>
      <c r="S928" t="s">
        <v>14</v>
      </c>
      <c r="T928" t="s">
        <v>14</v>
      </c>
      <c r="U928" t="s">
        <v>3357</v>
      </c>
      <c r="V928" t="s">
        <v>14</v>
      </c>
      <c r="W928" t="b">
        <v>1</v>
      </c>
      <c r="X928" t="s">
        <v>3931</v>
      </c>
      <c r="Y928" t="b">
        <v>0</v>
      </c>
      <c r="Z928" t="s">
        <v>2053</v>
      </c>
    </row>
    <row r="929" spans="1:26" x14ac:dyDescent="0.35">
      <c r="A929" t="s">
        <v>529</v>
      </c>
      <c r="B929" t="s">
        <v>530</v>
      </c>
      <c r="C929" t="s">
        <v>3167</v>
      </c>
      <c r="D929" t="s">
        <v>1963</v>
      </c>
      <c r="E929" t="s">
        <v>2020</v>
      </c>
      <c r="F929" t="s">
        <v>2021</v>
      </c>
      <c r="G929" t="s">
        <v>2022</v>
      </c>
      <c r="H929" t="s">
        <v>2023</v>
      </c>
      <c r="I929" t="s">
        <v>3932</v>
      </c>
      <c r="J929" t="s">
        <v>1963</v>
      </c>
      <c r="K929" t="s">
        <v>3933</v>
      </c>
      <c r="L929" t="s">
        <v>2046</v>
      </c>
      <c r="M929" t="s">
        <v>3934</v>
      </c>
      <c r="N929" t="s">
        <v>3935</v>
      </c>
      <c r="O929" t="s">
        <v>3936</v>
      </c>
      <c r="P929" t="s">
        <v>3937</v>
      </c>
      <c r="Q929" t="s">
        <v>14</v>
      </c>
      <c r="R929" t="s">
        <v>14</v>
      </c>
      <c r="S929" t="s">
        <v>14</v>
      </c>
      <c r="T929" t="s">
        <v>14</v>
      </c>
      <c r="U929" t="s">
        <v>2030</v>
      </c>
      <c r="V929" t="s">
        <v>14</v>
      </c>
      <c r="W929" t="b">
        <v>1</v>
      </c>
      <c r="X929" t="s">
        <v>3938</v>
      </c>
      <c r="Y929" t="b">
        <v>0</v>
      </c>
      <c r="Z929" t="s">
        <v>2081</v>
      </c>
    </row>
    <row r="930" spans="1:26" x14ac:dyDescent="0.35">
      <c r="A930" t="s">
        <v>531</v>
      </c>
      <c r="B930" t="s">
        <v>532</v>
      </c>
      <c r="C930" t="s">
        <v>3167</v>
      </c>
      <c r="D930" t="s">
        <v>1963</v>
      </c>
      <c r="E930" t="s">
        <v>2020</v>
      </c>
      <c r="F930" t="s">
        <v>2021</v>
      </c>
      <c r="G930" t="s">
        <v>2022</v>
      </c>
      <c r="H930" t="s">
        <v>2023</v>
      </c>
      <c r="I930" t="s">
        <v>3939</v>
      </c>
      <c r="J930" t="s">
        <v>1963</v>
      </c>
      <c r="K930" t="s">
        <v>3940</v>
      </c>
      <c r="L930" t="s">
        <v>2046</v>
      </c>
      <c r="M930" t="s">
        <v>3941</v>
      </c>
      <c r="N930" t="s">
        <v>3942</v>
      </c>
      <c r="O930" t="s">
        <v>2401</v>
      </c>
      <c r="P930" t="s">
        <v>2402</v>
      </c>
      <c r="Q930" t="s">
        <v>14</v>
      </c>
      <c r="R930" t="s">
        <v>14</v>
      </c>
      <c r="S930" t="s">
        <v>3943</v>
      </c>
      <c r="T930" t="s">
        <v>3944</v>
      </c>
      <c r="U930" t="s">
        <v>2390</v>
      </c>
      <c r="V930" t="s">
        <v>14</v>
      </c>
      <c r="W930" t="b">
        <v>1</v>
      </c>
      <c r="X930" t="s">
        <v>3945</v>
      </c>
      <c r="Y930" t="b">
        <v>0</v>
      </c>
      <c r="Z930" t="s">
        <v>2053</v>
      </c>
    </row>
    <row r="931" spans="1:26" x14ac:dyDescent="0.35">
      <c r="A931" t="s">
        <v>531</v>
      </c>
      <c r="B931" t="s">
        <v>532</v>
      </c>
      <c r="C931" t="s">
        <v>3167</v>
      </c>
      <c r="D931" t="s">
        <v>1963</v>
      </c>
      <c r="E931" t="s">
        <v>2020</v>
      </c>
      <c r="F931" t="s">
        <v>2021</v>
      </c>
      <c r="G931" t="s">
        <v>2022</v>
      </c>
      <c r="H931" t="s">
        <v>2023</v>
      </c>
      <c r="I931" t="s">
        <v>3946</v>
      </c>
      <c r="J931" t="s">
        <v>1963</v>
      </c>
      <c r="K931" t="s">
        <v>3940</v>
      </c>
      <c r="L931" t="s">
        <v>2046</v>
      </c>
      <c r="M931" t="s">
        <v>3947</v>
      </c>
      <c r="N931" t="s">
        <v>3948</v>
      </c>
      <c r="O931" t="s">
        <v>2075</v>
      </c>
      <c r="P931" t="s">
        <v>2076</v>
      </c>
      <c r="Q931" t="s">
        <v>2077</v>
      </c>
      <c r="R931" t="s">
        <v>14</v>
      </c>
      <c r="S931" t="s">
        <v>3949</v>
      </c>
      <c r="T931" t="s">
        <v>3950</v>
      </c>
      <c r="U931" t="s">
        <v>3357</v>
      </c>
      <c r="V931" t="s">
        <v>14</v>
      </c>
      <c r="W931" t="b">
        <v>1</v>
      </c>
      <c r="X931" t="s">
        <v>3945</v>
      </c>
      <c r="Y931" t="b">
        <v>0</v>
      </c>
      <c r="Z931" t="s">
        <v>2081</v>
      </c>
    </row>
    <row r="932" spans="1:26" x14ac:dyDescent="0.35">
      <c r="A932" t="s">
        <v>533</v>
      </c>
      <c r="B932" t="s">
        <v>534</v>
      </c>
      <c r="C932" t="s">
        <v>3167</v>
      </c>
      <c r="D932" t="s">
        <v>1963</v>
      </c>
      <c r="E932" t="s">
        <v>2020</v>
      </c>
      <c r="F932" t="s">
        <v>2021</v>
      </c>
      <c r="G932" t="s">
        <v>2022</v>
      </c>
      <c r="H932" t="s">
        <v>2023</v>
      </c>
      <c r="I932" t="s">
        <v>3951</v>
      </c>
      <c r="J932" t="s">
        <v>1963</v>
      </c>
      <c r="K932" t="s">
        <v>3952</v>
      </c>
      <c r="L932" t="s">
        <v>2046</v>
      </c>
      <c r="M932" t="s">
        <v>3483</v>
      </c>
      <c r="N932" t="s">
        <v>3484</v>
      </c>
      <c r="O932" t="s">
        <v>2635</v>
      </c>
      <c r="P932" t="s">
        <v>2636</v>
      </c>
      <c r="Q932" t="s">
        <v>14</v>
      </c>
      <c r="R932" t="s">
        <v>14</v>
      </c>
      <c r="S932" t="s">
        <v>3214</v>
      </c>
      <c r="T932" t="s">
        <v>3215</v>
      </c>
      <c r="U932" t="s">
        <v>2171</v>
      </c>
      <c r="V932" t="s">
        <v>14</v>
      </c>
      <c r="W932" t="b">
        <v>1</v>
      </c>
      <c r="X932" t="s">
        <v>3953</v>
      </c>
      <c r="Y932" t="b">
        <v>1</v>
      </c>
      <c r="Z932" t="s">
        <v>2081</v>
      </c>
    </row>
    <row r="933" spans="1:26" x14ac:dyDescent="0.35">
      <c r="A933" t="s">
        <v>535</v>
      </c>
      <c r="B933" t="s">
        <v>536</v>
      </c>
      <c r="C933" t="s">
        <v>3167</v>
      </c>
      <c r="D933" t="s">
        <v>1963</v>
      </c>
      <c r="E933" t="s">
        <v>2020</v>
      </c>
      <c r="F933" t="s">
        <v>2021</v>
      </c>
      <c r="G933" t="s">
        <v>2022</v>
      </c>
      <c r="H933" t="s">
        <v>2023</v>
      </c>
      <c r="I933" t="s">
        <v>911</v>
      </c>
      <c r="J933" t="s">
        <v>1963</v>
      </c>
      <c r="K933" t="s">
        <v>3954</v>
      </c>
      <c r="L933" t="s">
        <v>2046</v>
      </c>
      <c r="M933" t="s">
        <v>2099</v>
      </c>
      <c r="N933" t="s">
        <v>2100</v>
      </c>
      <c r="O933" t="s">
        <v>2214</v>
      </c>
      <c r="P933" t="s">
        <v>2215</v>
      </c>
      <c r="Q933" t="s">
        <v>2103</v>
      </c>
      <c r="R933" t="s">
        <v>14</v>
      </c>
      <c r="S933" t="s">
        <v>2101</v>
      </c>
      <c r="T933" t="s">
        <v>2102</v>
      </c>
      <c r="U933" t="s">
        <v>2052</v>
      </c>
      <c r="V933" t="s">
        <v>14</v>
      </c>
      <c r="W933" t="b">
        <v>1</v>
      </c>
      <c r="X933" t="s">
        <v>3955</v>
      </c>
      <c r="Y933" t="b">
        <v>0</v>
      </c>
      <c r="Z933" t="s">
        <v>2053</v>
      </c>
    </row>
    <row r="934" spans="1:26" x14ac:dyDescent="0.35">
      <c r="A934" t="s">
        <v>537</v>
      </c>
      <c r="B934" t="s">
        <v>538</v>
      </c>
      <c r="C934" t="s">
        <v>3167</v>
      </c>
      <c r="D934" t="s">
        <v>1963</v>
      </c>
      <c r="E934" t="s">
        <v>2020</v>
      </c>
      <c r="F934" t="s">
        <v>2021</v>
      </c>
      <c r="G934" t="s">
        <v>2022</v>
      </c>
      <c r="H934" t="s">
        <v>2023</v>
      </c>
      <c r="I934" t="s">
        <v>3956</v>
      </c>
      <c r="J934" t="s">
        <v>1963</v>
      </c>
      <c r="K934" t="s">
        <v>3957</v>
      </c>
      <c r="L934" t="s">
        <v>2046</v>
      </c>
      <c r="M934" t="s">
        <v>3559</v>
      </c>
      <c r="N934" t="s">
        <v>3560</v>
      </c>
      <c r="O934" t="s">
        <v>2075</v>
      </c>
      <c r="P934" t="s">
        <v>2076</v>
      </c>
      <c r="Q934" t="s">
        <v>2077</v>
      </c>
      <c r="R934" t="s">
        <v>14</v>
      </c>
      <c r="S934" t="s">
        <v>3561</v>
      </c>
      <c r="T934" t="s">
        <v>3562</v>
      </c>
      <c r="U934" t="s">
        <v>2080</v>
      </c>
      <c r="V934" t="s">
        <v>14</v>
      </c>
      <c r="W934" t="b">
        <v>1</v>
      </c>
      <c r="X934" t="s">
        <v>3958</v>
      </c>
      <c r="Y934" t="b">
        <v>0</v>
      </c>
      <c r="Z934" t="s">
        <v>2081</v>
      </c>
    </row>
    <row r="935" spans="1:26" x14ac:dyDescent="0.35">
      <c r="A935" t="s">
        <v>539</v>
      </c>
      <c r="B935" t="s">
        <v>540</v>
      </c>
      <c r="C935" t="s">
        <v>3167</v>
      </c>
      <c r="D935" t="s">
        <v>1963</v>
      </c>
      <c r="E935" t="s">
        <v>2020</v>
      </c>
      <c r="F935" t="s">
        <v>2055</v>
      </c>
      <c r="G935" t="s">
        <v>2056</v>
      </c>
      <c r="H935" t="s">
        <v>2023</v>
      </c>
      <c r="I935" t="s">
        <v>61</v>
      </c>
      <c r="J935" t="s">
        <v>1963</v>
      </c>
      <c r="K935" t="s">
        <v>3959</v>
      </c>
      <c r="L935" t="s">
        <v>2046</v>
      </c>
      <c r="M935" t="s">
        <v>3463</v>
      </c>
      <c r="N935" t="s">
        <v>3464</v>
      </c>
      <c r="O935" t="s">
        <v>2214</v>
      </c>
      <c r="P935" t="s">
        <v>2215</v>
      </c>
      <c r="Q935" t="s">
        <v>3465</v>
      </c>
      <c r="R935" t="s">
        <v>14</v>
      </c>
      <c r="S935" t="s">
        <v>3466</v>
      </c>
      <c r="T935" t="s">
        <v>3467</v>
      </c>
      <c r="U935" t="s">
        <v>2052</v>
      </c>
      <c r="V935" t="s">
        <v>14</v>
      </c>
      <c r="W935" t="b">
        <v>1</v>
      </c>
      <c r="X935" t="s">
        <v>3960</v>
      </c>
      <c r="Y935" t="b">
        <v>0</v>
      </c>
      <c r="Z935" t="s">
        <v>2053</v>
      </c>
    </row>
    <row r="936" spans="1:26" x14ac:dyDescent="0.35">
      <c r="A936" t="s">
        <v>541</v>
      </c>
      <c r="B936" t="s">
        <v>542</v>
      </c>
      <c r="C936" t="s">
        <v>3167</v>
      </c>
      <c r="D936" t="s">
        <v>1963</v>
      </c>
      <c r="E936" t="s">
        <v>2020</v>
      </c>
      <c r="F936" t="s">
        <v>2021</v>
      </c>
      <c r="G936" t="s">
        <v>2022</v>
      </c>
      <c r="H936" t="s">
        <v>2023</v>
      </c>
      <c r="I936" t="s">
        <v>3174</v>
      </c>
      <c r="J936" t="s">
        <v>1963</v>
      </c>
      <c r="K936" t="s">
        <v>3961</v>
      </c>
      <c r="L936" t="s">
        <v>2046</v>
      </c>
      <c r="M936" t="s">
        <v>3176</v>
      </c>
      <c r="N936" t="s">
        <v>3177</v>
      </c>
      <c r="O936" t="s">
        <v>3154</v>
      </c>
      <c r="P936" t="s">
        <v>3155</v>
      </c>
      <c r="Q936" t="s">
        <v>3178</v>
      </c>
      <c r="R936" t="s">
        <v>14</v>
      </c>
      <c r="S936" t="s">
        <v>3179</v>
      </c>
      <c r="T936" t="s">
        <v>3180</v>
      </c>
      <c r="U936" t="s">
        <v>3015</v>
      </c>
      <c r="V936" t="s">
        <v>14</v>
      </c>
      <c r="W936" t="b">
        <v>1</v>
      </c>
      <c r="X936" t="s">
        <v>3962</v>
      </c>
      <c r="Y936" t="b">
        <v>0</v>
      </c>
      <c r="Z936" t="s">
        <v>2032</v>
      </c>
    </row>
    <row r="937" spans="1:26" x14ac:dyDescent="0.35">
      <c r="A937" t="s">
        <v>543</v>
      </c>
      <c r="B937" t="s">
        <v>544</v>
      </c>
      <c r="C937" t="s">
        <v>3167</v>
      </c>
      <c r="D937" t="s">
        <v>1963</v>
      </c>
      <c r="E937" t="s">
        <v>2020</v>
      </c>
      <c r="F937" t="s">
        <v>2021</v>
      </c>
      <c r="G937" t="s">
        <v>2022</v>
      </c>
      <c r="H937" t="s">
        <v>2023</v>
      </c>
      <c r="I937" t="s">
        <v>76</v>
      </c>
      <c r="J937" t="s">
        <v>1963</v>
      </c>
      <c r="K937" t="s">
        <v>3963</v>
      </c>
      <c r="L937" t="s">
        <v>2046</v>
      </c>
      <c r="M937" t="s">
        <v>3821</v>
      </c>
      <c r="N937" t="s">
        <v>3822</v>
      </c>
      <c r="O937" t="s">
        <v>3579</v>
      </c>
      <c r="P937" t="s">
        <v>3580</v>
      </c>
      <c r="Q937" t="s">
        <v>3823</v>
      </c>
      <c r="R937" t="s">
        <v>14</v>
      </c>
      <c r="S937" t="s">
        <v>3831</v>
      </c>
      <c r="T937" t="s">
        <v>3832</v>
      </c>
      <c r="U937" t="s">
        <v>2390</v>
      </c>
      <c r="V937" t="s">
        <v>14</v>
      </c>
      <c r="W937" t="b">
        <v>1</v>
      </c>
      <c r="X937" t="s">
        <v>3964</v>
      </c>
      <c r="Y937" t="b">
        <v>0</v>
      </c>
      <c r="Z937" t="s">
        <v>2032</v>
      </c>
    </row>
    <row r="938" spans="1:26" x14ac:dyDescent="0.35">
      <c r="A938" t="s">
        <v>545</v>
      </c>
      <c r="B938" t="s">
        <v>546</v>
      </c>
      <c r="C938" t="s">
        <v>3167</v>
      </c>
      <c r="D938" t="s">
        <v>1963</v>
      </c>
      <c r="E938" t="s">
        <v>2020</v>
      </c>
      <c r="F938" t="s">
        <v>2021</v>
      </c>
      <c r="G938" t="s">
        <v>2022</v>
      </c>
      <c r="H938" t="s">
        <v>2023</v>
      </c>
      <c r="I938" t="s">
        <v>76</v>
      </c>
      <c r="J938" t="s">
        <v>1963</v>
      </c>
      <c r="K938" t="s">
        <v>3965</v>
      </c>
      <c r="L938" t="s">
        <v>2046</v>
      </c>
      <c r="M938" t="s">
        <v>3821</v>
      </c>
      <c r="N938" t="s">
        <v>3822</v>
      </c>
      <c r="O938" t="s">
        <v>3579</v>
      </c>
      <c r="P938" t="s">
        <v>3580</v>
      </c>
      <c r="Q938" t="s">
        <v>3823</v>
      </c>
      <c r="R938" t="s">
        <v>14</v>
      </c>
      <c r="S938" t="s">
        <v>3831</v>
      </c>
      <c r="T938" t="s">
        <v>3832</v>
      </c>
      <c r="U938" t="s">
        <v>2390</v>
      </c>
      <c r="V938" t="s">
        <v>14</v>
      </c>
      <c r="W938" t="b">
        <v>1</v>
      </c>
      <c r="X938" t="s">
        <v>3966</v>
      </c>
      <c r="Y938" t="b">
        <v>0</v>
      </c>
      <c r="Z938" t="s">
        <v>2032</v>
      </c>
    </row>
    <row r="939" spans="1:26" x14ac:dyDescent="0.35">
      <c r="A939" t="s">
        <v>547</v>
      </c>
      <c r="B939" t="s">
        <v>548</v>
      </c>
      <c r="C939" t="s">
        <v>3167</v>
      </c>
      <c r="D939" t="s">
        <v>1963</v>
      </c>
      <c r="E939" t="s">
        <v>2020</v>
      </c>
      <c r="F939" t="s">
        <v>2021</v>
      </c>
      <c r="G939" t="s">
        <v>2022</v>
      </c>
      <c r="H939" t="s">
        <v>2023</v>
      </c>
      <c r="I939" t="s">
        <v>3826</v>
      </c>
      <c r="J939" t="s">
        <v>1963</v>
      </c>
      <c r="K939" t="s">
        <v>3967</v>
      </c>
      <c r="L939" t="s">
        <v>2046</v>
      </c>
      <c r="M939" t="s">
        <v>3577</v>
      </c>
      <c r="N939" t="s">
        <v>3578</v>
      </c>
      <c r="O939" t="s">
        <v>3579</v>
      </c>
      <c r="P939" t="s">
        <v>3580</v>
      </c>
      <c r="Q939" t="s">
        <v>14</v>
      </c>
      <c r="R939" t="s">
        <v>14</v>
      </c>
      <c r="S939" t="s">
        <v>3818</v>
      </c>
      <c r="T939" t="s">
        <v>3819</v>
      </c>
      <c r="U939" t="s">
        <v>2390</v>
      </c>
      <c r="V939" t="s">
        <v>14</v>
      </c>
      <c r="W939" t="b">
        <v>1</v>
      </c>
      <c r="X939" t="s">
        <v>3968</v>
      </c>
      <c r="Y939" t="b">
        <v>1</v>
      </c>
      <c r="Z939" t="s">
        <v>2032</v>
      </c>
    </row>
    <row r="940" spans="1:26" x14ac:dyDescent="0.35">
      <c r="A940" t="s">
        <v>549</v>
      </c>
      <c r="B940" t="s">
        <v>550</v>
      </c>
      <c r="C940" t="s">
        <v>3167</v>
      </c>
      <c r="D940" t="s">
        <v>1963</v>
      </c>
      <c r="E940" t="s">
        <v>2020</v>
      </c>
      <c r="F940" t="s">
        <v>2021</v>
      </c>
      <c r="G940" t="s">
        <v>2022</v>
      </c>
      <c r="H940" t="s">
        <v>2023</v>
      </c>
      <c r="I940" t="s">
        <v>3826</v>
      </c>
      <c r="J940" t="s">
        <v>1963</v>
      </c>
      <c r="K940" t="s">
        <v>3969</v>
      </c>
      <c r="L940" t="s">
        <v>2046</v>
      </c>
      <c r="M940" t="s">
        <v>3577</v>
      </c>
      <c r="N940" t="s">
        <v>3578</v>
      </c>
      <c r="O940" t="s">
        <v>3579</v>
      </c>
      <c r="P940" t="s">
        <v>3580</v>
      </c>
      <c r="Q940" t="s">
        <v>14</v>
      </c>
      <c r="R940" t="s">
        <v>14</v>
      </c>
      <c r="S940" t="s">
        <v>3818</v>
      </c>
      <c r="T940" t="s">
        <v>3819</v>
      </c>
      <c r="U940" t="s">
        <v>2390</v>
      </c>
      <c r="V940" t="s">
        <v>14</v>
      </c>
      <c r="W940" t="b">
        <v>1</v>
      </c>
      <c r="X940" t="s">
        <v>3970</v>
      </c>
      <c r="Y940" t="b">
        <v>1</v>
      </c>
      <c r="Z940" t="s">
        <v>2032</v>
      </c>
    </row>
    <row r="941" spans="1:26" x14ac:dyDescent="0.35">
      <c r="A941" t="s">
        <v>551</v>
      </c>
      <c r="B941" t="s">
        <v>552</v>
      </c>
      <c r="C941" t="s">
        <v>3167</v>
      </c>
      <c r="D941" t="s">
        <v>1963</v>
      </c>
      <c r="E941" t="s">
        <v>2020</v>
      </c>
      <c r="F941" t="s">
        <v>2021</v>
      </c>
      <c r="G941" t="s">
        <v>2022</v>
      </c>
      <c r="H941" t="s">
        <v>2023</v>
      </c>
      <c r="I941" t="s">
        <v>3448</v>
      </c>
      <c r="J941" t="s">
        <v>1963</v>
      </c>
      <c r="K941" t="s">
        <v>3971</v>
      </c>
      <c r="L941" t="s">
        <v>2046</v>
      </c>
      <c r="M941" t="s">
        <v>3449</v>
      </c>
      <c r="N941" t="s">
        <v>3450</v>
      </c>
      <c r="O941" t="s">
        <v>2101</v>
      </c>
      <c r="P941" t="s">
        <v>2102</v>
      </c>
      <c r="Q941" t="s">
        <v>2103</v>
      </c>
      <c r="R941" t="s">
        <v>14</v>
      </c>
      <c r="S941" t="s">
        <v>2101</v>
      </c>
      <c r="T941" t="s">
        <v>2102</v>
      </c>
      <c r="U941" t="s">
        <v>2052</v>
      </c>
      <c r="V941" t="s">
        <v>14</v>
      </c>
      <c r="W941" t="b">
        <v>1</v>
      </c>
      <c r="X941" t="s">
        <v>3972</v>
      </c>
      <c r="Y941" t="b">
        <v>0</v>
      </c>
      <c r="Z941" t="s">
        <v>2053</v>
      </c>
    </row>
    <row r="942" spans="1:26" x14ac:dyDescent="0.35">
      <c r="A942" t="s">
        <v>553</v>
      </c>
      <c r="B942" t="s">
        <v>554</v>
      </c>
      <c r="C942" t="s">
        <v>3167</v>
      </c>
      <c r="D942" t="s">
        <v>1963</v>
      </c>
      <c r="E942" t="s">
        <v>2020</v>
      </c>
      <c r="F942" t="s">
        <v>2021</v>
      </c>
      <c r="G942" t="s">
        <v>2022</v>
      </c>
      <c r="H942" t="s">
        <v>2023</v>
      </c>
      <c r="I942" t="s">
        <v>3448</v>
      </c>
      <c r="J942" t="s">
        <v>1963</v>
      </c>
      <c r="K942" t="s">
        <v>3973</v>
      </c>
      <c r="L942" t="s">
        <v>2046</v>
      </c>
      <c r="M942" t="s">
        <v>3449</v>
      </c>
      <c r="N942" t="s">
        <v>3450</v>
      </c>
      <c r="O942" t="s">
        <v>2101</v>
      </c>
      <c r="P942" t="s">
        <v>2102</v>
      </c>
      <c r="Q942" t="s">
        <v>2103</v>
      </c>
      <c r="R942" t="s">
        <v>14</v>
      </c>
      <c r="S942" t="s">
        <v>2101</v>
      </c>
      <c r="T942" t="s">
        <v>2102</v>
      </c>
      <c r="U942" t="s">
        <v>2052</v>
      </c>
      <c r="V942" t="s">
        <v>14</v>
      </c>
      <c r="W942" t="b">
        <v>1</v>
      </c>
      <c r="X942" t="s">
        <v>3974</v>
      </c>
      <c r="Y942" t="b">
        <v>0</v>
      </c>
      <c r="Z942" t="s">
        <v>2053</v>
      </c>
    </row>
    <row r="943" spans="1:26" x14ac:dyDescent="0.35">
      <c r="A943" t="s">
        <v>555</v>
      </c>
      <c r="B943" t="s">
        <v>556</v>
      </c>
      <c r="C943" t="s">
        <v>3167</v>
      </c>
      <c r="D943" t="s">
        <v>1963</v>
      </c>
      <c r="E943" t="s">
        <v>2020</v>
      </c>
      <c r="F943" t="s">
        <v>2021</v>
      </c>
      <c r="G943" t="s">
        <v>2022</v>
      </c>
      <c r="H943" t="s">
        <v>2023</v>
      </c>
      <c r="I943" t="s">
        <v>3448</v>
      </c>
      <c r="J943" t="s">
        <v>1963</v>
      </c>
      <c r="K943" t="s">
        <v>3975</v>
      </c>
      <c r="L943" t="s">
        <v>2046</v>
      </c>
      <c r="M943" t="s">
        <v>3449</v>
      </c>
      <c r="N943" t="s">
        <v>3450</v>
      </c>
      <c r="O943" t="s">
        <v>2101</v>
      </c>
      <c r="P943" t="s">
        <v>2102</v>
      </c>
      <c r="Q943" t="s">
        <v>2103</v>
      </c>
      <c r="R943" t="s">
        <v>14</v>
      </c>
      <c r="S943" t="s">
        <v>2101</v>
      </c>
      <c r="T943" t="s">
        <v>2102</v>
      </c>
      <c r="U943" t="s">
        <v>2052</v>
      </c>
      <c r="V943" t="s">
        <v>14</v>
      </c>
      <c r="W943" t="b">
        <v>1</v>
      </c>
      <c r="X943" t="s">
        <v>3976</v>
      </c>
      <c r="Y943" t="b">
        <v>0</v>
      </c>
      <c r="Z943" t="s">
        <v>2053</v>
      </c>
    </row>
    <row r="944" spans="1:26" x14ac:dyDescent="0.35">
      <c r="A944" t="s">
        <v>557</v>
      </c>
      <c r="B944" t="s">
        <v>558</v>
      </c>
      <c r="C944" t="s">
        <v>3167</v>
      </c>
      <c r="D944" t="s">
        <v>1963</v>
      </c>
      <c r="E944" t="s">
        <v>2020</v>
      </c>
      <c r="F944" t="s">
        <v>2021</v>
      </c>
      <c r="G944" t="s">
        <v>2022</v>
      </c>
      <c r="H944" t="s">
        <v>2023</v>
      </c>
      <c r="I944" t="s">
        <v>3448</v>
      </c>
      <c r="J944" t="s">
        <v>1963</v>
      </c>
      <c r="K944" t="s">
        <v>3977</v>
      </c>
      <c r="L944" t="s">
        <v>2046</v>
      </c>
      <c r="M944" t="s">
        <v>3449</v>
      </c>
      <c r="N944" t="s">
        <v>3450</v>
      </c>
      <c r="O944" t="s">
        <v>2101</v>
      </c>
      <c r="P944" t="s">
        <v>2102</v>
      </c>
      <c r="Q944" t="s">
        <v>2103</v>
      </c>
      <c r="R944" t="s">
        <v>14</v>
      </c>
      <c r="S944" t="s">
        <v>2101</v>
      </c>
      <c r="T944" t="s">
        <v>2102</v>
      </c>
      <c r="U944" t="s">
        <v>2052</v>
      </c>
      <c r="V944" t="s">
        <v>14</v>
      </c>
      <c r="W944" t="b">
        <v>1</v>
      </c>
      <c r="X944" t="s">
        <v>3978</v>
      </c>
      <c r="Y944" t="b">
        <v>0</v>
      </c>
      <c r="Z944" t="s">
        <v>2053</v>
      </c>
    </row>
    <row r="945" spans="1:26" x14ac:dyDescent="0.35">
      <c r="A945" t="s">
        <v>557</v>
      </c>
      <c r="B945" t="s">
        <v>558</v>
      </c>
      <c r="C945" t="s">
        <v>3167</v>
      </c>
      <c r="D945" t="s">
        <v>1963</v>
      </c>
      <c r="E945" t="s">
        <v>2020</v>
      </c>
      <c r="F945" t="s">
        <v>2021</v>
      </c>
      <c r="G945" t="s">
        <v>2022</v>
      </c>
      <c r="H945" t="s">
        <v>2023</v>
      </c>
      <c r="I945" t="s">
        <v>3979</v>
      </c>
      <c r="J945" t="s">
        <v>1963</v>
      </c>
      <c r="K945" t="s">
        <v>3977</v>
      </c>
      <c r="L945" t="s">
        <v>2046</v>
      </c>
      <c r="M945" t="s">
        <v>3427</v>
      </c>
      <c r="N945" t="s">
        <v>3428</v>
      </c>
      <c r="O945" t="s">
        <v>2214</v>
      </c>
      <c r="P945" t="s">
        <v>2215</v>
      </c>
      <c r="Q945" t="s">
        <v>2103</v>
      </c>
      <c r="R945" t="s">
        <v>14</v>
      </c>
      <c r="S945" t="s">
        <v>2101</v>
      </c>
      <c r="T945" t="s">
        <v>2102</v>
      </c>
      <c r="U945" t="s">
        <v>2052</v>
      </c>
      <c r="V945" t="s">
        <v>14</v>
      </c>
      <c r="W945" t="b">
        <v>1</v>
      </c>
      <c r="X945" t="s">
        <v>3978</v>
      </c>
      <c r="Y945" t="b">
        <v>0</v>
      </c>
      <c r="Z945" t="s">
        <v>2053</v>
      </c>
    </row>
    <row r="946" spans="1:26" x14ac:dyDescent="0.35">
      <c r="A946" t="s">
        <v>559</v>
      </c>
      <c r="B946" t="s">
        <v>560</v>
      </c>
      <c r="C946" t="s">
        <v>2335</v>
      </c>
      <c r="D946" t="s">
        <v>1963</v>
      </c>
      <c r="E946" t="s">
        <v>3072</v>
      </c>
      <c r="F946" t="s">
        <v>3073</v>
      </c>
      <c r="G946" t="s">
        <v>3074</v>
      </c>
      <c r="H946" t="s">
        <v>2023</v>
      </c>
      <c r="I946" t="s">
        <v>2994</v>
      </c>
      <c r="J946" t="s">
        <v>1963</v>
      </c>
      <c r="K946" t="s">
        <v>3980</v>
      </c>
      <c r="L946" t="s">
        <v>2046</v>
      </c>
      <c r="M946" t="s">
        <v>2996</v>
      </c>
      <c r="N946" t="s">
        <v>2997</v>
      </c>
      <c r="O946" t="s">
        <v>2996</v>
      </c>
      <c r="P946" t="s">
        <v>2997</v>
      </c>
      <c r="Q946" t="s">
        <v>2998</v>
      </c>
      <c r="R946" t="s">
        <v>14</v>
      </c>
      <c r="S946" t="s">
        <v>14</v>
      </c>
      <c r="T946" t="s">
        <v>14</v>
      </c>
      <c r="U946" t="s">
        <v>2030</v>
      </c>
      <c r="V946" t="s">
        <v>14</v>
      </c>
      <c r="W946" t="b">
        <v>1</v>
      </c>
      <c r="X946" t="s">
        <v>561</v>
      </c>
      <c r="Y946" t="b">
        <v>0</v>
      </c>
      <c r="Z946" t="s">
        <v>2053</v>
      </c>
    </row>
    <row r="947" spans="1:26" x14ac:dyDescent="0.35">
      <c r="A947" t="s">
        <v>562</v>
      </c>
      <c r="B947" t="s">
        <v>563</v>
      </c>
      <c r="C947" t="s">
        <v>2335</v>
      </c>
      <c r="D947" t="s">
        <v>1963</v>
      </c>
      <c r="E947" t="s">
        <v>3072</v>
      </c>
      <c r="F947" t="s">
        <v>3073</v>
      </c>
      <c r="G947" t="s">
        <v>3074</v>
      </c>
      <c r="H947" t="s">
        <v>2023</v>
      </c>
      <c r="I947" t="s">
        <v>2994</v>
      </c>
      <c r="J947" t="s">
        <v>1963</v>
      </c>
      <c r="K947" t="s">
        <v>3981</v>
      </c>
      <c r="L947" t="s">
        <v>2046</v>
      </c>
      <c r="M947" t="s">
        <v>2996</v>
      </c>
      <c r="N947" t="s">
        <v>2997</v>
      </c>
      <c r="O947" t="s">
        <v>2996</v>
      </c>
      <c r="P947" t="s">
        <v>2997</v>
      </c>
      <c r="Q947" t="s">
        <v>2998</v>
      </c>
      <c r="R947" t="s">
        <v>14</v>
      </c>
      <c r="S947" t="s">
        <v>14</v>
      </c>
      <c r="T947" t="s">
        <v>14</v>
      </c>
      <c r="U947" t="s">
        <v>2030</v>
      </c>
      <c r="V947" t="s">
        <v>14</v>
      </c>
      <c r="W947" t="b">
        <v>1</v>
      </c>
      <c r="X947" t="s">
        <v>564</v>
      </c>
      <c r="Y947" t="b">
        <v>0</v>
      </c>
      <c r="Z947" t="s">
        <v>2053</v>
      </c>
    </row>
    <row r="948" spans="1:26" x14ac:dyDescent="0.35">
      <c r="A948" t="s">
        <v>565</v>
      </c>
      <c r="B948" t="s">
        <v>566</v>
      </c>
      <c r="C948" t="s">
        <v>3167</v>
      </c>
      <c r="D948" t="s">
        <v>1963</v>
      </c>
      <c r="E948" t="s">
        <v>2020</v>
      </c>
      <c r="F948" t="s">
        <v>2021</v>
      </c>
      <c r="G948" t="s">
        <v>2022</v>
      </c>
      <c r="H948" t="s">
        <v>2023</v>
      </c>
      <c r="I948" t="s">
        <v>3982</v>
      </c>
      <c r="J948" t="s">
        <v>1963</v>
      </c>
      <c r="K948" t="s">
        <v>3983</v>
      </c>
      <c r="L948" t="s">
        <v>2046</v>
      </c>
      <c r="M948" t="s">
        <v>3027</v>
      </c>
      <c r="N948" t="s">
        <v>3028</v>
      </c>
      <c r="O948" t="s">
        <v>3502</v>
      </c>
      <c r="P948" t="s">
        <v>3503</v>
      </c>
      <c r="Q948" t="s">
        <v>14</v>
      </c>
      <c r="R948" t="s">
        <v>14</v>
      </c>
      <c r="S948" t="s">
        <v>3984</v>
      </c>
      <c r="T948" t="s">
        <v>3985</v>
      </c>
      <c r="U948" t="s">
        <v>2171</v>
      </c>
      <c r="V948" t="s">
        <v>14</v>
      </c>
      <c r="W948" t="b">
        <v>1</v>
      </c>
      <c r="X948" t="s">
        <v>3986</v>
      </c>
      <c r="Y948" t="b">
        <v>0</v>
      </c>
      <c r="Z948" t="s">
        <v>2032</v>
      </c>
    </row>
    <row r="949" spans="1:26" x14ac:dyDescent="0.35">
      <c r="A949" t="s">
        <v>565</v>
      </c>
      <c r="B949" t="s">
        <v>566</v>
      </c>
      <c r="C949" t="s">
        <v>3167</v>
      </c>
      <c r="D949" t="s">
        <v>1963</v>
      </c>
      <c r="E949" t="s">
        <v>2020</v>
      </c>
      <c r="F949" t="s">
        <v>2021</v>
      </c>
      <c r="G949" t="s">
        <v>2022</v>
      </c>
      <c r="H949" t="s">
        <v>2023</v>
      </c>
      <c r="I949" t="s">
        <v>3987</v>
      </c>
      <c r="J949" t="s">
        <v>1963</v>
      </c>
      <c r="K949" t="s">
        <v>3983</v>
      </c>
      <c r="L949" t="s">
        <v>2046</v>
      </c>
      <c r="M949" t="s">
        <v>3027</v>
      </c>
      <c r="N949" t="s">
        <v>3028</v>
      </c>
      <c r="O949" t="s">
        <v>3502</v>
      </c>
      <c r="P949" t="s">
        <v>3503</v>
      </c>
      <c r="Q949" t="s">
        <v>14</v>
      </c>
      <c r="R949" t="s">
        <v>14</v>
      </c>
      <c r="S949" t="s">
        <v>3984</v>
      </c>
      <c r="T949" t="s">
        <v>3985</v>
      </c>
      <c r="U949" t="s">
        <v>2171</v>
      </c>
      <c r="V949" t="s">
        <v>14</v>
      </c>
      <c r="W949" t="b">
        <v>1</v>
      </c>
      <c r="X949" t="s">
        <v>3986</v>
      </c>
      <c r="Y949" t="b">
        <v>0</v>
      </c>
      <c r="Z949" t="s">
        <v>2032</v>
      </c>
    </row>
    <row r="950" spans="1:26" x14ac:dyDescent="0.35">
      <c r="A950" t="s">
        <v>567</v>
      </c>
      <c r="B950" t="s">
        <v>568</v>
      </c>
      <c r="C950" t="s">
        <v>3167</v>
      </c>
      <c r="D950" t="s">
        <v>1963</v>
      </c>
      <c r="E950" t="s">
        <v>2020</v>
      </c>
      <c r="F950" t="s">
        <v>2021</v>
      </c>
      <c r="G950" t="s">
        <v>2022</v>
      </c>
      <c r="H950" t="s">
        <v>2023</v>
      </c>
      <c r="I950" t="s">
        <v>3982</v>
      </c>
      <c r="J950" t="s">
        <v>1963</v>
      </c>
      <c r="K950" t="s">
        <v>3988</v>
      </c>
      <c r="L950" t="s">
        <v>2046</v>
      </c>
      <c r="M950" t="s">
        <v>3027</v>
      </c>
      <c r="N950" t="s">
        <v>3028</v>
      </c>
      <c r="O950" t="s">
        <v>3502</v>
      </c>
      <c r="P950" t="s">
        <v>3503</v>
      </c>
      <c r="Q950" t="s">
        <v>14</v>
      </c>
      <c r="R950" t="s">
        <v>14</v>
      </c>
      <c r="S950" t="s">
        <v>3984</v>
      </c>
      <c r="T950" t="s">
        <v>3985</v>
      </c>
      <c r="U950" t="s">
        <v>2171</v>
      </c>
      <c r="V950" t="s">
        <v>14</v>
      </c>
      <c r="W950" t="b">
        <v>1</v>
      </c>
      <c r="X950" t="s">
        <v>3989</v>
      </c>
      <c r="Y950" t="b">
        <v>0</v>
      </c>
      <c r="Z950" t="s">
        <v>2032</v>
      </c>
    </row>
    <row r="951" spans="1:26" x14ac:dyDescent="0.35">
      <c r="A951" t="s">
        <v>569</v>
      </c>
      <c r="B951" t="s">
        <v>570</v>
      </c>
      <c r="C951" t="s">
        <v>3167</v>
      </c>
      <c r="D951" t="s">
        <v>1963</v>
      </c>
      <c r="E951" t="s">
        <v>2020</v>
      </c>
      <c r="F951" t="s">
        <v>2021</v>
      </c>
      <c r="G951" t="s">
        <v>2022</v>
      </c>
      <c r="H951" t="s">
        <v>2023</v>
      </c>
      <c r="I951" t="s">
        <v>3982</v>
      </c>
      <c r="J951" t="s">
        <v>1963</v>
      </c>
      <c r="K951" t="s">
        <v>3990</v>
      </c>
      <c r="L951" t="s">
        <v>2046</v>
      </c>
      <c r="M951" t="s">
        <v>3027</v>
      </c>
      <c r="N951" t="s">
        <v>3028</v>
      </c>
      <c r="O951" t="s">
        <v>3502</v>
      </c>
      <c r="P951" t="s">
        <v>3503</v>
      </c>
      <c r="Q951" t="s">
        <v>14</v>
      </c>
      <c r="R951" t="s">
        <v>14</v>
      </c>
      <c r="S951" t="s">
        <v>3984</v>
      </c>
      <c r="T951" t="s">
        <v>3985</v>
      </c>
      <c r="U951" t="s">
        <v>2171</v>
      </c>
      <c r="V951" t="s">
        <v>14</v>
      </c>
      <c r="W951" t="b">
        <v>1</v>
      </c>
      <c r="X951" t="s">
        <v>3991</v>
      </c>
      <c r="Y951" t="b">
        <v>0</v>
      </c>
      <c r="Z951" t="s">
        <v>2032</v>
      </c>
    </row>
    <row r="952" spans="1:26" x14ac:dyDescent="0.35">
      <c r="A952" t="s">
        <v>571</v>
      </c>
      <c r="B952" t="s">
        <v>572</v>
      </c>
      <c r="C952" t="s">
        <v>3167</v>
      </c>
      <c r="D952" t="s">
        <v>1963</v>
      </c>
      <c r="E952" t="s">
        <v>3072</v>
      </c>
      <c r="F952" t="s">
        <v>3073</v>
      </c>
      <c r="G952" t="s">
        <v>3992</v>
      </c>
      <c r="H952" t="s">
        <v>2023</v>
      </c>
      <c r="I952" t="s">
        <v>784</v>
      </c>
      <c r="J952" t="s">
        <v>1963</v>
      </c>
      <c r="K952" t="s">
        <v>3993</v>
      </c>
      <c r="L952" t="s">
        <v>2046</v>
      </c>
      <c r="M952" t="s">
        <v>3207</v>
      </c>
      <c r="N952" t="s">
        <v>3208</v>
      </c>
      <c r="O952" t="s">
        <v>3207</v>
      </c>
      <c r="P952" t="s">
        <v>3208</v>
      </c>
      <c r="Q952" t="s">
        <v>14</v>
      </c>
      <c r="R952" t="s">
        <v>14</v>
      </c>
      <c r="S952" t="s">
        <v>14</v>
      </c>
      <c r="T952" t="s">
        <v>14</v>
      </c>
      <c r="U952" t="s">
        <v>2030</v>
      </c>
      <c r="V952" t="s">
        <v>14</v>
      </c>
      <c r="W952" t="b">
        <v>1</v>
      </c>
      <c r="X952" t="s">
        <v>3994</v>
      </c>
      <c r="Y952" t="b">
        <v>0</v>
      </c>
      <c r="Z952" t="s">
        <v>2053</v>
      </c>
    </row>
    <row r="953" spans="1:26" x14ac:dyDescent="0.35">
      <c r="A953" t="s">
        <v>573</v>
      </c>
      <c r="B953" t="s">
        <v>574</v>
      </c>
      <c r="C953" t="s">
        <v>3167</v>
      </c>
      <c r="D953" t="s">
        <v>1963</v>
      </c>
      <c r="E953" t="s">
        <v>3072</v>
      </c>
      <c r="F953" t="s">
        <v>3073</v>
      </c>
      <c r="G953" t="s">
        <v>3992</v>
      </c>
      <c r="H953" t="s">
        <v>2023</v>
      </c>
      <c r="I953" t="s">
        <v>784</v>
      </c>
      <c r="J953" t="s">
        <v>1963</v>
      </c>
      <c r="K953" t="s">
        <v>3995</v>
      </c>
      <c r="L953" t="s">
        <v>2046</v>
      </c>
      <c r="M953" t="s">
        <v>3207</v>
      </c>
      <c r="N953" t="s">
        <v>3208</v>
      </c>
      <c r="O953" t="s">
        <v>3207</v>
      </c>
      <c r="P953" t="s">
        <v>3208</v>
      </c>
      <c r="Q953" t="s">
        <v>14</v>
      </c>
      <c r="R953" t="s">
        <v>14</v>
      </c>
      <c r="S953" t="s">
        <v>14</v>
      </c>
      <c r="T953" t="s">
        <v>14</v>
      </c>
      <c r="U953" t="s">
        <v>2030</v>
      </c>
      <c r="V953" t="s">
        <v>14</v>
      </c>
      <c r="W953" t="b">
        <v>1</v>
      </c>
      <c r="X953" t="s">
        <v>3996</v>
      </c>
      <c r="Y953" t="b">
        <v>0</v>
      </c>
      <c r="Z953" t="s">
        <v>2053</v>
      </c>
    </row>
    <row r="954" spans="1:26" x14ac:dyDescent="0.35">
      <c r="A954" t="s">
        <v>575</v>
      </c>
      <c r="B954" t="s">
        <v>576</v>
      </c>
      <c r="C954" t="s">
        <v>3167</v>
      </c>
      <c r="D954" t="s">
        <v>1963</v>
      </c>
      <c r="E954" t="s">
        <v>3072</v>
      </c>
      <c r="F954" t="s">
        <v>3073</v>
      </c>
      <c r="G954" t="s">
        <v>3992</v>
      </c>
      <c r="H954" t="s">
        <v>2023</v>
      </c>
      <c r="I954" t="s">
        <v>784</v>
      </c>
      <c r="J954" t="s">
        <v>1963</v>
      </c>
      <c r="K954" t="s">
        <v>3997</v>
      </c>
      <c r="L954" t="s">
        <v>2046</v>
      </c>
      <c r="M954" t="s">
        <v>3207</v>
      </c>
      <c r="N954" t="s">
        <v>3208</v>
      </c>
      <c r="O954" t="s">
        <v>3207</v>
      </c>
      <c r="P954" t="s">
        <v>3208</v>
      </c>
      <c r="Q954" t="s">
        <v>14</v>
      </c>
      <c r="R954" t="s">
        <v>14</v>
      </c>
      <c r="S954" t="s">
        <v>14</v>
      </c>
      <c r="T954" t="s">
        <v>14</v>
      </c>
      <c r="U954" t="s">
        <v>2030</v>
      </c>
      <c r="V954" t="s">
        <v>14</v>
      </c>
      <c r="W954" t="b">
        <v>1</v>
      </c>
      <c r="X954" t="s">
        <v>3998</v>
      </c>
      <c r="Y954" t="b">
        <v>0</v>
      </c>
      <c r="Z954" t="s">
        <v>2053</v>
      </c>
    </row>
    <row r="955" spans="1:26" x14ac:dyDescent="0.35">
      <c r="A955" t="s">
        <v>577</v>
      </c>
      <c r="B955" t="s">
        <v>578</v>
      </c>
      <c r="C955" t="s">
        <v>3167</v>
      </c>
      <c r="D955" t="s">
        <v>1963</v>
      </c>
      <c r="E955" t="s">
        <v>3072</v>
      </c>
      <c r="F955" t="s">
        <v>3073</v>
      </c>
      <c r="G955" t="s">
        <v>3992</v>
      </c>
      <c r="H955" t="s">
        <v>2023</v>
      </c>
      <c r="I955" t="s">
        <v>784</v>
      </c>
      <c r="J955" t="s">
        <v>1963</v>
      </c>
      <c r="K955" t="s">
        <v>3999</v>
      </c>
      <c r="L955" t="s">
        <v>2046</v>
      </c>
      <c r="M955" t="s">
        <v>3207</v>
      </c>
      <c r="N955" t="s">
        <v>3208</v>
      </c>
      <c r="O955" t="s">
        <v>3207</v>
      </c>
      <c r="P955" t="s">
        <v>3208</v>
      </c>
      <c r="Q955" t="s">
        <v>14</v>
      </c>
      <c r="R955" t="s">
        <v>14</v>
      </c>
      <c r="S955" t="s">
        <v>14</v>
      </c>
      <c r="T955" t="s">
        <v>14</v>
      </c>
      <c r="U955" t="s">
        <v>2030</v>
      </c>
      <c r="V955" t="s">
        <v>14</v>
      </c>
      <c r="W955" t="b">
        <v>1</v>
      </c>
      <c r="X955" t="s">
        <v>4000</v>
      </c>
      <c r="Y955" t="b">
        <v>0</v>
      </c>
      <c r="Z955" t="s">
        <v>2053</v>
      </c>
    </row>
    <row r="956" spans="1:26" x14ac:dyDescent="0.35">
      <c r="A956" t="s">
        <v>579</v>
      </c>
      <c r="B956" t="s">
        <v>580</v>
      </c>
      <c r="C956" t="s">
        <v>3167</v>
      </c>
      <c r="D956" t="s">
        <v>1963</v>
      </c>
      <c r="E956" t="s">
        <v>2020</v>
      </c>
      <c r="F956" t="s">
        <v>2055</v>
      </c>
      <c r="G956" t="s">
        <v>2056</v>
      </c>
      <c r="H956" t="s">
        <v>2023</v>
      </c>
      <c r="I956" t="s">
        <v>66</v>
      </c>
      <c r="J956" t="s">
        <v>1963</v>
      </c>
      <c r="K956" t="s">
        <v>4001</v>
      </c>
      <c r="L956" t="s">
        <v>2046</v>
      </c>
      <c r="M956" t="s">
        <v>3708</v>
      </c>
      <c r="N956" t="s">
        <v>3709</v>
      </c>
      <c r="O956" t="s">
        <v>3708</v>
      </c>
      <c r="P956" t="s">
        <v>3709</v>
      </c>
      <c r="Q956" t="s">
        <v>14</v>
      </c>
      <c r="R956" t="s">
        <v>14</v>
      </c>
      <c r="S956" t="s">
        <v>14</v>
      </c>
      <c r="T956" t="s">
        <v>14</v>
      </c>
      <c r="U956" t="s">
        <v>2030</v>
      </c>
      <c r="V956" t="s">
        <v>14</v>
      </c>
      <c r="W956" t="b">
        <v>1</v>
      </c>
      <c r="X956" t="s">
        <v>4002</v>
      </c>
      <c r="Y956" t="b">
        <v>0</v>
      </c>
      <c r="Z956" t="s">
        <v>2081</v>
      </c>
    </row>
    <row r="957" spans="1:26" x14ac:dyDescent="0.35">
      <c r="A957" t="s">
        <v>581</v>
      </c>
      <c r="B957" t="s">
        <v>582</v>
      </c>
      <c r="C957" t="s">
        <v>3167</v>
      </c>
      <c r="D957" t="s">
        <v>1963</v>
      </c>
      <c r="E957" t="s">
        <v>2020</v>
      </c>
      <c r="F957" t="s">
        <v>2021</v>
      </c>
      <c r="G957" t="s">
        <v>2022</v>
      </c>
      <c r="H957" t="s">
        <v>2023</v>
      </c>
      <c r="I957" t="s">
        <v>4003</v>
      </c>
      <c r="J957" t="s">
        <v>1963</v>
      </c>
      <c r="K957" t="s">
        <v>4004</v>
      </c>
      <c r="L957" t="s">
        <v>2046</v>
      </c>
      <c r="M957" t="s">
        <v>4005</v>
      </c>
      <c r="N957" t="s">
        <v>4006</v>
      </c>
      <c r="O957" t="s">
        <v>3722</v>
      </c>
      <c r="P957" t="s">
        <v>3723</v>
      </c>
      <c r="Q957" t="s">
        <v>14</v>
      </c>
      <c r="R957" t="s">
        <v>14</v>
      </c>
      <c r="S957" t="s">
        <v>3724</v>
      </c>
      <c r="T957" t="s">
        <v>3725</v>
      </c>
      <c r="U957" t="s">
        <v>2233</v>
      </c>
      <c r="V957" t="s">
        <v>14</v>
      </c>
      <c r="W957" t="b">
        <v>1</v>
      </c>
      <c r="X957" t="s">
        <v>4007</v>
      </c>
      <c r="Y957" t="b">
        <v>0</v>
      </c>
      <c r="Z957" t="s">
        <v>2081</v>
      </c>
    </row>
    <row r="958" spans="1:26" x14ac:dyDescent="0.35">
      <c r="A958" t="s">
        <v>581</v>
      </c>
      <c r="B958" t="s">
        <v>582</v>
      </c>
      <c r="C958" t="s">
        <v>3167</v>
      </c>
      <c r="D958" t="s">
        <v>1963</v>
      </c>
      <c r="E958" t="s">
        <v>2020</v>
      </c>
      <c r="F958" t="s">
        <v>2021</v>
      </c>
      <c r="G958" t="s">
        <v>2022</v>
      </c>
      <c r="H958" t="s">
        <v>2023</v>
      </c>
      <c r="I958" t="s">
        <v>3593</v>
      </c>
      <c r="J958" t="s">
        <v>1963</v>
      </c>
      <c r="K958" t="s">
        <v>4004</v>
      </c>
      <c r="L958" t="s">
        <v>2046</v>
      </c>
      <c r="M958" t="s">
        <v>3459</v>
      </c>
      <c r="N958" t="s">
        <v>3460</v>
      </c>
      <c r="O958" t="s">
        <v>2075</v>
      </c>
      <c r="P958" t="s">
        <v>2076</v>
      </c>
      <c r="Q958" t="s">
        <v>2077</v>
      </c>
      <c r="R958" t="s">
        <v>14</v>
      </c>
      <c r="S958" t="s">
        <v>2078</v>
      </c>
      <c r="T958" t="s">
        <v>2079</v>
      </c>
      <c r="U958" t="s">
        <v>2080</v>
      </c>
      <c r="V958" t="s">
        <v>14</v>
      </c>
      <c r="W958" t="b">
        <v>1</v>
      </c>
      <c r="X958" t="s">
        <v>4007</v>
      </c>
      <c r="Y958" t="b">
        <v>0</v>
      </c>
      <c r="Z958" t="s">
        <v>2053</v>
      </c>
    </row>
    <row r="959" spans="1:26" x14ac:dyDescent="0.35">
      <c r="A959" t="s">
        <v>583</v>
      </c>
      <c r="B959" t="s">
        <v>584</v>
      </c>
      <c r="C959" t="s">
        <v>3167</v>
      </c>
      <c r="D959" t="s">
        <v>1963</v>
      </c>
      <c r="E959" t="s">
        <v>2020</v>
      </c>
      <c r="F959" t="s">
        <v>2021</v>
      </c>
      <c r="G959" t="s">
        <v>2022</v>
      </c>
      <c r="H959" t="s">
        <v>2023</v>
      </c>
      <c r="I959" t="s">
        <v>4008</v>
      </c>
      <c r="J959" t="s">
        <v>1963</v>
      </c>
      <c r="K959" t="s">
        <v>4009</v>
      </c>
      <c r="L959" t="s">
        <v>2046</v>
      </c>
      <c r="M959" t="s">
        <v>2401</v>
      </c>
      <c r="N959" t="s">
        <v>2402</v>
      </c>
      <c r="O959" t="s">
        <v>2401</v>
      </c>
      <c r="P959" t="s">
        <v>2402</v>
      </c>
      <c r="Q959" t="s">
        <v>14</v>
      </c>
      <c r="R959" t="s">
        <v>14</v>
      </c>
      <c r="S959" t="s">
        <v>4010</v>
      </c>
      <c r="T959" t="s">
        <v>4011</v>
      </c>
      <c r="U959" t="s">
        <v>2390</v>
      </c>
      <c r="V959" t="s">
        <v>14</v>
      </c>
      <c r="W959" t="b">
        <v>1</v>
      </c>
      <c r="X959" t="s">
        <v>4012</v>
      </c>
      <c r="Y959" t="b">
        <v>0</v>
      </c>
      <c r="Z959" t="s">
        <v>2081</v>
      </c>
    </row>
    <row r="960" spans="1:26" x14ac:dyDescent="0.35">
      <c r="A960" t="s">
        <v>585</v>
      </c>
      <c r="B960" t="s">
        <v>586</v>
      </c>
      <c r="C960" t="s">
        <v>3167</v>
      </c>
      <c r="D960" t="s">
        <v>1963</v>
      </c>
      <c r="E960" t="s">
        <v>2020</v>
      </c>
      <c r="F960" t="s">
        <v>2021</v>
      </c>
      <c r="G960" t="s">
        <v>2022</v>
      </c>
      <c r="H960" t="s">
        <v>2023</v>
      </c>
      <c r="I960" t="s">
        <v>4008</v>
      </c>
      <c r="J960" t="s">
        <v>1963</v>
      </c>
      <c r="K960" t="s">
        <v>4013</v>
      </c>
      <c r="L960" t="s">
        <v>2046</v>
      </c>
      <c r="M960" t="s">
        <v>2401</v>
      </c>
      <c r="N960" t="s">
        <v>2402</v>
      </c>
      <c r="O960" t="s">
        <v>2401</v>
      </c>
      <c r="P960" t="s">
        <v>2402</v>
      </c>
      <c r="Q960" t="s">
        <v>14</v>
      </c>
      <c r="R960" t="s">
        <v>14</v>
      </c>
      <c r="S960" t="s">
        <v>4010</v>
      </c>
      <c r="T960" t="s">
        <v>4011</v>
      </c>
      <c r="U960" t="s">
        <v>2390</v>
      </c>
      <c r="V960" t="s">
        <v>14</v>
      </c>
      <c r="W960" t="b">
        <v>1</v>
      </c>
      <c r="X960" t="s">
        <v>4014</v>
      </c>
      <c r="Y960" t="b">
        <v>0</v>
      </c>
      <c r="Z960" t="s">
        <v>2081</v>
      </c>
    </row>
    <row r="961" spans="1:26" x14ac:dyDescent="0.35">
      <c r="A961" t="s">
        <v>587</v>
      </c>
      <c r="B961" t="s">
        <v>588</v>
      </c>
      <c r="C961" t="s">
        <v>3167</v>
      </c>
      <c r="D961" t="s">
        <v>1963</v>
      </c>
      <c r="E961" t="s">
        <v>2020</v>
      </c>
      <c r="F961" t="s">
        <v>2021</v>
      </c>
      <c r="G961" t="s">
        <v>2022</v>
      </c>
      <c r="H961" t="s">
        <v>2023</v>
      </c>
      <c r="I961" t="s">
        <v>4015</v>
      </c>
      <c r="J961" t="s">
        <v>1963</v>
      </c>
      <c r="K961" t="s">
        <v>4016</v>
      </c>
      <c r="L961" t="s">
        <v>2046</v>
      </c>
      <c r="M961" t="s">
        <v>4017</v>
      </c>
      <c r="N961" t="s">
        <v>4018</v>
      </c>
      <c r="O961" t="s">
        <v>4017</v>
      </c>
      <c r="P961" t="s">
        <v>4018</v>
      </c>
      <c r="Q961" t="s">
        <v>14</v>
      </c>
      <c r="R961" t="s">
        <v>14</v>
      </c>
      <c r="S961" t="s">
        <v>14</v>
      </c>
      <c r="T961" t="s">
        <v>14</v>
      </c>
      <c r="U961" t="s">
        <v>2030</v>
      </c>
      <c r="V961" t="s">
        <v>14</v>
      </c>
      <c r="W961" t="b">
        <v>1</v>
      </c>
      <c r="X961" t="s">
        <v>4019</v>
      </c>
      <c r="Y961" t="b">
        <v>0</v>
      </c>
      <c r="Z961" t="s">
        <v>2081</v>
      </c>
    </row>
    <row r="962" spans="1:26" x14ac:dyDescent="0.35">
      <c r="A962" t="s">
        <v>589</v>
      </c>
      <c r="B962" t="s">
        <v>590</v>
      </c>
      <c r="C962" t="s">
        <v>3167</v>
      </c>
      <c r="D962" t="s">
        <v>1963</v>
      </c>
      <c r="E962" t="s">
        <v>2020</v>
      </c>
      <c r="F962" t="s">
        <v>2021</v>
      </c>
      <c r="G962" t="s">
        <v>2022</v>
      </c>
      <c r="H962" t="s">
        <v>2023</v>
      </c>
      <c r="I962" t="s">
        <v>3400</v>
      </c>
      <c r="J962" t="s">
        <v>1963</v>
      </c>
      <c r="K962" t="s">
        <v>4020</v>
      </c>
      <c r="L962" t="s">
        <v>2046</v>
      </c>
      <c r="M962" t="s">
        <v>3402</v>
      </c>
      <c r="N962" t="s">
        <v>3403</v>
      </c>
      <c r="O962" t="s">
        <v>3404</v>
      </c>
      <c r="P962" t="s">
        <v>3405</v>
      </c>
      <c r="Q962" t="s">
        <v>3406</v>
      </c>
      <c r="R962" t="s">
        <v>14</v>
      </c>
      <c r="S962" t="s">
        <v>3402</v>
      </c>
      <c r="T962" t="s">
        <v>3403</v>
      </c>
      <c r="U962" t="s">
        <v>2030</v>
      </c>
      <c r="V962" t="s">
        <v>14</v>
      </c>
      <c r="W962" t="b">
        <v>1</v>
      </c>
      <c r="X962" t="s">
        <v>4021</v>
      </c>
      <c r="Y962" t="b">
        <v>0</v>
      </c>
      <c r="Z962" t="s">
        <v>2081</v>
      </c>
    </row>
    <row r="963" spans="1:26" x14ac:dyDescent="0.35">
      <c r="A963" t="s">
        <v>589</v>
      </c>
      <c r="B963" t="s">
        <v>590</v>
      </c>
      <c r="C963" t="s">
        <v>3167</v>
      </c>
      <c r="D963" t="s">
        <v>1963</v>
      </c>
      <c r="E963" t="s">
        <v>2020</v>
      </c>
      <c r="F963" t="s">
        <v>2021</v>
      </c>
      <c r="G963" t="s">
        <v>2022</v>
      </c>
      <c r="H963" t="s">
        <v>2023</v>
      </c>
      <c r="I963" t="s">
        <v>3400</v>
      </c>
      <c r="J963" t="s">
        <v>1963</v>
      </c>
      <c r="K963" t="s">
        <v>4020</v>
      </c>
      <c r="L963" t="s">
        <v>2046</v>
      </c>
      <c r="M963" t="s">
        <v>3402</v>
      </c>
      <c r="N963" t="s">
        <v>3403</v>
      </c>
      <c r="O963" t="s">
        <v>3404</v>
      </c>
      <c r="P963" t="s">
        <v>3405</v>
      </c>
      <c r="Q963" t="s">
        <v>3406</v>
      </c>
      <c r="R963" t="s">
        <v>14</v>
      </c>
      <c r="S963" t="s">
        <v>3402</v>
      </c>
      <c r="T963" t="s">
        <v>3403</v>
      </c>
      <c r="U963" t="s">
        <v>2030</v>
      </c>
      <c r="V963" t="s">
        <v>14</v>
      </c>
      <c r="W963" t="b">
        <v>1</v>
      </c>
      <c r="X963" t="s">
        <v>4021</v>
      </c>
      <c r="Y963" t="b">
        <v>0</v>
      </c>
      <c r="Z963" t="s">
        <v>2081</v>
      </c>
    </row>
    <row r="964" spans="1:26" x14ac:dyDescent="0.35">
      <c r="A964" t="s">
        <v>589</v>
      </c>
      <c r="B964" t="s">
        <v>590</v>
      </c>
      <c r="C964" t="s">
        <v>3167</v>
      </c>
      <c r="D964" t="s">
        <v>1963</v>
      </c>
      <c r="E964" t="s">
        <v>2020</v>
      </c>
      <c r="F964" t="s">
        <v>2021</v>
      </c>
      <c r="G964" t="s">
        <v>2022</v>
      </c>
      <c r="H964" t="s">
        <v>2023</v>
      </c>
      <c r="I964" t="s">
        <v>3400</v>
      </c>
      <c r="J964" t="s">
        <v>1963</v>
      </c>
      <c r="K964" t="s">
        <v>4020</v>
      </c>
      <c r="L964" t="s">
        <v>2046</v>
      </c>
      <c r="M964" t="s">
        <v>3402</v>
      </c>
      <c r="N964" t="s">
        <v>3403</v>
      </c>
      <c r="O964" t="s">
        <v>3404</v>
      </c>
      <c r="P964" t="s">
        <v>3405</v>
      </c>
      <c r="Q964" t="s">
        <v>3406</v>
      </c>
      <c r="R964" t="s">
        <v>14</v>
      </c>
      <c r="S964" t="s">
        <v>3402</v>
      </c>
      <c r="T964" t="s">
        <v>3403</v>
      </c>
      <c r="U964" t="s">
        <v>2030</v>
      </c>
      <c r="V964" t="s">
        <v>14</v>
      </c>
      <c r="W964" t="b">
        <v>1</v>
      </c>
      <c r="X964" t="s">
        <v>4021</v>
      </c>
      <c r="Y964" t="b">
        <v>0</v>
      </c>
      <c r="Z964" t="s">
        <v>2081</v>
      </c>
    </row>
    <row r="965" spans="1:26" x14ac:dyDescent="0.35">
      <c r="A965" t="s">
        <v>589</v>
      </c>
      <c r="B965" t="s">
        <v>590</v>
      </c>
      <c r="C965" t="s">
        <v>3167</v>
      </c>
      <c r="D965" t="s">
        <v>1963</v>
      </c>
      <c r="E965" t="s">
        <v>2020</v>
      </c>
      <c r="F965" t="s">
        <v>2021</v>
      </c>
      <c r="G965" t="s">
        <v>2022</v>
      </c>
      <c r="H965" t="s">
        <v>2023</v>
      </c>
      <c r="I965" t="s">
        <v>3400</v>
      </c>
      <c r="J965" t="s">
        <v>1963</v>
      </c>
      <c r="K965" t="s">
        <v>4020</v>
      </c>
      <c r="L965" t="s">
        <v>2046</v>
      </c>
      <c r="M965" t="s">
        <v>3402</v>
      </c>
      <c r="N965" t="s">
        <v>3403</v>
      </c>
      <c r="O965" t="s">
        <v>3404</v>
      </c>
      <c r="P965" t="s">
        <v>3405</v>
      </c>
      <c r="Q965" t="s">
        <v>3406</v>
      </c>
      <c r="R965" t="s">
        <v>14</v>
      </c>
      <c r="S965" t="s">
        <v>3402</v>
      </c>
      <c r="T965" t="s">
        <v>3403</v>
      </c>
      <c r="U965" t="s">
        <v>2030</v>
      </c>
      <c r="V965" t="s">
        <v>14</v>
      </c>
      <c r="W965" t="b">
        <v>1</v>
      </c>
      <c r="X965" t="s">
        <v>4021</v>
      </c>
      <c r="Y965" t="b">
        <v>0</v>
      </c>
      <c r="Z965" t="s">
        <v>2081</v>
      </c>
    </row>
    <row r="966" spans="1:26" x14ac:dyDescent="0.35">
      <c r="A966" t="s">
        <v>589</v>
      </c>
      <c r="B966" t="s">
        <v>590</v>
      </c>
      <c r="C966" t="s">
        <v>3167</v>
      </c>
      <c r="D966" t="s">
        <v>1963</v>
      </c>
      <c r="E966" t="s">
        <v>2020</v>
      </c>
      <c r="F966" t="s">
        <v>2021</v>
      </c>
      <c r="G966" t="s">
        <v>2022</v>
      </c>
      <c r="H966" t="s">
        <v>2023</v>
      </c>
      <c r="I966" t="s">
        <v>4022</v>
      </c>
      <c r="J966" t="s">
        <v>1963</v>
      </c>
      <c r="K966" t="s">
        <v>4020</v>
      </c>
      <c r="L966" t="s">
        <v>2046</v>
      </c>
      <c r="M966" t="s">
        <v>3038</v>
      </c>
      <c r="N966" t="s">
        <v>3039</v>
      </c>
      <c r="O966" t="s">
        <v>2401</v>
      </c>
      <c r="P966" t="s">
        <v>2402</v>
      </c>
      <c r="Q966" t="s">
        <v>2403</v>
      </c>
      <c r="R966" t="s">
        <v>14</v>
      </c>
      <c r="S966" t="s">
        <v>4023</v>
      </c>
      <c r="T966" t="s">
        <v>4024</v>
      </c>
      <c r="U966" t="s">
        <v>2390</v>
      </c>
      <c r="V966" t="s">
        <v>14</v>
      </c>
      <c r="W966" t="b">
        <v>1</v>
      </c>
      <c r="X966" t="s">
        <v>4021</v>
      </c>
      <c r="Y966" t="b">
        <v>0</v>
      </c>
      <c r="Z966" t="s">
        <v>2053</v>
      </c>
    </row>
    <row r="967" spans="1:26" x14ac:dyDescent="0.35">
      <c r="A967" t="s">
        <v>589</v>
      </c>
      <c r="B967" t="s">
        <v>590</v>
      </c>
      <c r="C967" t="s">
        <v>3167</v>
      </c>
      <c r="D967" t="s">
        <v>1963</v>
      </c>
      <c r="E967" t="s">
        <v>2020</v>
      </c>
      <c r="F967" t="s">
        <v>2021</v>
      </c>
      <c r="G967" t="s">
        <v>2022</v>
      </c>
      <c r="H967" t="s">
        <v>2023</v>
      </c>
      <c r="I967" t="s">
        <v>3898</v>
      </c>
      <c r="J967" t="s">
        <v>1963</v>
      </c>
      <c r="K967" t="s">
        <v>4020</v>
      </c>
      <c r="L967" t="s">
        <v>2046</v>
      </c>
      <c r="M967" t="s">
        <v>14</v>
      </c>
      <c r="N967" t="s">
        <v>14</v>
      </c>
      <c r="O967" t="s">
        <v>3579</v>
      </c>
      <c r="P967" t="s">
        <v>3580</v>
      </c>
      <c r="Q967" t="s">
        <v>14</v>
      </c>
      <c r="R967" t="s">
        <v>14</v>
      </c>
      <c r="S967" t="s">
        <v>14</v>
      </c>
      <c r="T967" t="s">
        <v>14</v>
      </c>
      <c r="U967" t="s">
        <v>2390</v>
      </c>
      <c r="V967" t="s">
        <v>14</v>
      </c>
      <c r="W967" t="b">
        <v>1</v>
      </c>
      <c r="X967" t="s">
        <v>4021</v>
      </c>
      <c r="Y967" t="b">
        <v>0</v>
      </c>
      <c r="Z967" t="s">
        <v>2032</v>
      </c>
    </row>
    <row r="968" spans="1:26" x14ac:dyDescent="0.35">
      <c r="A968" t="s">
        <v>589</v>
      </c>
      <c r="B968" t="s">
        <v>590</v>
      </c>
      <c r="C968" t="s">
        <v>3167</v>
      </c>
      <c r="D968" t="s">
        <v>1963</v>
      </c>
      <c r="E968" t="s">
        <v>2020</v>
      </c>
      <c r="F968" t="s">
        <v>2021</v>
      </c>
      <c r="G968" t="s">
        <v>2022</v>
      </c>
      <c r="H968" t="s">
        <v>2023</v>
      </c>
      <c r="I968" t="s">
        <v>3400</v>
      </c>
      <c r="J968" t="s">
        <v>1963</v>
      </c>
      <c r="K968" t="s">
        <v>4020</v>
      </c>
      <c r="L968" t="s">
        <v>2046</v>
      </c>
      <c r="M968" t="s">
        <v>3402</v>
      </c>
      <c r="N968" t="s">
        <v>3403</v>
      </c>
      <c r="O968" t="s">
        <v>3404</v>
      </c>
      <c r="P968" t="s">
        <v>3405</v>
      </c>
      <c r="Q968" t="s">
        <v>3406</v>
      </c>
      <c r="R968" t="s">
        <v>14</v>
      </c>
      <c r="S968" t="s">
        <v>3402</v>
      </c>
      <c r="T968" t="s">
        <v>3403</v>
      </c>
      <c r="U968" t="s">
        <v>2030</v>
      </c>
      <c r="V968" t="s">
        <v>14</v>
      </c>
      <c r="W968" t="b">
        <v>1</v>
      </c>
      <c r="X968" t="s">
        <v>4021</v>
      </c>
      <c r="Y968" t="b">
        <v>0</v>
      </c>
      <c r="Z968" t="s">
        <v>2081</v>
      </c>
    </row>
    <row r="969" spans="1:26" x14ac:dyDescent="0.35">
      <c r="A969" t="s">
        <v>589</v>
      </c>
      <c r="B969" t="s">
        <v>590</v>
      </c>
      <c r="C969" t="s">
        <v>3167</v>
      </c>
      <c r="D969" t="s">
        <v>1963</v>
      </c>
      <c r="E969" t="s">
        <v>2020</v>
      </c>
      <c r="F969" t="s">
        <v>2021</v>
      </c>
      <c r="G969" t="s">
        <v>2022</v>
      </c>
      <c r="H969" t="s">
        <v>2023</v>
      </c>
      <c r="I969" t="s">
        <v>3400</v>
      </c>
      <c r="J969" t="s">
        <v>1963</v>
      </c>
      <c r="K969" t="s">
        <v>4020</v>
      </c>
      <c r="L969" t="s">
        <v>2046</v>
      </c>
      <c r="M969" t="s">
        <v>3402</v>
      </c>
      <c r="N969" t="s">
        <v>3403</v>
      </c>
      <c r="O969" t="s">
        <v>3404</v>
      </c>
      <c r="P969" t="s">
        <v>3405</v>
      </c>
      <c r="Q969" t="s">
        <v>3406</v>
      </c>
      <c r="R969" t="s">
        <v>14</v>
      </c>
      <c r="S969" t="s">
        <v>3402</v>
      </c>
      <c r="T969" t="s">
        <v>3403</v>
      </c>
      <c r="U969" t="s">
        <v>2030</v>
      </c>
      <c r="V969" t="s">
        <v>14</v>
      </c>
      <c r="W969" t="b">
        <v>1</v>
      </c>
      <c r="X969" t="s">
        <v>4021</v>
      </c>
      <c r="Y969" t="b">
        <v>0</v>
      </c>
      <c r="Z969" t="s">
        <v>2081</v>
      </c>
    </row>
    <row r="970" spans="1:26" x14ac:dyDescent="0.35">
      <c r="A970" t="s">
        <v>589</v>
      </c>
      <c r="B970" t="s">
        <v>590</v>
      </c>
      <c r="C970" t="s">
        <v>3167</v>
      </c>
      <c r="D970" t="s">
        <v>1963</v>
      </c>
      <c r="E970" t="s">
        <v>2020</v>
      </c>
      <c r="F970" t="s">
        <v>2021</v>
      </c>
      <c r="G970" t="s">
        <v>2022</v>
      </c>
      <c r="H970" t="s">
        <v>2023</v>
      </c>
      <c r="I970" t="s">
        <v>3400</v>
      </c>
      <c r="J970" t="s">
        <v>1963</v>
      </c>
      <c r="K970" t="s">
        <v>4020</v>
      </c>
      <c r="L970" t="s">
        <v>2046</v>
      </c>
      <c r="M970" t="s">
        <v>3402</v>
      </c>
      <c r="N970" t="s">
        <v>3403</v>
      </c>
      <c r="O970" t="s">
        <v>3404</v>
      </c>
      <c r="P970" t="s">
        <v>3405</v>
      </c>
      <c r="Q970" t="s">
        <v>3406</v>
      </c>
      <c r="R970" t="s">
        <v>14</v>
      </c>
      <c r="S970" t="s">
        <v>3402</v>
      </c>
      <c r="T970" t="s">
        <v>3403</v>
      </c>
      <c r="U970" t="s">
        <v>2030</v>
      </c>
      <c r="V970" t="s">
        <v>14</v>
      </c>
      <c r="W970" t="b">
        <v>1</v>
      </c>
      <c r="X970" t="s">
        <v>4021</v>
      </c>
      <c r="Y970" t="b">
        <v>0</v>
      </c>
      <c r="Z970" t="s">
        <v>2081</v>
      </c>
    </row>
    <row r="971" spans="1:26" x14ac:dyDescent="0.35">
      <c r="A971" t="s">
        <v>589</v>
      </c>
      <c r="B971" t="s">
        <v>590</v>
      </c>
      <c r="C971" t="s">
        <v>3167</v>
      </c>
      <c r="D971" t="s">
        <v>1963</v>
      </c>
      <c r="E971" t="s">
        <v>2020</v>
      </c>
      <c r="F971" t="s">
        <v>2021</v>
      </c>
      <c r="G971" t="s">
        <v>2022</v>
      </c>
      <c r="H971" t="s">
        <v>2023</v>
      </c>
      <c r="I971" t="s">
        <v>3400</v>
      </c>
      <c r="J971" t="s">
        <v>1963</v>
      </c>
      <c r="K971" t="s">
        <v>4020</v>
      </c>
      <c r="L971" t="s">
        <v>2046</v>
      </c>
      <c r="M971" t="s">
        <v>3402</v>
      </c>
      <c r="N971" t="s">
        <v>3403</v>
      </c>
      <c r="O971" t="s">
        <v>3404</v>
      </c>
      <c r="P971" t="s">
        <v>3405</v>
      </c>
      <c r="Q971" t="s">
        <v>3406</v>
      </c>
      <c r="R971" t="s">
        <v>14</v>
      </c>
      <c r="S971" t="s">
        <v>3402</v>
      </c>
      <c r="T971" t="s">
        <v>3403</v>
      </c>
      <c r="U971" t="s">
        <v>2030</v>
      </c>
      <c r="V971" t="s">
        <v>14</v>
      </c>
      <c r="W971" t="b">
        <v>1</v>
      </c>
      <c r="X971" t="s">
        <v>4021</v>
      </c>
      <c r="Y971" t="b">
        <v>0</v>
      </c>
      <c r="Z971" t="s">
        <v>2081</v>
      </c>
    </row>
    <row r="972" spans="1:26" x14ac:dyDescent="0.35">
      <c r="A972" t="s">
        <v>589</v>
      </c>
      <c r="B972" t="s">
        <v>590</v>
      </c>
      <c r="C972" t="s">
        <v>3167</v>
      </c>
      <c r="D972" t="s">
        <v>1963</v>
      </c>
      <c r="E972" t="s">
        <v>2020</v>
      </c>
      <c r="F972" t="s">
        <v>2021</v>
      </c>
      <c r="G972" t="s">
        <v>2022</v>
      </c>
      <c r="H972" t="s">
        <v>2023</v>
      </c>
      <c r="I972" t="s">
        <v>3898</v>
      </c>
      <c r="J972" t="s">
        <v>1963</v>
      </c>
      <c r="K972" t="s">
        <v>4020</v>
      </c>
      <c r="L972" t="s">
        <v>2046</v>
      </c>
      <c r="M972" t="s">
        <v>14</v>
      </c>
      <c r="N972" t="s">
        <v>14</v>
      </c>
      <c r="O972" t="s">
        <v>3579</v>
      </c>
      <c r="P972" t="s">
        <v>3580</v>
      </c>
      <c r="Q972" t="s">
        <v>14</v>
      </c>
      <c r="R972" t="s">
        <v>14</v>
      </c>
      <c r="S972" t="s">
        <v>14</v>
      </c>
      <c r="T972" t="s">
        <v>14</v>
      </c>
      <c r="U972" t="s">
        <v>2390</v>
      </c>
      <c r="V972" t="s">
        <v>14</v>
      </c>
      <c r="W972" t="b">
        <v>1</v>
      </c>
      <c r="X972" t="s">
        <v>4021</v>
      </c>
      <c r="Y972" t="b">
        <v>0</v>
      </c>
      <c r="Z972" t="s">
        <v>2032</v>
      </c>
    </row>
    <row r="973" spans="1:26" x14ac:dyDescent="0.35">
      <c r="A973" t="s">
        <v>591</v>
      </c>
      <c r="B973" t="s">
        <v>592</v>
      </c>
      <c r="C973" t="s">
        <v>3167</v>
      </c>
      <c r="D973" t="s">
        <v>1963</v>
      </c>
      <c r="E973" t="s">
        <v>2020</v>
      </c>
      <c r="F973" t="s">
        <v>2021</v>
      </c>
      <c r="G973" t="s">
        <v>2022</v>
      </c>
      <c r="H973" t="s">
        <v>2023</v>
      </c>
      <c r="I973" t="s">
        <v>4025</v>
      </c>
      <c r="J973" t="s">
        <v>1963</v>
      </c>
      <c r="K973" t="s">
        <v>4026</v>
      </c>
      <c r="L973" t="s">
        <v>2046</v>
      </c>
      <c r="M973" t="s">
        <v>4027</v>
      </c>
      <c r="N973" t="s">
        <v>4028</v>
      </c>
      <c r="O973" t="s">
        <v>2214</v>
      </c>
      <c r="P973" t="s">
        <v>2215</v>
      </c>
      <c r="Q973" t="s">
        <v>3229</v>
      </c>
      <c r="R973" t="s">
        <v>14</v>
      </c>
      <c r="S973" t="s">
        <v>3466</v>
      </c>
      <c r="T973" t="s">
        <v>3467</v>
      </c>
      <c r="U973" t="s">
        <v>2052</v>
      </c>
      <c r="V973" t="s">
        <v>14</v>
      </c>
      <c r="W973" t="b">
        <v>1</v>
      </c>
      <c r="X973" t="s">
        <v>4029</v>
      </c>
      <c r="Y973" t="b">
        <v>0</v>
      </c>
      <c r="Z973" t="s">
        <v>2053</v>
      </c>
    </row>
    <row r="974" spans="1:26" x14ac:dyDescent="0.35">
      <c r="A974" t="s">
        <v>591</v>
      </c>
      <c r="B974" t="s">
        <v>592</v>
      </c>
      <c r="C974" t="s">
        <v>3167</v>
      </c>
      <c r="D974" t="s">
        <v>1963</v>
      </c>
      <c r="E974" t="s">
        <v>2020</v>
      </c>
      <c r="F974" t="s">
        <v>2021</v>
      </c>
      <c r="G974" t="s">
        <v>2022</v>
      </c>
      <c r="H974" t="s">
        <v>2023</v>
      </c>
      <c r="I974" t="s">
        <v>4030</v>
      </c>
      <c r="J974" t="s">
        <v>1963</v>
      </c>
      <c r="K974" t="s">
        <v>4026</v>
      </c>
      <c r="L974" t="s">
        <v>2046</v>
      </c>
      <c r="M974" t="s">
        <v>2214</v>
      </c>
      <c r="N974" t="s">
        <v>2215</v>
      </c>
      <c r="O974" t="s">
        <v>2214</v>
      </c>
      <c r="P974" t="s">
        <v>2215</v>
      </c>
      <c r="Q974" t="s">
        <v>14</v>
      </c>
      <c r="R974" t="s">
        <v>14</v>
      </c>
      <c r="S974" t="s">
        <v>14</v>
      </c>
      <c r="T974" t="s">
        <v>14</v>
      </c>
      <c r="U974" t="s">
        <v>2052</v>
      </c>
      <c r="V974" t="s">
        <v>14</v>
      </c>
      <c r="W974" t="b">
        <v>1</v>
      </c>
      <c r="X974" t="s">
        <v>4029</v>
      </c>
      <c r="Y974" t="b">
        <v>0</v>
      </c>
      <c r="Z974" t="s">
        <v>2053</v>
      </c>
    </row>
    <row r="975" spans="1:26" x14ac:dyDescent="0.35">
      <c r="A975" t="s">
        <v>593</v>
      </c>
      <c r="B975" t="s">
        <v>594</v>
      </c>
      <c r="C975" t="s">
        <v>3167</v>
      </c>
      <c r="D975" t="s">
        <v>1963</v>
      </c>
      <c r="E975" t="s">
        <v>2020</v>
      </c>
      <c r="F975" t="s">
        <v>2021</v>
      </c>
      <c r="G975" t="s">
        <v>2022</v>
      </c>
      <c r="H975" t="s">
        <v>2023</v>
      </c>
      <c r="I975" t="s">
        <v>3174</v>
      </c>
      <c r="J975" t="s">
        <v>1963</v>
      </c>
      <c r="K975" t="s">
        <v>4031</v>
      </c>
      <c r="L975" t="s">
        <v>2046</v>
      </c>
      <c r="M975" t="s">
        <v>3176</v>
      </c>
      <c r="N975" t="s">
        <v>3177</v>
      </c>
      <c r="O975" t="s">
        <v>3154</v>
      </c>
      <c r="P975" t="s">
        <v>3155</v>
      </c>
      <c r="Q975" t="s">
        <v>3178</v>
      </c>
      <c r="R975" t="s">
        <v>14</v>
      </c>
      <c r="S975" t="s">
        <v>3179</v>
      </c>
      <c r="T975" t="s">
        <v>3180</v>
      </c>
      <c r="U975" t="s">
        <v>3015</v>
      </c>
      <c r="V975" t="s">
        <v>14</v>
      </c>
      <c r="W975" t="b">
        <v>1</v>
      </c>
      <c r="X975" t="s">
        <v>4032</v>
      </c>
      <c r="Y975" t="b">
        <v>0</v>
      </c>
      <c r="Z975" t="s">
        <v>2032</v>
      </c>
    </row>
    <row r="976" spans="1:26" x14ac:dyDescent="0.35">
      <c r="A976" t="s">
        <v>595</v>
      </c>
      <c r="B976" t="s">
        <v>596</v>
      </c>
      <c r="C976" t="s">
        <v>2967</v>
      </c>
      <c r="D976" t="s">
        <v>1963</v>
      </c>
      <c r="E976" t="s">
        <v>2020</v>
      </c>
      <c r="F976" t="s">
        <v>2021</v>
      </c>
      <c r="G976" t="s">
        <v>2022</v>
      </c>
      <c r="H976" t="s">
        <v>2023</v>
      </c>
      <c r="I976" t="s">
        <v>1426</v>
      </c>
      <c r="J976" t="s">
        <v>1963</v>
      </c>
      <c r="K976" t="s">
        <v>4033</v>
      </c>
      <c r="L976" t="s">
        <v>2046</v>
      </c>
      <c r="M976" t="s">
        <v>2058</v>
      </c>
      <c r="N976" t="s">
        <v>2059</v>
      </c>
      <c r="O976" t="s">
        <v>2060</v>
      </c>
      <c r="P976" t="s">
        <v>2061</v>
      </c>
      <c r="Q976" t="s">
        <v>2062</v>
      </c>
      <c r="R976" t="s">
        <v>14</v>
      </c>
      <c r="S976" t="s">
        <v>2063</v>
      </c>
      <c r="T976" t="s">
        <v>2064</v>
      </c>
      <c r="U976" t="s">
        <v>2052</v>
      </c>
      <c r="V976" t="s">
        <v>14</v>
      </c>
      <c r="W976" t="b">
        <v>1</v>
      </c>
      <c r="X976" t="s">
        <v>4034</v>
      </c>
      <c r="Y976" t="b">
        <v>0</v>
      </c>
      <c r="Z976" t="s">
        <v>2053</v>
      </c>
    </row>
    <row r="977" spans="1:26" x14ac:dyDescent="0.35">
      <c r="A977" t="s">
        <v>597</v>
      </c>
      <c r="B977" t="s">
        <v>598</v>
      </c>
      <c r="C977" t="s">
        <v>2967</v>
      </c>
      <c r="D977" t="s">
        <v>1963</v>
      </c>
      <c r="E977" t="s">
        <v>2020</v>
      </c>
      <c r="F977" t="s">
        <v>2021</v>
      </c>
      <c r="G977" t="s">
        <v>2022</v>
      </c>
      <c r="H977" t="s">
        <v>2023</v>
      </c>
      <c r="I977" t="s">
        <v>4035</v>
      </c>
      <c r="J977" t="s">
        <v>1963</v>
      </c>
      <c r="K977" t="s">
        <v>4036</v>
      </c>
      <c r="L977" t="s">
        <v>2046</v>
      </c>
      <c r="M977" t="s">
        <v>4037</v>
      </c>
      <c r="N977" t="s">
        <v>4038</v>
      </c>
      <c r="O977" t="s">
        <v>2362</v>
      </c>
      <c r="P977" t="s">
        <v>2363</v>
      </c>
      <c r="Q977" t="s">
        <v>2844</v>
      </c>
      <c r="R977" t="s">
        <v>14</v>
      </c>
      <c r="S977" t="s">
        <v>3005</v>
      </c>
      <c r="T977" t="s">
        <v>3006</v>
      </c>
      <c r="U977" t="s">
        <v>2171</v>
      </c>
      <c r="V977" t="s">
        <v>14</v>
      </c>
      <c r="W977" t="b">
        <v>1</v>
      </c>
      <c r="X977" t="s">
        <v>4039</v>
      </c>
      <c r="Y977" t="b">
        <v>0</v>
      </c>
      <c r="Z977" t="s">
        <v>2081</v>
      </c>
    </row>
    <row r="978" spans="1:26" x14ac:dyDescent="0.35">
      <c r="A978" t="s">
        <v>599</v>
      </c>
      <c r="B978" t="s">
        <v>600</v>
      </c>
      <c r="C978" t="s">
        <v>3167</v>
      </c>
      <c r="D978" t="s">
        <v>1963</v>
      </c>
      <c r="E978" t="s">
        <v>2020</v>
      </c>
      <c r="F978" t="s">
        <v>2021</v>
      </c>
      <c r="G978" t="s">
        <v>2022</v>
      </c>
      <c r="H978" t="s">
        <v>2023</v>
      </c>
      <c r="I978" t="s">
        <v>3053</v>
      </c>
      <c r="J978" t="s">
        <v>1963</v>
      </c>
      <c r="K978" t="s">
        <v>4040</v>
      </c>
      <c r="L978" t="s">
        <v>2046</v>
      </c>
      <c r="M978" t="s">
        <v>3054</v>
      </c>
      <c r="N978" t="s">
        <v>3055</v>
      </c>
      <c r="O978" t="s">
        <v>3035</v>
      </c>
      <c r="P978" t="s">
        <v>3036</v>
      </c>
      <c r="Q978" t="s">
        <v>14</v>
      </c>
      <c r="R978" t="s">
        <v>14</v>
      </c>
      <c r="S978" t="s">
        <v>14</v>
      </c>
      <c r="T978" t="s">
        <v>14</v>
      </c>
      <c r="U978" t="s">
        <v>3015</v>
      </c>
      <c r="V978" t="s">
        <v>14</v>
      </c>
      <c r="W978" t="b">
        <v>1</v>
      </c>
      <c r="X978" t="s">
        <v>4041</v>
      </c>
      <c r="Y978" t="b">
        <v>0</v>
      </c>
      <c r="Z978" t="s">
        <v>2053</v>
      </c>
    </row>
    <row r="979" spans="1:26" x14ac:dyDescent="0.35">
      <c r="A979" t="s">
        <v>599</v>
      </c>
      <c r="B979" t="s">
        <v>600</v>
      </c>
      <c r="C979" t="s">
        <v>3167</v>
      </c>
      <c r="D979" t="s">
        <v>1963</v>
      </c>
      <c r="E979" t="s">
        <v>2020</v>
      </c>
      <c r="F979" t="s">
        <v>2021</v>
      </c>
      <c r="G979" t="s">
        <v>2022</v>
      </c>
      <c r="H979" t="s">
        <v>2023</v>
      </c>
      <c r="I979" t="s">
        <v>3032</v>
      </c>
      <c r="J979" t="s">
        <v>1963</v>
      </c>
      <c r="K979" t="s">
        <v>4040</v>
      </c>
      <c r="L979" t="s">
        <v>2046</v>
      </c>
      <c r="M979" t="s">
        <v>3033</v>
      </c>
      <c r="N979" t="s">
        <v>3034</v>
      </c>
      <c r="O979" t="s">
        <v>3035</v>
      </c>
      <c r="P979" t="s">
        <v>3036</v>
      </c>
      <c r="Q979" t="s">
        <v>14</v>
      </c>
      <c r="R979" t="s">
        <v>14</v>
      </c>
      <c r="S979" t="s">
        <v>14</v>
      </c>
      <c r="T979" t="s">
        <v>14</v>
      </c>
      <c r="U979" t="s">
        <v>3015</v>
      </c>
      <c r="V979" t="s">
        <v>14</v>
      </c>
      <c r="W979" t="b">
        <v>1</v>
      </c>
      <c r="X979" t="s">
        <v>4041</v>
      </c>
      <c r="Y979" t="b">
        <v>0</v>
      </c>
      <c r="Z979" t="s">
        <v>2081</v>
      </c>
    </row>
    <row r="980" spans="1:26" x14ac:dyDescent="0.35">
      <c r="A980" t="s">
        <v>601</v>
      </c>
      <c r="B980" t="s">
        <v>602</v>
      </c>
      <c r="C980" t="s">
        <v>3167</v>
      </c>
      <c r="D980" t="s">
        <v>1963</v>
      </c>
      <c r="E980" t="s">
        <v>2020</v>
      </c>
      <c r="F980" t="s">
        <v>2021</v>
      </c>
      <c r="G980" t="s">
        <v>2022</v>
      </c>
      <c r="H980" t="s">
        <v>2023</v>
      </c>
      <c r="I980" t="s">
        <v>4042</v>
      </c>
      <c r="J980" t="s">
        <v>1963</v>
      </c>
      <c r="K980" t="s">
        <v>4043</v>
      </c>
      <c r="L980" t="s">
        <v>2046</v>
      </c>
      <c r="M980" t="s">
        <v>4044</v>
      </c>
      <c r="N980" t="s">
        <v>4045</v>
      </c>
      <c r="O980" t="s">
        <v>2075</v>
      </c>
      <c r="P980" t="s">
        <v>2076</v>
      </c>
      <c r="Q980" t="s">
        <v>2077</v>
      </c>
      <c r="R980" t="s">
        <v>14</v>
      </c>
      <c r="S980" t="s">
        <v>2078</v>
      </c>
      <c r="T980" t="s">
        <v>2079</v>
      </c>
      <c r="U980" t="s">
        <v>2080</v>
      </c>
      <c r="V980" t="s">
        <v>14</v>
      </c>
      <c r="W980" t="b">
        <v>1</v>
      </c>
      <c r="X980" t="s">
        <v>4046</v>
      </c>
      <c r="Y980" t="b">
        <v>0</v>
      </c>
      <c r="Z980" t="s">
        <v>2053</v>
      </c>
    </row>
    <row r="981" spans="1:26" x14ac:dyDescent="0.35">
      <c r="A981" t="s">
        <v>601</v>
      </c>
      <c r="B981" t="s">
        <v>602</v>
      </c>
      <c r="C981" t="s">
        <v>3167</v>
      </c>
      <c r="D981" t="s">
        <v>1963</v>
      </c>
      <c r="E981" t="s">
        <v>2020</v>
      </c>
      <c r="F981" t="s">
        <v>2021</v>
      </c>
      <c r="G981" t="s">
        <v>2022</v>
      </c>
      <c r="H981" t="s">
        <v>2023</v>
      </c>
      <c r="I981" t="s">
        <v>3525</v>
      </c>
      <c r="J981" t="s">
        <v>1963</v>
      </c>
      <c r="K981" t="s">
        <v>4043</v>
      </c>
      <c r="L981" t="s">
        <v>2046</v>
      </c>
      <c r="M981" t="s">
        <v>3041</v>
      </c>
      <c r="N981" t="s">
        <v>3042</v>
      </c>
      <c r="O981" t="s">
        <v>3013</v>
      </c>
      <c r="P981" t="s">
        <v>3014</v>
      </c>
      <c r="Q981" t="s">
        <v>3021</v>
      </c>
      <c r="R981" t="s">
        <v>14</v>
      </c>
      <c r="S981" t="s">
        <v>3526</v>
      </c>
      <c r="T981" t="s">
        <v>3527</v>
      </c>
      <c r="U981" t="s">
        <v>3015</v>
      </c>
      <c r="V981" t="s">
        <v>14</v>
      </c>
      <c r="W981" t="b">
        <v>1</v>
      </c>
      <c r="X981" t="s">
        <v>4046</v>
      </c>
      <c r="Y981" t="b">
        <v>0</v>
      </c>
      <c r="Z981" t="s">
        <v>2032</v>
      </c>
    </row>
    <row r="982" spans="1:26" x14ac:dyDescent="0.35">
      <c r="A982" t="s">
        <v>601</v>
      </c>
      <c r="B982" t="s">
        <v>602</v>
      </c>
      <c r="C982" t="s">
        <v>3167</v>
      </c>
      <c r="D982" t="s">
        <v>1963</v>
      </c>
      <c r="E982" t="s">
        <v>2020</v>
      </c>
      <c r="F982" t="s">
        <v>2021</v>
      </c>
      <c r="G982" t="s">
        <v>2022</v>
      </c>
      <c r="H982" t="s">
        <v>2023</v>
      </c>
      <c r="I982" t="s">
        <v>4047</v>
      </c>
      <c r="J982" t="s">
        <v>1963</v>
      </c>
      <c r="K982" t="s">
        <v>4043</v>
      </c>
      <c r="L982" t="s">
        <v>2046</v>
      </c>
      <c r="M982" t="s">
        <v>2026</v>
      </c>
      <c r="N982" t="s">
        <v>2027</v>
      </c>
      <c r="O982" t="s">
        <v>4048</v>
      </c>
      <c r="P982" t="s">
        <v>4049</v>
      </c>
      <c r="Q982" t="s">
        <v>14</v>
      </c>
      <c r="R982" t="s">
        <v>14</v>
      </c>
      <c r="S982" t="s">
        <v>3710</v>
      </c>
      <c r="T982" t="s">
        <v>3711</v>
      </c>
      <c r="U982" t="s">
        <v>2030</v>
      </c>
      <c r="V982" t="s">
        <v>14</v>
      </c>
      <c r="W982" t="b">
        <v>1</v>
      </c>
      <c r="X982" t="s">
        <v>4046</v>
      </c>
      <c r="Y982" t="b">
        <v>0</v>
      </c>
      <c r="Z982" t="s">
        <v>2053</v>
      </c>
    </row>
    <row r="983" spans="1:26" x14ac:dyDescent="0.35">
      <c r="A983" t="s">
        <v>603</v>
      </c>
      <c r="B983" t="s">
        <v>604</v>
      </c>
      <c r="C983" t="s">
        <v>3167</v>
      </c>
      <c r="D983" t="s">
        <v>1963</v>
      </c>
      <c r="E983" t="s">
        <v>2020</v>
      </c>
      <c r="F983" t="s">
        <v>2055</v>
      </c>
      <c r="G983" t="s">
        <v>2056</v>
      </c>
      <c r="H983" t="s">
        <v>2023</v>
      </c>
      <c r="I983" t="s">
        <v>3225</v>
      </c>
      <c r="J983" t="s">
        <v>1963</v>
      </c>
      <c r="K983" t="s">
        <v>4050</v>
      </c>
      <c r="L983" t="s">
        <v>2046</v>
      </c>
      <c r="M983" t="s">
        <v>3227</v>
      </c>
      <c r="N983" t="s">
        <v>3228</v>
      </c>
      <c r="O983" t="s">
        <v>2214</v>
      </c>
      <c r="P983" t="s">
        <v>2215</v>
      </c>
      <c r="Q983" t="s">
        <v>3229</v>
      </c>
      <c r="R983" t="s">
        <v>14</v>
      </c>
      <c r="S983" t="s">
        <v>3230</v>
      </c>
      <c r="T983" t="s">
        <v>3231</v>
      </c>
      <c r="U983" t="s">
        <v>2052</v>
      </c>
      <c r="V983" t="s">
        <v>14</v>
      </c>
      <c r="W983" t="b">
        <v>1</v>
      </c>
      <c r="X983" t="s">
        <v>4051</v>
      </c>
      <c r="Y983" t="b">
        <v>0</v>
      </c>
      <c r="Z983" t="s">
        <v>2081</v>
      </c>
    </row>
    <row r="984" spans="1:26" x14ac:dyDescent="0.35">
      <c r="A984" t="s">
        <v>605</v>
      </c>
      <c r="B984" t="s">
        <v>606</v>
      </c>
      <c r="C984" t="s">
        <v>3167</v>
      </c>
      <c r="D984" t="s">
        <v>1963</v>
      </c>
      <c r="E984" t="s">
        <v>2020</v>
      </c>
      <c r="F984" t="s">
        <v>2055</v>
      </c>
      <c r="G984" t="s">
        <v>2056</v>
      </c>
      <c r="H984" t="s">
        <v>2023</v>
      </c>
      <c r="I984" t="s">
        <v>3225</v>
      </c>
      <c r="J984" t="s">
        <v>1963</v>
      </c>
      <c r="K984" t="s">
        <v>4052</v>
      </c>
      <c r="L984" t="s">
        <v>2046</v>
      </c>
      <c r="M984" t="s">
        <v>3227</v>
      </c>
      <c r="N984" t="s">
        <v>3228</v>
      </c>
      <c r="O984" t="s">
        <v>2214</v>
      </c>
      <c r="P984" t="s">
        <v>2215</v>
      </c>
      <c r="Q984" t="s">
        <v>3229</v>
      </c>
      <c r="R984" t="s">
        <v>14</v>
      </c>
      <c r="S984" t="s">
        <v>3230</v>
      </c>
      <c r="T984" t="s">
        <v>3231</v>
      </c>
      <c r="U984" t="s">
        <v>2052</v>
      </c>
      <c r="V984" t="s">
        <v>14</v>
      </c>
      <c r="W984" t="b">
        <v>1</v>
      </c>
      <c r="X984" t="s">
        <v>4053</v>
      </c>
      <c r="Y984" t="b">
        <v>0</v>
      </c>
      <c r="Z984" t="s">
        <v>2081</v>
      </c>
    </row>
    <row r="985" spans="1:26" x14ac:dyDescent="0.35">
      <c r="A985" t="s">
        <v>607</v>
      </c>
      <c r="B985" t="s">
        <v>608</v>
      </c>
      <c r="C985" t="s">
        <v>3167</v>
      </c>
      <c r="D985" t="s">
        <v>1963</v>
      </c>
      <c r="E985" t="s">
        <v>2020</v>
      </c>
      <c r="F985" t="s">
        <v>2021</v>
      </c>
      <c r="G985" t="s">
        <v>2022</v>
      </c>
      <c r="H985" t="s">
        <v>2023</v>
      </c>
      <c r="I985" t="s">
        <v>4054</v>
      </c>
      <c r="J985" t="s">
        <v>1963</v>
      </c>
      <c r="K985" t="s">
        <v>4055</v>
      </c>
      <c r="L985" t="s">
        <v>2046</v>
      </c>
      <c r="M985" t="s">
        <v>4056</v>
      </c>
      <c r="N985" t="s">
        <v>4057</v>
      </c>
      <c r="O985" t="s">
        <v>3502</v>
      </c>
      <c r="P985" t="s">
        <v>3503</v>
      </c>
      <c r="Q985" t="s">
        <v>14</v>
      </c>
      <c r="R985" t="s">
        <v>14</v>
      </c>
      <c r="S985" t="s">
        <v>4058</v>
      </c>
      <c r="T985" t="s">
        <v>4059</v>
      </c>
      <c r="U985" t="s">
        <v>2171</v>
      </c>
      <c r="V985" t="s">
        <v>14</v>
      </c>
      <c r="W985" t="b">
        <v>1</v>
      </c>
      <c r="X985" t="s">
        <v>4060</v>
      </c>
      <c r="Y985" t="b">
        <v>0</v>
      </c>
      <c r="Z985" t="s">
        <v>2053</v>
      </c>
    </row>
    <row r="986" spans="1:26" x14ac:dyDescent="0.35">
      <c r="A986" t="s">
        <v>607</v>
      </c>
      <c r="B986" t="s">
        <v>608</v>
      </c>
      <c r="C986" t="s">
        <v>3167</v>
      </c>
      <c r="D986" t="s">
        <v>1963</v>
      </c>
      <c r="E986" t="s">
        <v>2020</v>
      </c>
      <c r="F986" t="s">
        <v>2021</v>
      </c>
      <c r="G986" t="s">
        <v>2022</v>
      </c>
      <c r="H986" t="s">
        <v>2023</v>
      </c>
      <c r="I986" t="s">
        <v>613</v>
      </c>
      <c r="J986" t="s">
        <v>1963</v>
      </c>
      <c r="K986" t="s">
        <v>4055</v>
      </c>
      <c r="L986" t="s">
        <v>2046</v>
      </c>
      <c r="M986" t="s">
        <v>4056</v>
      </c>
      <c r="N986" t="s">
        <v>4057</v>
      </c>
      <c r="O986" t="s">
        <v>3502</v>
      </c>
      <c r="P986" t="s">
        <v>3503</v>
      </c>
      <c r="Q986" t="s">
        <v>14</v>
      </c>
      <c r="R986" t="s">
        <v>14</v>
      </c>
      <c r="S986" t="s">
        <v>4058</v>
      </c>
      <c r="T986" t="s">
        <v>4059</v>
      </c>
      <c r="U986" t="s">
        <v>2171</v>
      </c>
      <c r="V986" t="s">
        <v>14</v>
      </c>
      <c r="W986" t="b">
        <v>1</v>
      </c>
      <c r="X986" t="s">
        <v>4060</v>
      </c>
      <c r="Y986" t="b">
        <v>0</v>
      </c>
      <c r="Z986" t="s">
        <v>2081</v>
      </c>
    </row>
    <row r="987" spans="1:26" x14ac:dyDescent="0.35">
      <c r="A987" t="s">
        <v>609</v>
      </c>
      <c r="B987" t="s">
        <v>610</v>
      </c>
      <c r="C987" t="s">
        <v>3167</v>
      </c>
      <c r="D987" t="s">
        <v>1963</v>
      </c>
      <c r="E987" t="s">
        <v>2020</v>
      </c>
      <c r="F987" t="s">
        <v>2021</v>
      </c>
      <c r="G987" t="s">
        <v>2022</v>
      </c>
      <c r="H987" t="s">
        <v>2023</v>
      </c>
      <c r="I987" t="s">
        <v>4054</v>
      </c>
      <c r="J987" t="s">
        <v>1963</v>
      </c>
      <c r="K987" t="s">
        <v>4061</v>
      </c>
      <c r="L987" t="s">
        <v>2046</v>
      </c>
      <c r="M987" t="s">
        <v>4056</v>
      </c>
      <c r="N987" t="s">
        <v>4057</v>
      </c>
      <c r="O987" t="s">
        <v>3502</v>
      </c>
      <c r="P987" t="s">
        <v>3503</v>
      </c>
      <c r="Q987" t="s">
        <v>14</v>
      </c>
      <c r="R987" t="s">
        <v>14</v>
      </c>
      <c r="S987" t="s">
        <v>4058</v>
      </c>
      <c r="T987" t="s">
        <v>4059</v>
      </c>
      <c r="U987" t="s">
        <v>2171</v>
      </c>
      <c r="V987" t="s">
        <v>14</v>
      </c>
      <c r="W987" t="b">
        <v>1</v>
      </c>
      <c r="X987" t="s">
        <v>4062</v>
      </c>
      <c r="Y987" t="b">
        <v>0</v>
      </c>
      <c r="Z987" t="s">
        <v>2053</v>
      </c>
    </row>
    <row r="988" spans="1:26" x14ac:dyDescent="0.35">
      <c r="A988" t="s">
        <v>609</v>
      </c>
      <c r="B988" t="s">
        <v>610</v>
      </c>
      <c r="C988" t="s">
        <v>3167</v>
      </c>
      <c r="D988" t="s">
        <v>1963</v>
      </c>
      <c r="E988" t="s">
        <v>2020</v>
      </c>
      <c r="F988" t="s">
        <v>2021</v>
      </c>
      <c r="G988" t="s">
        <v>2022</v>
      </c>
      <c r="H988" t="s">
        <v>2023</v>
      </c>
      <c r="I988" t="s">
        <v>613</v>
      </c>
      <c r="J988" t="s">
        <v>1963</v>
      </c>
      <c r="K988" t="s">
        <v>4061</v>
      </c>
      <c r="L988" t="s">
        <v>2046</v>
      </c>
      <c r="M988" t="s">
        <v>4056</v>
      </c>
      <c r="N988" t="s">
        <v>4057</v>
      </c>
      <c r="O988" t="s">
        <v>3502</v>
      </c>
      <c r="P988" t="s">
        <v>3503</v>
      </c>
      <c r="Q988" t="s">
        <v>14</v>
      </c>
      <c r="R988" t="s">
        <v>14</v>
      </c>
      <c r="S988" t="s">
        <v>4058</v>
      </c>
      <c r="T988" t="s">
        <v>4059</v>
      </c>
      <c r="U988" t="s">
        <v>2171</v>
      </c>
      <c r="V988" t="s">
        <v>14</v>
      </c>
      <c r="W988" t="b">
        <v>1</v>
      </c>
      <c r="X988" t="s">
        <v>4062</v>
      </c>
      <c r="Y988" t="b">
        <v>0</v>
      </c>
      <c r="Z988" t="s">
        <v>2081</v>
      </c>
    </row>
    <row r="989" spans="1:26" x14ac:dyDescent="0.35">
      <c r="A989" t="s">
        <v>611</v>
      </c>
      <c r="B989" t="s">
        <v>612</v>
      </c>
      <c r="C989" t="s">
        <v>3167</v>
      </c>
      <c r="D989" t="s">
        <v>1963</v>
      </c>
      <c r="E989" t="s">
        <v>2020</v>
      </c>
      <c r="F989" t="s">
        <v>2021</v>
      </c>
      <c r="G989" t="s">
        <v>2022</v>
      </c>
      <c r="H989" t="s">
        <v>2023</v>
      </c>
      <c r="I989" t="s">
        <v>4054</v>
      </c>
      <c r="J989" t="s">
        <v>1963</v>
      </c>
      <c r="K989" t="s">
        <v>4063</v>
      </c>
      <c r="L989" t="s">
        <v>2046</v>
      </c>
      <c r="M989" t="s">
        <v>4056</v>
      </c>
      <c r="N989" t="s">
        <v>4057</v>
      </c>
      <c r="O989" t="s">
        <v>3502</v>
      </c>
      <c r="P989" t="s">
        <v>3503</v>
      </c>
      <c r="Q989" t="s">
        <v>14</v>
      </c>
      <c r="R989" t="s">
        <v>14</v>
      </c>
      <c r="S989" t="s">
        <v>4058</v>
      </c>
      <c r="T989" t="s">
        <v>4059</v>
      </c>
      <c r="U989" t="s">
        <v>2171</v>
      </c>
      <c r="V989" t="s">
        <v>14</v>
      </c>
      <c r="W989" t="b">
        <v>1</v>
      </c>
      <c r="X989" t="s">
        <v>4064</v>
      </c>
      <c r="Y989" t="b">
        <v>0</v>
      </c>
      <c r="Z989" t="s">
        <v>2053</v>
      </c>
    </row>
    <row r="990" spans="1:26" x14ac:dyDescent="0.35">
      <c r="A990" t="s">
        <v>611</v>
      </c>
      <c r="B990" t="s">
        <v>612</v>
      </c>
      <c r="C990" t="s">
        <v>3167</v>
      </c>
      <c r="D990" t="s">
        <v>1963</v>
      </c>
      <c r="E990" t="s">
        <v>2020</v>
      </c>
      <c r="F990" t="s">
        <v>2021</v>
      </c>
      <c r="G990" t="s">
        <v>2022</v>
      </c>
      <c r="H990" t="s">
        <v>2023</v>
      </c>
      <c r="I990" t="s">
        <v>613</v>
      </c>
      <c r="J990" t="s">
        <v>1963</v>
      </c>
      <c r="K990" t="s">
        <v>4063</v>
      </c>
      <c r="L990" t="s">
        <v>2046</v>
      </c>
      <c r="M990" t="s">
        <v>4056</v>
      </c>
      <c r="N990" t="s">
        <v>4057</v>
      </c>
      <c r="O990" t="s">
        <v>3502</v>
      </c>
      <c r="P990" t="s">
        <v>3503</v>
      </c>
      <c r="Q990" t="s">
        <v>14</v>
      </c>
      <c r="R990" t="s">
        <v>14</v>
      </c>
      <c r="S990" t="s">
        <v>4058</v>
      </c>
      <c r="T990" t="s">
        <v>4059</v>
      </c>
      <c r="U990" t="s">
        <v>2171</v>
      </c>
      <c r="V990" t="s">
        <v>14</v>
      </c>
      <c r="W990" t="b">
        <v>1</v>
      </c>
      <c r="X990" t="s">
        <v>4064</v>
      </c>
      <c r="Y990" t="b">
        <v>0</v>
      </c>
      <c r="Z990" t="s">
        <v>2081</v>
      </c>
    </row>
    <row r="991" spans="1:26" x14ac:dyDescent="0.35">
      <c r="A991" t="s">
        <v>614</v>
      </c>
      <c r="B991" t="s">
        <v>615</v>
      </c>
      <c r="C991" t="s">
        <v>3167</v>
      </c>
      <c r="D991" t="s">
        <v>1963</v>
      </c>
      <c r="E991" t="s">
        <v>2020</v>
      </c>
      <c r="F991" t="s">
        <v>2021</v>
      </c>
      <c r="G991" t="s">
        <v>2022</v>
      </c>
      <c r="H991" t="s">
        <v>2023</v>
      </c>
      <c r="I991" t="s">
        <v>306</v>
      </c>
      <c r="J991" t="s">
        <v>1963</v>
      </c>
      <c r="K991" t="s">
        <v>4065</v>
      </c>
      <c r="L991" t="s">
        <v>2046</v>
      </c>
      <c r="M991" t="s">
        <v>2026</v>
      </c>
      <c r="N991" t="s">
        <v>2027</v>
      </c>
      <c r="O991" t="s">
        <v>2028</v>
      </c>
      <c r="P991" t="s">
        <v>2029</v>
      </c>
      <c r="Q991" t="s">
        <v>3531</v>
      </c>
      <c r="R991" t="s">
        <v>14</v>
      </c>
      <c r="S991" t="s">
        <v>2991</v>
      </c>
      <c r="T991" t="s">
        <v>2992</v>
      </c>
      <c r="U991" t="s">
        <v>2030</v>
      </c>
      <c r="V991" t="s">
        <v>14</v>
      </c>
      <c r="W991" t="b">
        <v>1</v>
      </c>
      <c r="X991" t="s">
        <v>4066</v>
      </c>
      <c r="Y991" t="b">
        <v>1</v>
      </c>
      <c r="Z991" t="s">
        <v>2032</v>
      </c>
    </row>
    <row r="992" spans="1:26" x14ac:dyDescent="0.35">
      <c r="A992" t="s">
        <v>616</v>
      </c>
      <c r="B992" t="s">
        <v>617</v>
      </c>
      <c r="C992" t="s">
        <v>3167</v>
      </c>
      <c r="D992" t="s">
        <v>1963</v>
      </c>
      <c r="E992" t="s">
        <v>2020</v>
      </c>
      <c r="F992" t="s">
        <v>2021</v>
      </c>
      <c r="G992" t="s">
        <v>2022</v>
      </c>
      <c r="H992" t="s">
        <v>2023</v>
      </c>
      <c r="I992" t="s">
        <v>306</v>
      </c>
      <c r="J992" t="s">
        <v>1963</v>
      </c>
      <c r="K992" t="s">
        <v>4067</v>
      </c>
      <c r="L992" t="s">
        <v>2046</v>
      </c>
      <c r="M992" t="s">
        <v>2026</v>
      </c>
      <c r="N992" t="s">
        <v>2027</v>
      </c>
      <c r="O992" t="s">
        <v>2028</v>
      </c>
      <c r="P992" t="s">
        <v>2029</v>
      </c>
      <c r="Q992" t="s">
        <v>3531</v>
      </c>
      <c r="R992" t="s">
        <v>14</v>
      </c>
      <c r="S992" t="s">
        <v>2991</v>
      </c>
      <c r="T992" t="s">
        <v>2992</v>
      </c>
      <c r="U992" t="s">
        <v>2030</v>
      </c>
      <c r="V992" t="s">
        <v>14</v>
      </c>
      <c r="W992" t="b">
        <v>1</v>
      </c>
      <c r="X992" t="s">
        <v>4068</v>
      </c>
      <c r="Y992" t="b">
        <v>1</v>
      </c>
      <c r="Z992" t="s">
        <v>2032</v>
      </c>
    </row>
    <row r="993" spans="1:26" x14ac:dyDescent="0.35">
      <c r="A993" t="s">
        <v>618</v>
      </c>
      <c r="B993" t="s">
        <v>619</v>
      </c>
      <c r="C993" t="s">
        <v>3167</v>
      </c>
      <c r="D993" t="s">
        <v>1963</v>
      </c>
      <c r="E993" t="s">
        <v>2020</v>
      </c>
      <c r="F993" t="s">
        <v>2021</v>
      </c>
      <c r="G993" t="s">
        <v>2022</v>
      </c>
      <c r="H993" t="s">
        <v>2023</v>
      </c>
      <c r="I993" t="s">
        <v>306</v>
      </c>
      <c r="J993" t="s">
        <v>1963</v>
      </c>
      <c r="K993" t="s">
        <v>4069</v>
      </c>
      <c r="L993" t="s">
        <v>2046</v>
      </c>
      <c r="M993" t="s">
        <v>2026</v>
      </c>
      <c r="N993" t="s">
        <v>2027</v>
      </c>
      <c r="O993" t="s">
        <v>2028</v>
      </c>
      <c r="P993" t="s">
        <v>2029</v>
      </c>
      <c r="Q993" t="s">
        <v>3531</v>
      </c>
      <c r="R993" t="s">
        <v>14</v>
      </c>
      <c r="S993" t="s">
        <v>2991</v>
      </c>
      <c r="T993" t="s">
        <v>2992</v>
      </c>
      <c r="U993" t="s">
        <v>2030</v>
      </c>
      <c r="V993" t="s">
        <v>14</v>
      </c>
      <c r="W993" t="b">
        <v>1</v>
      </c>
      <c r="X993" t="s">
        <v>4070</v>
      </c>
      <c r="Y993" t="b">
        <v>1</v>
      </c>
      <c r="Z993" t="s">
        <v>2032</v>
      </c>
    </row>
    <row r="994" spans="1:26" x14ac:dyDescent="0.35">
      <c r="A994" t="s">
        <v>620</v>
      </c>
      <c r="B994" t="s">
        <v>621</v>
      </c>
      <c r="C994" t="s">
        <v>2967</v>
      </c>
      <c r="D994" t="s">
        <v>1963</v>
      </c>
      <c r="E994" t="s">
        <v>2020</v>
      </c>
      <c r="F994" t="s">
        <v>2021</v>
      </c>
      <c r="G994" t="s">
        <v>2022</v>
      </c>
      <c r="H994" t="s">
        <v>2023</v>
      </c>
      <c r="I994" t="s">
        <v>1426</v>
      </c>
      <c r="J994" t="s">
        <v>1963</v>
      </c>
      <c r="K994" t="s">
        <v>4071</v>
      </c>
      <c r="L994" t="s">
        <v>2046</v>
      </c>
      <c r="M994" t="s">
        <v>2058</v>
      </c>
      <c r="N994" t="s">
        <v>2059</v>
      </c>
      <c r="O994" t="s">
        <v>2060</v>
      </c>
      <c r="P994" t="s">
        <v>2061</v>
      </c>
      <c r="Q994" t="s">
        <v>2062</v>
      </c>
      <c r="R994" t="s">
        <v>14</v>
      </c>
      <c r="S994" t="s">
        <v>2063</v>
      </c>
      <c r="T994" t="s">
        <v>2064</v>
      </c>
      <c r="U994" t="s">
        <v>2052</v>
      </c>
      <c r="V994" t="s">
        <v>14</v>
      </c>
      <c r="W994" t="b">
        <v>1</v>
      </c>
      <c r="X994" t="s">
        <v>4072</v>
      </c>
      <c r="Y994" t="b">
        <v>0</v>
      </c>
      <c r="Z994" t="s">
        <v>2053</v>
      </c>
    </row>
    <row r="995" spans="1:26" x14ac:dyDescent="0.35">
      <c r="A995" t="s">
        <v>622</v>
      </c>
      <c r="B995" t="s">
        <v>623</v>
      </c>
      <c r="C995" t="s">
        <v>3167</v>
      </c>
      <c r="D995" t="s">
        <v>1963</v>
      </c>
      <c r="E995" t="s">
        <v>2020</v>
      </c>
      <c r="F995" t="s">
        <v>2021</v>
      </c>
      <c r="G995" t="s">
        <v>2022</v>
      </c>
      <c r="H995" t="s">
        <v>2023</v>
      </c>
      <c r="I995" t="s">
        <v>624</v>
      </c>
      <c r="J995" t="s">
        <v>1963</v>
      </c>
      <c r="K995" t="s">
        <v>4073</v>
      </c>
      <c r="L995" t="s">
        <v>2046</v>
      </c>
      <c r="M995" t="s">
        <v>2026</v>
      </c>
      <c r="N995" t="s">
        <v>2027</v>
      </c>
      <c r="O995" t="s">
        <v>2028</v>
      </c>
      <c r="P995" t="s">
        <v>2029</v>
      </c>
      <c r="Q995" t="s">
        <v>14</v>
      </c>
      <c r="R995" t="s">
        <v>14</v>
      </c>
      <c r="S995" t="s">
        <v>14</v>
      </c>
      <c r="T995" t="s">
        <v>14</v>
      </c>
      <c r="U995" t="s">
        <v>2030</v>
      </c>
      <c r="V995" t="s">
        <v>14</v>
      </c>
      <c r="W995" t="b">
        <v>1</v>
      </c>
      <c r="X995" t="s">
        <v>4074</v>
      </c>
      <c r="Y995" t="b">
        <v>0</v>
      </c>
      <c r="Z995" t="s">
        <v>2053</v>
      </c>
    </row>
    <row r="996" spans="1:26" x14ac:dyDescent="0.35">
      <c r="A996" t="s">
        <v>625</v>
      </c>
      <c r="B996" t="s">
        <v>626</v>
      </c>
      <c r="C996" t="s">
        <v>3167</v>
      </c>
      <c r="D996" t="s">
        <v>1963</v>
      </c>
      <c r="E996" t="s">
        <v>2020</v>
      </c>
      <c r="F996" t="s">
        <v>2021</v>
      </c>
      <c r="G996" t="s">
        <v>2022</v>
      </c>
      <c r="H996" t="s">
        <v>2023</v>
      </c>
      <c r="I996" t="s">
        <v>3860</v>
      </c>
      <c r="J996" t="s">
        <v>1963</v>
      </c>
      <c r="K996" t="s">
        <v>4075</v>
      </c>
      <c r="L996" t="s">
        <v>2046</v>
      </c>
      <c r="M996" t="s">
        <v>2348</v>
      </c>
      <c r="N996" t="s">
        <v>2349</v>
      </c>
      <c r="O996" t="s">
        <v>2348</v>
      </c>
      <c r="P996" t="s">
        <v>2349</v>
      </c>
      <c r="Q996" t="s">
        <v>3856</v>
      </c>
      <c r="R996" t="s">
        <v>14</v>
      </c>
      <c r="S996" t="s">
        <v>3857</v>
      </c>
      <c r="T996" t="s">
        <v>3858</v>
      </c>
      <c r="U996" t="s">
        <v>2030</v>
      </c>
      <c r="V996" t="s">
        <v>14</v>
      </c>
      <c r="W996" t="b">
        <v>1</v>
      </c>
      <c r="X996" t="s">
        <v>4076</v>
      </c>
      <c r="Y996" t="b">
        <v>0</v>
      </c>
      <c r="Z996" t="s">
        <v>2053</v>
      </c>
    </row>
    <row r="997" spans="1:26" x14ac:dyDescent="0.35">
      <c r="A997" t="s">
        <v>625</v>
      </c>
      <c r="B997" t="s">
        <v>626</v>
      </c>
      <c r="C997" t="s">
        <v>3167</v>
      </c>
      <c r="D997" t="s">
        <v>1963</v>
      </c>
      <c r="E997" t="s">
        <v>2020</v>
      </c>
      <c r="F997" t="s">
        <v>2021</v>
      </c>
      <c r="G997" t="s">
        <v>2022</v>
      </c>
      <c r="H997" t="s">
        <v>2023</v>
      </c>
      <c r="I997" t="s">
        <v>60</v>
      </c>
      <c r="J997" t="s">
        <v>1963</v>
      </c>
      <c r="K997" t="s">
        <v>4075</v>
      </c>
      <c r="L997" t="s">
        <v>2046</v>
      </c>
      <c r="M997" t="s">
        <v>2348</v>
      </c>
      <c r="N997" t="s">
        <v>2349</v>
      </c>
      <c r="O997" t="s">
        <v>2348</v>
      </c>
      <c r="P997" t="s">
        <v>2349</v>
      </c>
      <c r="Q997" t="s">
        <v>3856</v>
      </c>
      <c r="R997" t="s">
        <v>14</v>
      </c>
      <c r="S997" t="s">
        <v>3857</v>
      </c>
      <c r="T997" t="s">
        <v>3858</v>
      </c>
      <c r="U997" t="s">
        <v>2030</v>
      </c>
      <c r="V997" t="s">
        <v>14</v>
      </c>
      <c r="W997" t="b">
        <v>1</v>
      </c>
      <c r="X997" t="s">
        <v>4076</v>
      </c>
      <c r="Y997" t="b">
        <v>0</v>
      </c>
      <c r="Z997" t="s">
        <v>2081</v>
      </c>
    </row>
    <row r="998" spans="1:26" x14ac:dyDescent="0.35">
      <c r="A998" t="s">
        <v>625</v>
      </c>
      <c r="B998" t="s">
        <v>626</v>
      </c>
      <c r="C998" t="s">
        <v>3167</v>
      </c>
      <c r="D998" t="s">
        <v>1963</v>
      </c>
      <c r="E998" t="s">
        <v>2020</v>
      </c>
      <c r="F998" t="s">
        <v>2021</v>
      </c>
      <c r="G998" t="s">
        <v>2022</v>
      </c>
      <c r="H998" t="s">
        <v>2023</v>
      </c>
      <c r="I998" t="s">
        <v>3854</v>
      </c>
      <c r="J998" t="s">
        <v>1963</v>
      </c>
      <c r="K998" t="s">
        <v>4075</v>
      </c>
      <c r="L998" t="s">
        <v>2046</v>
      </c>
      <c r="M998" t="s">
        <v>2348</v>
      </c>
      <c r="N998" t="s">
        <v>2349</v>
      </c>
      <c r="O998" t="s">
        <v>2348</v>
      </c>
      <c r="P998" t="s">
        <v>2349</v>
      </c>
      <c r="Q998" t="s">
        <v>3856</v>
      </c>
      <c r="R998" t="s">
        <v>14</v>
      </c>
      <c r="S998" t="s">
        <v>3857</v>
      </c>
      <c r="T998" t="s">
        <v>3858</v>
      </c>
      <c r="U998" t="s">
        <v>2030</v>
      </c>
      <c r="V998" t="s">
        <v>14</v>
      </c>
      <c r="W998" t="b">
        <v>1</v>
      </c>
      <c r="X998" t="s">
        <v>4076</v>
      </c>
      <c r="Y998" t="b">
        <v>0</v>
      </c>
      <c r="Z998" t="s">
        <v>2081</v>
      </c>
    </row>
    <row r="999" spans="1:26" x14ac:dyDescent="0.35">
      <c r="A999" t="s">
        <v>627</v>
      </c>
      <c r="B999" t="s">
        <v>14</v>
      </c>
      <c r="C999" t="s">
        <v>3167</v>
      </c>
      <c r="D999" t="s">
        <v>1963</v>
      </c>
      <c r="E999" t="s">
        <v>3072</v>
      </c>
      <c r="F999" t="s">
        <v>14</v>
      </c>
      <c r="G999" t="s">
        <v>4077</v>
      </c>
      <c r="H999" t="s">
        <v>2023</v>
      </c>
      <c r="I999" t="s">
        <v>3752</v>
      </c>
      <c r="J999" t="s">
        <v>1963</v>
      </c>
      <c r="K999" t="s">
        <v>4078</v>
      </c>
      <c r="L999" t="s">
        <v>2046</v>
      </c>
      <c r="M999" t="s">
        <v>3754</v>
      </c>
      <c r="N999" t="s">
        <v>3755</v>
      </c>
      <c r="O999" t="s">
        <v>3754</v>
      </c>
      <c r="P999" t="s">
        <v>3755</v>
      </c>
      <c r="Q999" t="s">
        <v>2077</v>
      </c>
      <c r="R999" t="s">
        <v>14</v>
      </c>
      <c r="S999" t="s">
        <v>3756</v>
      </c>
      <c r="T999" t="s">
        <v>3757</v>
      </c>
      <c r="U999" t="s">
        <v>3758</v>
      </c>
      <c r="V999" t="s">
        <v>14</v>
      </c>
      <c r="W999" t="b">
        <v>0</v>
      </c>
      <c r="X999" t="s">
        <v>14</v>
      </c>
      <c r="Y999" t="b">
        <v>0</v>
      </c>
      <c r="Z999" t="s">
        <v>2053</v>
      </c>
    </row>
    <row r="1000" spans="1:26" x14ac:dyDescent="0.35">
      <c r="A1000" t="s">
        <v>628</v>
      </c>
      <c r="B1000" t="s">
        <v>629</v>
      </c>
      <c r="C1000" t="s">
        <v>3167</v>
      </c>
      <c r="D1000" t="s">
        <v>1963</v>
      </c>
      <c r="E1000" t="s">
        <v>3072</v>
      </c>
      <c r="F1000" t="s">
        <v>3073</v>
      </c>
      <c r="G1000" t="s">
        <v>3992</v>
      </c>
      <c r="H1000" t="s">
        <v>2023</v>
      </c>
      <c r="I1000" t="s">
        <v>3752</v>
      </c>
      <c r="J1000" t="s">
        <v>1963</v>
      </c>
      <c r="K1000" t="s">
        <v>4079</v>
      </c>
      <c r="L1000" t="s">
        <v>2046</v>
      </c>
      <c r="M1000" t="s">
        <v>3754</v>
      </c>
      <c r="N1000" t="s">
        <v>3755</v>
      </c>
      <c r="O1000" t="s">
        <v>3754</v>
      </c>
      <c r="P1000" t="s">
        <v>3755</v>
      </c>
      <c r="Q1000" t="s">
        <v>2077</v>
      </c>
      <c r="R1000" t="s">
        <v>14</v>
      </c>
      <c r="S1000" t="s">
        <v>3756</v>
      </c>
      <c r="T1000" t="s">
        <v>3757</v>
      </c>
      <c r="U1000" t="s">
        <v>3758</v>
      </c>
      <c r="V1000" t="s">
        <v>14</v>
      </c>
      <c r="W1000" t="b">
        <v>1</v>
      </c>
      <c r="X1000" t="s">
        <v>4080</v>
      </c>
      <c r="Y1000" t="b">
        <v>0</v>
      </c>
      <c r="Z1000" t="s">
        <v>2053</v>
      </c>
    </row>
    <row r="1001" spans="1:26" x14ac:dyDescent="0.35">
      <c r="A1001" t="s">
        <v>630</v>
      </c>
      <c r="B1001" t="s">
        <v>631</v>
      </c>
      <c r="C1001" t="s">
        <v>3167</v>
      </c>
      <c r="D1001" t="s">
        <v>1963</v>
      </c>
      <c r="E1001" t="s">
        <v>2020</v>
      </c>
      <c r="F1001" t="s">
        <v>2055</v>
      </c>
      <c r="G1001" t="s">
        <v>2056</v>
      </c>
      <c r="H1001" t="s">
        <v>2023</v>
      </c>
      <c r="I1001" t="s">
        <v>4081</v>
      </c>
      <c r="J1001" t="s">
        <v>1963</v>
      </c>
      <c r="K1001" t="s">
        <v>4082</v>
      </c>
      <c r="L1001" t="s">
        <v>2046</v>
      </c>
      <c r="M1001" t="s">
        <v>2338</v>
      </c>
      <c r="N1001" t="s">
        <v>2339</v>
      </c>
      <c r="O1001" t="s">
        <v>2340</v>
      </c>
      <c r="P1001" t="s">
        <v>2341</v>
      </c>
      <c r="Q1001" t="s">
        <v>14</v>
      </c>
      <c r="R1001" t="s">
        <v>14</v>
      </c>
      <c r="S1001" t="s">
        <v>2436</v>
      </c>
      <c r="T1001" t="s">
        <v>2437</v>
      </c>
      <c r="U1001" t="s">
        <v>2171</v>
      </c>
      <c r="V1001" t="s">
        <v>14</v>
      </c>
      <c r="W1001" t="b">
        <v>1</v>
      </c>
      <c r="X1001" t="s">
        <v>4083</v>
      </c>
      <c r="Y1001" t="b">
        <v>0</v>
      </c>
      <c r="Z1001" t="s">
        <v>2053</v>
      </c>
    </row>
    <row r="1002" spans="1:26" x14ac:dyDescent="0.35">
      <c r="A1002" t="s">
        <v>632</v>
      </c>
      <c r="B1002" t="s">
        <v>633</v>
      </c>
      <c r="C1002" t="s">
        <v>3167</v>
      </c>
      <c r="D1002" t="s">
        <v>1963</v>
      </c>
      <c r="E1002" t="s">
        <v>2020</v>
      </c>
      <c r="F1002" t="s">
        <v>2021</v>
      </c>
      <c r="G1002" t="s">
        <v>2022</v>
      </c>
      <c r="H1002" t="s">
        <v>2023</v>
      </c>
      <c r="I1002" t="s">
        <v>844</v>
      </c>
      <c r="J1002" t="s">
        <v>1963</v>
      </c>
      <c r="K1002" t="s">
        <v>4084</v>
      </c>
      <c r="L1002" t="s">
        <v>2046</v>
      </c>
      <c r="M1002" t="s">
        <v>3754</v>
      </c>
      <c r="N1002" t="s">
        <v>3755</v>
      </c>
      <c r="O1002" t="s">
        <v>3754</v>
      </c>
      <c r="P1002" t="s">
        <v>3755</v>
      </c>
      <c r="Q1002" t="s">
        <v>2077</v>
      </c>
      <c r="R1002" t="s">
        <v>14</v>
      </c>
      <c r="S1002" t="s">
        <v>3756</v>
      </c>
      <c r="T1002" t="s">
        <v>3757</v>
      </c>
      <c r="U1002" t="s">
        <v>3758</v>
      </c>
      <c r="V1002" t="s">
        <v>14</v>
      </c>
      <c r="W1002" t="b">
        <v>1</v>
      </c>
      <c r="X1002" t="s">
        <v>4085</v>
      </c>
      <c r="Y1002" t="b">
        <v>0</v>
      </c>
      <c r="Z1002" t="s">
        <v>2053</v>
      </c>
    </row>
    <row r="1003" spans="1:26" x14ac:dyDescent="0.35">
      <c r="A1003" t="s">
        <v>632</v>
      </c>
      <c r="B1003" t="s">
        <v>633</v>
      </c>
      <c r="C1003" t="s">
        <v>3167</v>
      </c>
      <c r="D1003" t="s">
        <v>1963</v>
      </c>
      <c r="E1003" t="s">
        <v>2020</v>
      </c>
      <c r="F1003" t="s">
        <v>2021</v>
      </c>
      <c r="G1003" t="s">
        <v>2022</v>
      </c>
      <c r="H1003" t="s">
        <v>2023</v>
      </c>
      <c r="I1003" t="s">
        <v>844</v>
      </c>
      <c r="J1003" t="s">
        <v>1963</v>
      </c>
      <c r="K1003" t="s">
        <v>4084</v>
      </c>
      <c r="L1003" t="s">
        <v>2046</v>
      </c>
      <c r="M1003" t="s">
        <v>3754</v>
      </c>
      <c r="N1003" t="s">
        <v>3755</v>
      </c>
      <c r="O1003" t="s">
        <v>3754</v>
      </c>
      <c r="P1003" t="s">
        <v>3755</v>
      </c>
      <c r="Q1003" t="s">
        <v>2077</v>
      </c>
      <c r="R1003" t="s">
        <v>14</v>
      </c>
      <c r="S1003" t="s">
        <v>3756</v>
      </c>
      <c r="T1003" t="s">
        <v>3757</v>
      </c>
      <c r="U1003" t="s">
        <v>3758</v>
      </c>
      <c r="V1003" t="s">
        <v>14</v>
      </c>
      <c r="W1003" t="b">
        <v>1</v>
      </c>
      <c r="X1003" t="s">
        <v>4085</v>
      </c>
      <c r="Y1003" t="b">
        <v>0</v>
      </c>
      <c r="Z1003" t="s">
        <v>2053</v>
      </c>
    </row>
    <row r="1004" spans="1:26" x14ac:dyDescent="0.35">
      <c r="A1004" t="s">
        <v>634</v>
      </c>
      <c r="B1004" t="s">
        <v>635</v>
      </c>
      <c r="C1004" t="s">
        <v>3167</v>
      </c>
      <c r="D1004" t="s">
        <v>1963</v>
      </c>
      <c r="E1004" t="s">
        <v>2020</v>
      </c>
      <c r="F1004" t="s">
        <v>2021</v>
      </c>
      <c r="G1004" t="s">
        <v>2022</v>
      </c>
      <c r="H1004" t="s">
        <v>2023</v>
      </c>
      <c r="I1004" t="s">
        <v>4086</v>
      </c>
      <c r="J1004" t="s">
        <v>1963</v>
      </c>
      <c r="K1004" t="s">
        <v>4087</v>
      </c>
      <c r="L1004" t="s">
        <v>2046</v>
      </c>
      <c r="M1004" t="s">
        <v>3564</v>
      </c>
      <c r="N1004" t="s">
        <v>3565</v>
      </c>
      <c r="O1004" t="s">
        <v>3536</v>
      </c>
      <c r="P1004" t="s">
        <v>3537</v>
      </c>
      <c r="Q1004" t="s">
        <v>3566</v>
      </c>
      <c r="R1004" t="s">
        <v>14</v>
      </c>
      <c r="S1004" t="s">
        <v>4088</v>
      </c>
      <c r="T1004" t="s">
        <v>4089</v>
      </c>
      <c r="U1004" t="s">
        <v>3015</v>
      </c>
      <c r="V1004" t="s">
        <v>14</v>
      </c>
      <c r="W1004" t="b">
        <v>1</v>
      </c>
      <c r="X1004" t="s">
        <v>4090</v>
      </c>
      <c r="Y1004" t="b">
        <v>0</v>
      </c>
      <c r="Z1004" t="s">
        <v>2081</v>
      </c>
    </row>
    <row r="1005" spans="1:26" x14ac:dyDescent="0.35">
      <c r="A1005" t="s">
        <v>636</v>
      </c>
      <c r="B1005" t="s">
        <v>637</v>
      </c>
      <c r="C1005" t="s">
        <v>3167</v>
      </c>
      <c r="D1005" t="s">
        <v>1963</v>
      </c>
      <c r="E1005" t="s">
        <v>2020</v>
      </c>
      <c r="F1005" t="s">
        <v>2021</v>
      </c>
      <c r="G1005" t="s">
        <v>2022</v>
      </c>
      <c r="H1005" t="s">
        <v>2023</v>
      </c>
      <c r="I1005" t="s">
        <v>4091</v>
      </c>
      <c r="J1005" t="s">
        <v>1963</v>
      </c>
      <c r="K1005" t="s">
        <v>4092</v>
      </c>
      <c r="L1005" t="s">
        <v>2046</v>
      </c>
      <c r="M1005" t="s">
        <v>4093</v>
      </c>
      <c r="N1005" t="s">
        <v>4094</v>
      </c>
      <c r="O1005" t="s">
        <v>2214</v>
      </c>
      <c r="P1005" t="s">
        <v>2215</v>
      </c>
      <c r="Q1005" t="s">
        <v>3465</v>
      </c>
      <c r="R1005" t="s">
        <v>14</v>
      </c>
      <c r="S1005" t="s">
        <v>4095</v>
      </c>
      <c r="T1005" t="s">
        <v>4096</v>
      </c>
      <c r="U1005" t="s">
        <v>2052</v>
      </c>
      <c r="V1005" t="s">
        <v>14</v>
      </c>
      <c r="W1005" t="b">
        <v>1</v>
      </c>
      <c r="X1005" t="s">
        <v>4097</v>
      </c>
      <c r="Y1005" t="b">
        <v>0</v>
      </c>
      <c r="Z1005" t="s">
        <v>2053</v>
      </c>
    </row>
    <row r="1006" spans="1:26" x14ac:dyDescent="0.35">
      <c r="A1006" t="s">
        <v>638</v>
      </c>
      <c r="B1006" t="s">
        <v>639</v>
      </c>
      <c r="C1006" t="s">
        <v>3167</v>
      </c>
      <c r="D1006" t="s">
        <v>1963</v>
      </c>
      <c r="E1006" t="s">
        <v>2020</v>
      </c>
      <c r="F1006" t="s">
        <v>2021</v>
      </c>
      <c r="G1006" t="s">
        <v>2022</v>
      </c>
      <c r="H1006" t="s">
        <v>2023</v>
      </c>
      <c r="I1006" t="s">
        <v>4091</v>
      </c>
      <c r="J1006" t="s">
        <v>1963</v>
      </c>
      <c r="K1006" t="s">
        <v>4098</v>
      </c>
      <c r="L1006" t="s">
        <v>2046</v>
      </c>
      <c r="M1006" t="s">
        <v>4093</v>
      </c>
      <c r="N1006" t="s">
        <v>4094</v>
      </c>
      <c r="O1006" t="s">
        <v>2214</v>
      </c>
      <c r="P1006" t="s">
        <v>2215</v>
      </c>
      <c r="Q1006" t="s">
        <v>3465</v>
      </c>
      <c r="R1006" t="s">
        <v>14</v>
      </c>
      <c r="S1006" t="s">
        <v>4095</v>
      </c>
      <c r="T1006" t="s">
        <v>4096</v>
      </c>
      <c r="U1006" t="s">
        <v>2052</v>
      </c>
      <c r="V1006" t="s">
        <v>14</v>
      </c>
      <c r="W1006" t="b">
        <v>1</v>
      </c>
      <c r="X1006" t="s">
        <v>4099</v>
      </c>
      <c r="Y1006" t="b">
        <v>0</v>
      </c>
      <c r="Z1006" t="s">
        <v>2053</v>
      </c>
    </row>
    <row r="1007" spans="1:26" x14ac:dyDescent="0.35">
      <c r="A1007" t="s">
        <v>640</v>
      </c>
      <c r="B1007" t="s">
        <v>641</v>
      </c>
      <c r="C1007" t="s">
        <v>3167</v>
      </c>
      <c r="D1007" t="s">
        <v>1963</v>
      </c>
      <c r="E1007" t="s">
        <v>2020</v>
      </c>
      <c r="F1007" t="s">
        <v>2055</v>
      </c>
      <c r="G1007" t="s">
        <v>2056</v>
      </c>
      <c r="H1007" t="s">
        <v>2023</v>
      </c>
      <c r="I1007" t="s">
        <v>69</v>
      </c>
      <c r="J1007" t="s">
        <v>1963</v>
      </c>
      <c r="K1007" t="s">
        <v>4100</v>
      </c>
      <c r="L1007" t="s">
        <v>2046</v>
      </c>
      <c r="M1007" t="s">
        <v>4101</v>
      </c>
      <c r="N1007" t="s">
        <v>4102</v>
      </c>
      <c r="O1007" t="s">
        <v>4103</v>
      </c>
      <c r="P1007" t="s">
        <v>4104</v>
      </c>
      <c r="Q1007" t="s">
        <v>14</v>
      </c>
      <c r="R1007" t="s">
        <v>14</v>
      </c>
      <c r="S1007" t="s">
        <v>14</v>
      </c>
      <c r="T1007" t="s">
        <v>14</v>
      </c>
      <c r="U1007" t="s">
        <v>2030</v>
      </c>
      <c r="V1007" t="s">
        <v>14</v>
      </c>
      <c r="W1007" t="b">
        <v>1</v>
      </c>
      <c r="X1007" t="s">
        <v>4105</v>
      </c>
      <c r="Y1007" t="b">
        <v>1</v>
      </c>
      <c r="Z1007" t="s">
        <v>2032</v>
      </c>
    </row>
    <row r="1008" spans="1:26" x14ac:dyDescent="0.35">
      <c r="A1008" t="s">
        <v>642</v>
      </c>
      <c r="B1008" t="s">
        <v>4106</v>
      </c>
      <c r="C1008" t="s">
        <v>3167</v>
      </c>
      <c r="D1008" t="s">
        <v>1963</v>
      </c>
      <c r="E1008" t="s">
        <v>2020</v>
      </c>
      <c r="F1008" t="s">
        <v>2055</v>
      </c>
      <c r="G1008" t="s">
        <v>2056</v>
      </c>
      <c r="H1008" t="s">
        <v>2023</v>
      </c>
      <c r="I1008" t="s">
        <v>69</v>
      </c>
      <c r="J1008" t="s">
        <v>1963</v>
      </c>
      <c r="K1008" t="s">
        <v>4107</v>
      </c>
      <c r="L1008" t="s">
        <v>2046</v>
      </c>
      <c r="M1008" t="s">
        <v>4101</v>
      </c>
      <c r="N1008" t="s">
        <v>4102</v>
      </c>
      <c r="O1008" t="s">
        <v>4103</v>
      </c>
      <c r="P1008" t="s">
        <v>4104</v>
      </c>
      <c r="Q1008" t="s">
        <v>14</v>
      </c>
      <c r="R1008" t="s">
        <v>14</v>
      </c>
      <c r="S1008" t="s">
        <v>14</v>
      </c>
      <c r="T1008" t="s">
        <v>14</v>
      </c>
      <c r="U1008" t="s">
        <v>2030</v>
      </c>
      <c r="V1008" t="s">
        <v>14</v>
      </c>
      <c r="W1008" t="b">
        <v>1</v>
      </c>
      <c r="X1008" t="s">
        <v>4108</v>
      </c>
      <c r="Y1008" t="b">
        <v>1</v>
      </c>
      <c r="Z1008" t="s">
        <v>2032</v>
      </c>
    </row>
    <row r="1009" spans="1:26" x14ac:dyDescent="0.35">
      <c r="A1009" t="s">
        <v>643</v>
      </c>
      <c r="B1009" t="s">
        <v>644</v>
      </c>
      <c r="C1009" t="s">
        <v>3167</v>
      </c>
      <c r="D1009" t="s">
        <v>1963</v>
      </c>
      <c r="E1009" t="s">
        <v>2020</v>
      </c>
      <c r="F1009" t="s">
        <v>2055</v>
      </c>
      <c r="G1009" t="s">
        <v>2056</v>
      </c>
      <c r="H1009" t="s">
        <v>2023</v>
      </c>
      <c r="I1009" t="s">
        <v>69</v>
      </c>
      <c r="J1009" t="s">
        <v>1963</v>
      </c>
      <c r="K1009" t="s">
        <v>4109</v>
      </c>
      <c r="L1009" t="s">
        <v>2046</v>
      </c>
      <c r="M1009" t="s">
        <v>4101</v>
      </c>
      <c r="N1009" t="s">
        <v>4102</v>
      </c>
      <c r="O1009" t="s">
        <v>4103</v>
      </c>
      <c r="P1009" t="s">
        <v>4104</v>
      </c>
      <c r="Q1009" t="s">
        <v>14</v>
      </c>
      <c r="R1009" t="s">
        <v>14</v>
      </c>
      <c r="S1009" t="s">
        <v>14</v>
      </c>
      <c r="T1009" t="s">
        <v>14</v>
      </c>
      <c r="U1009" t="s">
        <v>2030</v>
      </c>
      <c r="V1009" t="s">
        <v>14</v>
      </c>
      <c r="W1009" t="b">
        <v>1</v>
      </c>
      <c r="X1009" t="s">
        <v>4110</v>
      </c>
      <c r="Y1009" t="b">
        <v>1</v>
      </c>
      <c r="Z1009" t="s">
        <v>2032</v>
      </c>
    </row>
    <row r="1010" spans="1:26" x14ac:dyDescent="0.35">
      <c r="A1010" t="s">
        <v>645</v>
      </c>
      <c r="B1010" t="s">
        <v>646</v>
      </c>
      <c r="C1010" t="s">
        <v>3167</v>
      </c>
      <c r="D1010" t="s">
        <v>1963</v>
      </c>
      <c r="E1010" t="s">
        <v>2020</v>
      </c>
      <c r="F1010" t="s">
        <v>2021</v>
      </c>
      <c r="G1010" t="s">
        <v>2022</v>
      </c>
      <c r="H1010" t="s">
        <v>2023</v>
      </c>
      <c r="I1010" t="s">
        <v>4111</v>
      </c>
      <c r="J1010" t="s">
        <v>1963</v>
      </c>
      <c r="K1010" t="s">
        <v>4112</v>
      </c>
      <c r="L1010" t="s">
        <v>2046</v>
      </c>
      <c r="M1010" t="s">
        <v>4113</v>
      </c>
      <c r="N1010" t="s">
        <v>4114</v>
      </c>
      <c r="O1010" t="s">
        <v>3722</v>
      </c>
      <c r="P1010" t="s">
        <v>3723</v>
      </c>
      <c r="Q1010" t="s">
        <v>14</v>
      </c>
      <c r="R1010" t="s">
        <v>14</v>
      </c>
      <c r="S1010" t="s">
        <v>4115</v>
      </c>
      <c r="T1010" t="s">
        <v>4116</v>
      </c>
      <c r="U1010" t="s">
        <v>2233</v>
      </c>
      <c r="V1010" t="s">
        <v>14</v>
      </c>
      <c r="W1010" t="b">
        <v>1</v>
      </c>
      <c r="X1010" t="s">
        <v>4117</v>
      </c>
      <c r="Y1010" t="b">
        <v>0</v>
      </c>
      <c r="Z1010" t="s">
        <v>2032</v>
      </c>
    </row>
    <row r="1011" spans="1:26" x14ac:dyDescent="0.35">
      <c r="A1011" t="s">
        <v>645</v>
      </c>
      <c r="B1011" t="s">
        <v>646</v>
      </c>
      <c r="C1011" t="s">
        <v>3167</v>
      </c>
      <c r="D1011" t="s">
        <v>1963</v>
      </c>
      <c r="E1011" t="s">
        <v>2020</v>
      </c>
      <c r="F1011" t="s">
        <v>2021</v>
      </c>
      <c r="G1011" t="s">
        <v>2022</v>
      </c>
      <c r="H1011" t="s">
        <v>2023</v>
      </c>
      <c r="I1011" t="s">
        <v>4118</v>
      </c>
      <c r="J1011" t="s">
        <v>1963</v>
      </c>
      <c r="K1011" t="s">
        <v>4112</v>
      </c>
      <c r="L1011" t="s">
        <v>2046</v>
      </c>
      <c r="M1011" t="s">
        <v>4113</v>
      </c>
      <c r="N1011" t="s">
        <v>4114</v>
      </c>
      <c r="O1011" t="s">
        <v>3722</v>
      </c>
      <c r="P1011" t="s">
        <v>3723</v>
      </c>
      <c r="Q1011" t="s">
        <v>14</v>
      </c>
      <c r="R1011" t="s">
        <v>14</v>
      </c>
      <c r="S1011" t="s">
        <v>4119</v>
      </c>
      <c r="T1011" t="s">
        <v>4120</v>
      </c>
      <c r="U1011" t="s">
        <v>2233</v>
      </c>
      <c r="V1011" t="s">
        <v>14</v>
      </c>
      <c r="W1011" t="b">
        <v>1</v>
      </c>
      <c r="X1011" t="s">
        <v>4117</v>
      </c>
      <c r="Y1011" t="b">
        <v>0</v>
      </c>
      <c r="Z1011" t="s">
        <v>2081</v>
      </c>
    </row>
    <row r="1012" spans="1:26" x14ac:dyDescent="0.35">
      <c r="A1012" t="s">
        <v>645</v>
      </c>
      <c r="B1012" t="s">
        <v>646</v>
      </c>
      <c r="C1012" t="s">
        <v>3167</v>
      </c>
      <c r="D1012" t="s">
        <v>1963</v>
      </c>
      <c r="E1012" t="s">
        <v>2020</v>
      </c>
      <c r="F1012" t="s">
        <v>2021</v>
      </c>
      <c r="G1012" t="s">
        <v>2022</v>
      </c>
      <c r="H1012" t="s">
        <v>2023</v>
      </c>
      <c r="I1012" t="s">
        <v>4121</v>
      </c>
      <c r="J1012" t="s">
        <v>1963</v>
      </c>
      <c r="K1012" t="s">
        <v>4112</v>
      </c>
      <c r="L1012" t="s">
        <v>2046</v>
      </c>
      <c r="M1012" t="s">
        <v>4122</v>
      </c>
      <c r="N1012" t="s">
        <v>4123</v>
      </c>
      <c r="O1012" t="s">
        <v>3722</v>
      </c>
      <c r="P1012" t="s">
        <v>3723</v>
      </c>
      <c r="Q1012" t="s">
        <v>14</v>
      </c>
      <c r="R1012" t="s">
        <v>14</v>
      </c>
      <c r="S1012" t="s">
        <v>4115</v>
      </c>
      <c r="T1012" t="s">
        <v>4116</v>
      </c>
      <c r="U1012" t="s">
        <v>2233</v>
      </c>
      <c r="V1012" t="s">
        <v>14</v>
      </c>
      <c r="W1012" t="b">
        <v>1</v>
      </c>
      <c r="X1012" t="s">
        <v>4117</v>
      </c>
      <c r="Y1012" t="b">
        <v>0</v>
      </c>
      <c r="Z1012" t="s">
        <v>2081</v>
      </c>
    </row>
    <row r="1013" spans="1:26" x14ac:dyDescent="0.35">
      <c r="A1013" t="s">
        <v>645</v>
      </c>
      <c r="B1013" t="s">
        <v>646</v>
      </c>
      <c r="C1013" t="s">
        <v>3167</v>
      </c>
      <c r="D1013" t="s">
        <v>1963</v>
      </c>
      <c r="E1013" t="s">
        <v>2020</v>
      </c>
      <c r="F1013" t="s">
        <v>2021</v>
      </c>
      <c r="G1013" t="s">
        <v>2022</v>
      </c>
      <c r="H1013" t="s">
        <v>2023</v>
      </c>
      <c r="I1013" t="s">
        <v>4124</v>
      </c>
      <c r="J1013" t="s">
        <v>1963</v>
      </c>
      <c r="K1013" t="s">
        <v>4112</v>
      </c>
      <c r="L1013" t="s">
        <v>2046</v>
      </c>
      <c r="M1013" t="s">
        <v>4122</v>
      </c>
      <c r="N1013" t="s">
        <v>4123</v>
      </c>
      <c r="O1013" t="s">
        <v>3722</v>
      </c>
      <c r="P1013" t="s">
        <v>3723</v>
      </c>
      <c r="Q1013" t="s">
        <v>14</v>
      </c>
      <c r="R1013" t="s">
        <v>14</v>
      </c>
      <c r="S1013" t="s">
        <v>4125</v>
      </c>
      <c r="T1013" t="s">
        <v>4126</v>
      </c>
      <c r="U1013" t="s">
        <v>2233</v>
      </c>
      <c r="V1013" t="s">
        <v>14</v>
      </c>
      <c r="W1013" t="b">
        <v>1</v>
      </c>
      <c r="X1013" t="s">
        <v>4117</v>
      </c>
      <c r="Y1013" t="b">
        <v>0</v>
      </c>
      <c r="Z1013" t="s">
        <v>2081</v>
      </c>
    </row>
    <row r="1014" spans="1:26" x14ac:dyDescent="0.35">
      <c r="A1014" t="s">
        <v>645</v>
      </c>
      <c r="B1014" t="s">
        <v>646</v>
      </c>
      <c r="C1014" t="s">
        <v>3167</v>
      </c>
      <c r="D1014" t="s">
        <v>1963</v>
      </c>
      <c r="E1014" t="s">
        <v>2020</v>
      </c>
      <c r="F1014" t="s">
        <v>2021</v>
      </c>
      <c r="G1014" t="s">
        <v>2022</v>
      </c>
      <c r="H1014" t="s">
        <v>2023</v>
      </c>
      <c r="I1014" t="s">
        <v>4127</v>
      </c>
      <c r="J1014" t="s">
        <v>1963</v>
      </c>
      <c r="K1014" t="s">
        <v>4112</v>
      </c>
      <c r="L1014" t="s">
        <v>2046</v>
      </c>
      <c r="M1014" t="s">
        <v>4113</v>
      </c>
      <c r="N1014" t="s">
        <v>4114</v>
      </c>
      <c r="O1014" t="s">
        <v>3722</v>
      </c>
      <c r="P1014" t="s">
        <v>3723</v>
      </c>
      <c r="Q1014" t="s">
        <v>14</v>
      </c>
      <c r="R1014" t="s">
        <v>14</v>
      </c>
      <c r="S1014" t="s">
        <v>4119</v>
      </c>
      <c r="T1014" t="s">
        <v>4120</v>
      </c>
      <c r="U1014" t="s">
        <v>2233</v>
      </c>
      <c r="V1014" t="s">
        <v>14</v>
      </c>
      <c r="W1014" t="b">
        <v>1</v>
      </c>
      <c r="X1014" t="s">
        <v>4117</v>
      </c>
      <c r="Y1014" t="b">
        <v>0</v>
      </c>
      <c r="Z1014" t="s">
        <v>2081</v>
      </c>
    </row>
    <row r="1015" spans="1:26" x14ac:dyDescent="0.35">
      <c r="A1015" t="s">
        <v>645</v>
      </c>
      <c r="B1015" t="s">
        <v>646</v>
      </c>
      <c r="C1015" t="s">
        <v>3167</v>
      </c>
      <c r="D1015" t="s">
        <v>1963</v>
      </c>
      <c r="E1015" t="s">
        <v>2020</v>
      </c>
      <c r="F1015" t="s">
        <v>2021</v>
      </c>
      <c r="G1015" t="s">
        <v>2022</v>
      </c>
      <c r="H1015" t="s">
        <v>2023</v>
      </c>
      <c r="I1015" t="s">
        <v>69</v>
      </c>
      <c r="J1015" t="s">
        <v>1963</v>
      </c>
      <c r="K1015" t="s">
        <v>4112</v>
      </c>
      <c r="L1015" t="s">
        <v>2046</v>
      </c>
      <c r="M1015" t="s">
        <v>4101</v>
      </c>
      <c r="N1015" t="s">
        <v>4102</v>
      </c>
      <c r="O1015" t="s">
        <v>4103</v>
      </c>
      <c r="P1015" t="s">
        <v>4104</v>
      </c>
      <c r="Q1015" t="s">
        <v>14</v>
      </c>
      <c r="R1015" t="s">
        <v>14</v>
      </c>
      <c r="S1015" t="s">
        <v>14</v>
      </c>
      <c r="T1015" t="s">
        <v>14</v>
      </c>
      <c r="U1015" t="s">
        <v>2030</v>
      </c>
      <c r="V1015" t="s">
        <v>14</v>
      </c>
      <c r="W1015" t="b">
        <v>1</v>
      </c>
      <c r="X1015" t="s">
        <v>4117</v>
      </c>
      <c r="Y1015" t="b">
        <v>1</v>
      </c>
      <c r="Z1015" t="s">
        <v>2032</v>
      </c>
    </row>
    <row r="1016" spans="1:26" x14ac:dyDescent="0.35">
      <c r="A1016" t="s">
        <v>645</v>
      </c>
      <c r="B1016" t="s">
        <v>646</v>
      </c>
      <c r="C1016" t="s">
        <v>3167</v>
      </c>
      <c r="D1016" t="s">
        <v>1963</v>
      </c>
      <c r="E1016" t="s">
        <v>2020</v>
      </c>
      <c r="F1016" t="s">
        <v>2021</v>
      </c>
      <c r="G1016" t="s">
        <v>2022</v>
      </c>
      <c r="H1016" t="s">
        <v>2023</v>
      </c>
      <c r="I1016" t="s">
        <v>4128</v>
      </c>
      <c r="J1016" t="s">
        <v>1963</v>
      </c>
      <c r="K1016" t="s">
        <v>4112</v>
      </c>
      <c r="L1016" t="s">
        <v>2046</v>
      </c>
      <c r="M1016" t="s">
        <v>4129</v>
      </c>
      <c r="N1016" t="s">
        <v>4130</v>
      </c>
      <c r="O1016" t="s">
        <v>3722</v>
      </c>
      <c r="P1016" t="s">
        <v>3723</v>
      </c>
      <c r="Q1016" t="s">
        <v>14</v>
      </c>
      <c r="R1016" t="s">
        <v>14</v>
      </c>
      <c r="S1016" t="s">
        <v>4119</v>
      </c>
      <c r="T1016" t="s">
        <v>4120</v>
      </c>
      <c r="U1016" t="s">
        <v>2233</v>
      </c>
      <c r="V1016" t="s">
        <v>14</v>
      </c>
      <c r="W1016" t="b">
        <v>1</v>
      </c>
      <c r="X1016" t="s">
        <v>4117</v>
      </c>
      <c r="Y1016" t="b">
        <v>0</v>
      </c>
      <c r="Z1016" t="s">
        <v>2053</v>
      </c>
    </row>
    <row r="1017" spans="1:26" x14ac:dyDescent="0.35">
      <c r="A1017" t="s">
        <v>645</v>
      </c>
      <c r="B1017" t="s">
        <v>646</v>
      </c>
      <c r="C1017" t="s">
        <v>3167</v>
      </c>
      <c r="D1017" t="s">
        <v>1963</v>
      </c>
      <c r="E1017" t="s">
        <v>2020</v>
      </c>
      <c r="F1017" t="s">
        <v>2021</v>
      </c>
      <c r="G1017" t="s">
        <v>2022</v>
      </c>
      <c r="H1017" t="s">
        <v>2023</v>
      </c>
      <c r="I1017" t="s">
        <v>4131</v>
      </c>
      <c r="J1017" t="s">
        <v>1963</v>
      </c>
      <c r="K1017" t="s">
        <v>4112</v>
      </c>
      <c r="L1017" t="s">
        <v>2046</v>
      </c>
      <c r="M1017" t="s">
        <v>4122</v>
      </c>
      <c r="N1017" t="s">
        <v>4123</v>
      </c>
      <c r="O1017" t="s">
        <v>3722</v>
      </c>
      <c r="P1017" t="s">
        <v>3723</v>
      </c>
      <c r="Q1017" t="s">
        <v>14</v>
      </c>
      <c r="R1017" t="s">
        <v>14</v>
      </c>
      <c r="S1017" t="s">
        <v>4125</v>
      </c>
      <c r="T1017" t="s">
        <v>4126</v>
      </c>
      <c r="U1017" t="s">
        <v>2233</v>
      </c>
      <c r="V1017" t="s">
        <v>14</v>
      </c>
      <c r="W1017" t="b">
        <v>1</v>
      </c>
      <c r="X1017" t="s">
        <v>4117</v>
      </c>
      <c r="Y1017" t="b">
        <v>0</v>
      </c>
      <c r="Z1017" t="s">
        <v>2053</v>
      </c>
    </row>
    <row r="1018" spans="1:26" x14ac:dyDescent="0.35">
      <c r="A1018" t="s">
        <v>645</v>
      </c>
      <c r="B1018" t="s">
        <v>646</v>
      </c>
      <c r="C1018" t="s">
        <v>3167</v>
      </c>
      <c r="D1018" t="s">
        <v>1963</v>
      </c>
      <c r="E1018" t="s">
        <v>2020</v>
      </c>
      <c r="F1018" t="s">
        <v>2021</v>
      </c>
      <c r="G1018" t="s">
        <v>2022</v>
      </c>
      <c r="H1018" t="s">
        <v>2023</v>
      </c>
      <c r="I1018" t="s">
        <v>4132</v>
      </c>
      <c r="J1018" t="s">
        <v>1963</v>
      </c>
      <c r="K1018" t="s">
        <v>4112</v>
      </c>
      <c r="L1018" t="s">
        <v>2046</v>
      </c>
      <c r="M1018" t="s">
        <v>4122</v>
      </c>
      <c r="N1018" t="s">
        <v>4123</v>
      </c>
      <c r="O1018" t="s">
        <v>3722</v>
      </c>
      <c r="P1018" t="s">
        <v>3723</v>
      </c>
      <c r="Q1018" t="s">
        <v>14</v>
      </c>
      <c r="R1018" t="s">
        <v>14</v>
      </c>
      <c r="S1018" t="s">
        <v>4119</v>
      </c>
      <c r="T1018" t="s">
        <v>4120</v>
      </c>
      <c r="U1018" t="s">
        <v>2233</v>
      </c>
      <c r="V1018" t="s">
        <v>14</v>
      </c>
      <c r="W1018" t="b">
        <v>1</v>
      </c>
      <c r="X1018" t="s">
        <v>4117</v>
      </c>
      <c r="Y1018" t="b">
        <v>0</v>
      </c>
      <c r="Z1018" t="s">
        <v>2053</v>
      </c>
    </row>
    <row r="1019" spans="1:26" x14ac:dyDescent="0.35">
      <c r="A1019" t="s">
        <v>645</v>
      </c>
      <c r="B1019" t="s">
        <v>646</v>
      </c>
      <c r="C1019" t="s">
        <v>3167</v>
      </c>
      <c r="D1019" t="s">
        <v>1963</v>
      </c>
      <c r="E1019" t="s">
        <v>2020</v>
      </c>
      <c r="F1019" t="s">
        <v>2021</v>
      </c>
      <c r="G1019" t="s">
        <v>2022</v>
      </c>
      <c r="H1019" t="s">
        <v>2023</v>
      </c>
      <c r="I1019" t="s">
        <v>4133</v>
      </c>
      <c r="J1019" t="s">
        <v>1963</v>
      </c>
      <c r="K1019" t="s">
        <v>4112</v>
      </c>
      <c r="L1019" t="s">
        <v>2046</v>
      </c>
      <c r="M1019" t="s">
        <v>4122</v>
      </c>
      <c r="N1019" t="s">
        <v>4123</v>
      </c>
      <c r="O1019" t="s">
        <v>3722</v>
      </c>
      <c r="P1019" t="s">
        <v>3723</v>
      </c>
      <c r="Q1019" t="s">
        <v>14</v>
      </c>
      <c r="R1019" t="s">
        <v>14</v>
      </c>
      <c r="S1019" t="s">
        <v>4115</v>
      </c>
      <c r="T1019" t="s">
        <v>4116</v>
      </c>
      <c r="U1019" t="s">
        <v>2233</v>
      </c>
      <c r="V1019" t="s">
        <v>14</v>
      </c>
      <c r="W1019" t="b">
        <v>1</v>
      </c>
      <c r="X1019" t="s">
        <v>4117</v>
      </c>
      <c r="Y1019" t="b">
        <v>0</v>
      </c>
      <c r="Z1019" t="s">
        <v>2081</v>
      </c>
    </row>
    <row r="1020" spans="1:26" x14ac:dyDescent="0.35">
      <c r="A1020" t="s">
        <v>645</v>
      </c>
      <c r="B1020" t="s">
        <v>646</v>
      </c>
      <c r="C1020" t="s">
        <v>3167</v>
      </c>
      <c r="D1020" t="s">
        <v>1963</v>
      </c>
      <c r="E1020" t="s">
        <v>2020</v>
      </c>
      <c r="F1020" t="s">
        <v>2021</v>
      </c>
      <c r="G1020" t="s">
        <v>2022</v>
      </c>
      <c r="H1020" t="s">
        <v>2023</v>
      </c>
      <c r="I1020" t="s">
        <v>4134</v>
      </c>
      <c r="J1020" t="s">
        <v>1963</v>
      </c>
      <c r="K1020" t="s">
        <v>4112</v>
      </c>
      <c r="L1020" t="s">
        <v>2046</v>
      </c>
      <c r="M1020" t="s">
        <v>4122</v>
      </c>
      <c r="N1020" t="s">
        <v>4123</v>
      </c>
      <c r="O1020" t="s">
        <v>3722</v>
      </c>
      <c r="P1020" t="s">
        <v>3723</v>
      </c>
      <c r="Q1020" t="s">
        <v>14</v>
      </c>
      <c r="R1020" t="s">
        <v>14</v>
      </c>
      <c r="S1020" t="s">
        <v>4115</v>
      </c>
      <c r="T1020" t="s">
        <v>4116</v>
      </c>
      <c r="U1020" t="s">
        <v>2233</v>
      </c>
      <c r="V1020" t="s">
        <v>14</v>
      </c>
      <c r="W1020" t="b">
        <v>1</v>
      </c>
      <c r="X1020" t="s">
        <v>4117</v>
      </c>
      <c r="Y1020" t="b">
        <v>0</v>
      </c>
      <c r="Z1020" t="s">
        <v>2081</v>
      </c>
    </row>
    <row r="1021" spans="1:26" x14ac:dyDescent="0.35">
      <c r="A1021" t="s">
        <v>645</v>
      </c>
      <c r="B1021" t="s">
        <v>646</v>
      </c>
      <c r="C1021" t="s">
        <v>3167</v>
      </c>
      <c r="D1021" t="s">
        <v>1963</v>
      </c>
      <c r="E1021" t="s">
        <v>2020</v>
      </c>
      <c r="F1021" t="s">
        <v>2021</v>
      </c>
      <c r="G1021" t="s">
        <v>2022</v>
      </c>
      <c r="H1021" t="s">
        <v>2023</v>
      </c>
      <c r="I1021" t="s">
        <v>4135</v>
      </c>
      <c r="J1021" t="s">
        <v>1963</v>
      </c>
      <c r="K1021" t="s">
        <v>4112</v>
      </c>
      <c r="L1021" t="s">
        <v>2046</v>
      </c>
      <c r="M1021" t="s">
        <v>4122</v>
      </c>
      <c r="N1021" t="s">
        <v>4123</v>
      </c>
      <c r="O1021" t="s">
        <v>3722</v>
      </c>
      <c r="P1021" t="s">
        <v>3723</v>
      </c>
      <c r="Q1021" t="s">
        <v>14</v>
      </c>
      <c r="R1021" t="s">
        <v>14</v>
      </c>
      <c r="S1021" t="s">
        <v>4119</v>
      </c>
      <c r="T1021" t="s">
        <v>4120</v>
      </c>
      <c r="U1021" t="s">
        <v>2233</v>
      </c>
      <c r="V1021" t="s">
        <v>14</v>
      </c>
      <c r="W1021" t="b">
        <v>1</v>
      </c>
      <c r="X1021" t="s">
        <v>4117</v>
      </c>
      <c r="Y1021" t="b">
        <v>0</v>
      </c>
      <c r="Z1021" t="s">
        <v>2053</v>
      </c>
    </row>
    <row r="1022" spans="1:26" x14ac:dyDescent="0.35">
      <c r="A1022" t="s">
        <v>645</v>
      </c>
      <c r="B1022" t="s">
        <v>646</v>
      </c>
      <c r="C1022" t="s">
        <v>3167</v>
      </c>
      <c r="D1022" t="s">
        <v>1963</v>
      </c>
      <c r="E1022" t="s">
        <v>2020</v>
      </c>
      <c r="F1022" t="s">
        <v>2021</v>
      </c>
      <c r="G1022" t="s">
        <v>2022</v>
      </c>
      <c r="H1022" t="s">
        <v>2023</v>
      </c>
      <c r="I1022" t="s">
        <v>4136</v>
      </c>
      <c r="J1022" t="s">
        <v>1963</v>
      </c>
      <c r="K1022" t="s">
        <v>4112</v>
      </c>
      <c r="L1022" t="s">
        <v>2046</v>
      </c>
      <c r="M1022" t="s">
        <v>4137</v>
      </c>
      <c r="N1022" t="s">
        <v>4138</v>
      </c>
      <c r="O1022" t="s">
        <v>3722</v>
      </c>
      <c r="P1022" t="s">
        <v>3723</v>
      </c>
      <c r="Q1022" t="s">
        <v>14</v>
      </c>
      <c r="R1022" t="s">
        <v>14</v>
      </c>
      <c r="S1022" t="s">
        <v>4139</v>
      </c>
      <c r="T1022" t="s">
        <v>4140</v>
      </c>
      <c r="U1022" t="s">
        <v>2233</v>
      </c>
      <c r="V1022" t="s">
        <v>14</v>
      </c>
      <c r="W1022" t="b">
        <v>1</v>
      </c>
      <c r="X1022" t="s">
        <v>4117</v>
      </c>
      <c r="Y1022" t="b">
        <v>0</v>
      </c>
      <c r="Z1022" t="s">
        <v>2081</v>
      </c>
    </row>
    <row r="1023" spans="1:26" x14ac:dyDescent="0.35">
      <c r="A1023" t="s">
        <v>645</v>
      </c>
      <c r="B1023" t="s">
        <v>646</v>
      </c>
      <c r="C1023" t="s">
        <v>3167</v>
      </c>
      <c r="D1023" t="s">
        <v>1963</v>
      </c>
      <c r="E1023" t="s">
        <v>2020</v>
      </c>
      <c r="F1023" t="s">
        <v>2021</v>
      </c>
      <c r="G1023" t="s">
        <v>2022</v>
      </c>
      <c r="H1023" t="s">
        <v>2023</v>
      </c>
      <c r="I1023" t="s">
        <v>4141</v>
      </c>
      <c r="J1023" t="s">
        <v>1963</v>
      </c>
      <c r="K1023" t="s">
        <v>4112</v>
      </c>
      <c r="L1023" t="s">
        <v>2046</v>
      </c>
      <c r="M1023" t="s">
        <v>4122</v>
      </c>
      <c r="N1023" t="s">
        <v>4123</v>
      </c>
      <c r="O1023" t="s">
        <v>3722</v>
      </c>
      <c r="P1023" t="s">
        <v>3723</v>
      </c>
      <c r="Q1023" t="s">
        <v>14</v>
      </c>
      <c r="R1023" t="s">
        <v>14</v>
      </c>
      <c r="S1023" t="s">
        <v>4115</v>
      </c>
      <c r="T1023" t="s">
        <v>4116</v>
      </c>
      <c r="U1023" t="s">
        <v>2233</v>
      </c>
      <c r="V1023" t="s">
        <v>14</v>
      </c>
      <c r="W1023" t="b">
        <v>1</v>
      </c>
      <c r="X1023" t="s">
        <v>4117</v>
      </c>
      <c r="Y1023" t="b">
        <v>0</v>
      </c>
      <c r="Z1023" t="s">
        <v>2032</v>
      </c>
    </row>
    <row r="1024" spans="1:26" x14ac:dyDescent="0.35">
      <c r="A1024" t="s">
        <v>645</v>
      </c>
      <c r="B1024" t="s">
        <v>646</v>
      </c>
      <c r="C1024" t="s">
        <v>3167</v>
      </c>
      <c r="D1024" t="s">
        <v>1963</v>
      </c>
      <c r="E1024" t="s">
        <v>2020</v>
      </c>
      <c r="F1024" t="s">
        <v>2021</v>
      </c>
      <c r="G1024" t="s">
        <v>2022</v>
      </c>
      <c r="H1024" t="s">
        <v>2023</v>
      </c>
      <c r="I1024" t="s">
        <v>4142</v>
      </c>
      <c r="J1024" t="s">
        <v>1963</v>
      </c>
      <c r="K1024" t="s">
        <v>4112</v>
      </c>
      <c r="L1024" t="s">
        <v>2046</v>
      </c>
      <c r="M1024" t="s">
        <v>4122</v>
      </c>
      <c r="N1024" t="s">
        <v>4123</v>
      </c>
      <c r="O1024" t="s">
        <v>3722</v>
      </c>
      <c r="P1024" t="s">
        <v>3723</v>
      </c>
      <c r="Q1024" t="s">
        <v>14</v>
      </c>
      <c r="R1024" t="s">
        <v>14</v>
      </c>
      <c r="S1024" t="s">
        <v>4125</v>
      </c>
      <c r="T1024" t="s">
        <v>4126</v>
      </c>
      <c r="U1024" t="s">
        <v>2233</v>
      </c>
      <c r="V1024" t="s">
        <v>14</v>
      </c>
      <c r="W1024" t="b">
        <v>1</v>
      </c>
      <c r="X1024" t="s">
        <v>4117</v>
      </c>
      <c r="Y1024" t="b">
        <v>0</v>
      </c>
      <c r="Z1024" t="s">
        <v>2032</v>
      </c>
    </row>
    <row r="1025" spans="1:26" x14ac:dyDescent="0.35">
      <c r="A1025" t="s">
        <v>645</v>
      </c>
      <c r="B1025" t="s">
        <v>646</v>
      </c>
      <c r="C1025" t="s">
        <v>3167</v>
      </c>
      <c r="D1025" t="s">
        <v>1963</v>
      </c>
      <c r="E1025" t="s">
        <v>2020</v>
      </c>
      <c r="F1025" t="s">
        <v>2021</v>
      </c>
      <c r="G1025" t="s">
        <v>2022</v>
      </c>
      <c r="H1025" t="s">
        <v>2023</v>
      </c>
      <c r="I1025" t="s">
        <v>4143</v>
      </c>
      <c r="J1025" t="s">
        <v>1963</v>
      </c>
      <c r="K1025" t="s">
        <v>4112</v>
      </c>
      <c r="L1025" t="s">
        <v>2046</v>
      </c>
      <c r="M1025" t="s">
        <v>4122</v>
      </c>
      <c r="N1025" t="s">
        <v>4123</v>
      </c>
      <c r="O1025" t="s">
        <v>3722</v>
      </c>
      <c r="P1025" t="s">
        <v>3723</v>
      </c>
      <c r="Q1025" t="s">
        <v>14</v>
      </c>
      <c r="R1025" t="s">
        <v>14</v>
      </c>
      <c r="S1025" t="s">
        <v>4125</v>
      </c>
      <c r="T1025" t="s">
        <v>4126</v>
      </c>
      <c r="U1025" t="s">
        <v>2233</v>
      </c>
      <c r="V1025" t="s">
        <v>14</v>
      </c>
      <c r="W1025" t="b">
        <v>1</v>
      </c>
      <c r="X1025" t="s">
        <v>4117</v>
      </c>
      <c r="Y1025" t="b">
        <v>0</v>
      </c>
      <c r="Z1025" t="s">
        <v>2081</v>
      </c>
    </row>
    <row r="1026" spans="1:26" x14ac:dyDescent="0.35">
      <c r="A1026" t="s">
        <v>645</v>
      </c>
      <c r="B1026" t="s">
        <v>646</v>
      </c>
      <c r="C1026" t="s">
        <v>3167</v>
      </c>
      <c r="D1026" t="s">
        <v>1963</v>
      </c>
      <c r="E1026" t="s">
        <v>2020</v>
      </c>
      <c r="F1026" t="s">
        <v>2021</v>
      </c>
      <c r="G1026" t="s">
        <v>2022</v>
      </c>
      <c r="H1026" t="s">
        <v>2023</v>
      </c>
      <c r="I1026" t="s">
        <v>4144</v>
      </c>
      <c r="J1026" t="s">
        <v>1963</v>
      </c>
      <c r="K1026" t="s">
        <v>4112</v>
      </c>
      <c r="L1026" t="s">
        <v>2046</v>
      </c>
      <c r="M1026" t="s">
        <v>4122</v>
      </c>
      <c r="N1026" t="s">
        <v>4123</v>
      </c>
      <c r="O1026" t="s">
        <v>3722</v>
      </c>
      <c r="P1026" t="s">
        <v>3723</v>
      </c>
      <c r="Q1026" t="s">
        <v>14</v>
      </c>
      <c r="R1026" t="s">
        <v>14</v>
      </c>
      <c r="S1026" t="s">
        <v>14</v>
      </c>
      <c r="T1026" t="s">
        <v>14</v>
      </c>
      <c r="U1026" t="s">
        <v>2233</v>
      </c>
      <c r="V1026" t="s">
        <v>14</v>
      </c>
      <c r="W1026" t="b">
        <v>1</v>
      </c>
      <c r="X1026" t="s">
        <v>4117</v>
      </c>
      <c r="Y1026" t="b">
        <v>0</v>
      </c>
      <c r="Z1026" t="s">
        <v>2032</v>
      </c>
    </row>
    <row r="1027" spans="1:26" x14ac:dyDescent="0.35">
      <c r="A1027" t="s">
        <v>647</v>
      </c>
      <c r="B1027" t="s">
        <v>4145</v>
      </c>
      <c r="C1027" t="s">
        <v>3167</v>
      </c>
      <c r="D1027" t="s">
        <v>1963</v>
      </c>
      <c r="E1027" t="s">
        <v>2020</v>
      </c>
      <c r="F1027" t="s">
        <v>2021</v>
      </c>
      <c r="G1027" t="s">
        <v>2022</v>
      </c>
      <c r="H1027" t="s">
        <v>2023</v>
      </c>
      <c r="I1027" t="s">
        <v>4124</v>
      </c>
      <c r="J1027" t="s">
        <v>1963</v>
      </c>
      <c r="K1027" t="s">
        <v>4146</v>
      </c>
      <c r="L1027" t="s">
        <v>2046</v>
      </c>
      <c r="M1027" t="s">
        <v>4122</v>
      </c>
      <c r="N1027" t="s">
        <v>4123</v>
      </c>
      <c r="O1027" t="s">
        <v>3722</v>
      </c>
      <c r="P1027" t="s">
        <v>3723</v>
      </c>
      <c r="Q1027" t="s">
        <v>14</v>
      </c>
      <c r="R1027" t="s">
        <v>14</v>
      </c>
      <c r="S1027" t="s">
        <v>4125</v>
      </c>
      <c r="T1027" t="s">
        <v>4126</v>
      </c>
      <c r="U1027" t="s">
        <v>2233</v>
      </c>
      <c r="V1027" t="s">
        <v>14</v>
      </c>
      <c r="W1027" t="b">
        <v>1</v>
      </c>
      <c r="X1027" t="s">
        <v>4147</v>
      </c>
      <c r="Y1027" t="b">
        <v>0</v>
      </c>
      <c r="Z1027" t="s">
        <v>2081</v>
      </c>
    </row>
    <row r="1028" spans="1:26" x14ac:dyDescent="0.35">
      <c r="A1028" t="s">
        <v>647</v>
      </c>
      <c r="B1028" t="s">
        <v>4145</v>
      </c>
      <c r="C1028" t="s">
        <v>3167</v>
      </c>
      <c r="D1028" t="s">
        <v>1963</v>
      </c>
      <c r="E1028" t="s">
        <v>2020</v>
      </c>
      <c r="F1028" t="s">
        <v>2021</v>
      </c>
      <c r="G1028" t="s">
        <v>2022</v>
      </c>
      <c r="H1028" t="s">
        <v>2023</v>
      </c>
      <c r="I1028" t="s">
        <v>4128</v>
      </c>
      <c r="J1028" t="s">
        <v>1963</v>
      </c>
      <c r="K1028" t="s">
        <v>4146</v>
      </c>
      <c r="L1028" t="s">
        <v>2046</v>
      </c>
      <c r="M1028" t="s">
        <v>4129</v>
      </c>
      <c r="N1028" t="s">
        <v>4130</v>
      </c>
      <c r="O1028" t="s">
        <v>3722</v>
      </c>
      <c r="P1028" t="s">
        <v>3723</v>
      </c>
      <c r="Q1028" t="s">
        <v>14</v>
      </c>
      <c r="R1028" t="s">
        <v>14</v>
      </c>
      <c r="S1028" t="s">
        <v>4119</v>
      </c>
      <c r="T1028" t="s">
        <v>4120</v>
      </c>
      <c r="U1028" t="s">
        <v>2233</v>
      </c>
      <c r="V1028" t="s">
        <v>14</v>
      </c>
      <c r="W1028" t="b">
        <v>1</v>
      </c>
      <c r="X1028" t="s">
        <v>4147</v>
      </c>
      <c r="Y1028" t="b">
        <v>0</v>
      </c>
      <c r="Z1028" t="s">
        <v>2053</v>
      </c>
    </row>
    <row r="1029" spans="1:26" x14ac:dyDescent="0.35">
      <c r="A1029" t="s">
        <v>647</v>
      </c>
      <c r="B1029" t="s">
        <v>4145</v>
      </c>
      <c r="C1029" t="s">
        <v>3167</v>
      </c>
      <c r="D1029" t="s">
        <v>1963</v>
      </c>
      <c r="E1029" t="s">
        <v>2020</v>
      </c>
      <c r="F1029" t="s">
        <v>2021</v>
      </c>
      <c r="G1029" t="s">
        <v>2022</v>
      </c>
      <c r="H1029" t="s">
        <v>2023</v>
      </c>
      <c r="I1029" t="s">
        <v>4141</v>
      </c>
      <c r="J1029" t="s">
        <v>1963</v>
      </c>
      <c r="K1029" t="s">
        <v>4146</v>
      </c>
      <c r="L1029" t="s">
        <v>2046</v>
      </c>
      <c r="M1029" t="s">
        <v>4122</v>
      </c>
      <c r="N1029" t="s">
        <v>4123</v>
      </c>
      <c r="O1029" t="s">
        <v>3722</v>
      </c>
      <c r="P1029" t="s">
        <v>3723</v>
      </c>
      <c r="Q1029" t="s">
        <v>14</v>
      </c>
      <c r="R1029" t="s">
        <v>14</v>
      </c>
      <c r="S1029" t="s">
        <v>4115</v>
      </c>
      <c r="T1029" t="s">
        <v>4116</v>
      </c>
      <c r="U1029" t="s">
        <v>2233</v>
      </c>
      <c r="V1029" t="s">
        <v>14</v>
      </c>
      <c r="W1029" t="b">
        <v>1</v>
      </c>
      <c r="X1029" t="s">
        <v>4147</v>
      </c>
      <c r="Y1029" t="b">
        <v>0</v>
      </c>
      <c r="Z1029" t="s">
        <v>2032</v>
      </c>
    </row>
    <row r="1030" spans="1:26" x14ac:dyDescent="0.35">
      <c r="A1030" t="s">
        <v>647</v>
      </c>
      <c r="B1030" t="s">
        <v>4145</v>
      </c>
      <c r="C1030" t="s">
        <v>3167</v>
      </c>
      <c r="D1030" t="s">
        <v>1963</v>
      </c>
      <c r="E1030" t="s">
        <v>2020</v>
      </c>
      <c r="F1030" t="s">
        <v>2021</v>
      </c>
      <c r="G1030" t="s">
        <v>2022</v>
      </c>
      <c r="H1030" t="s">
        <v>2023</v>
      </c>
      <c r="I1030" t="s">
        <v>4142</v>
      </c>
      <c r="J1030" t="s">
        <v>1963</v>
      </c>
      <c r="K1030" t="s">
        <v>4146</v>
      </c>
      <c r="L1030" t="s">
        <v>2046</v>
      </c>
      <c r="M1030" t="s">
        <v>4122</v>
      </c>
      <c r="N1030" t="s">
        <v>4123</v>
      </c>
      <c r="O1030" t="s">
        <v>3722</v>
      </c>
      <c r="P1030" t="s">
        <v>3723</v>
      </c>
      <c r="Q1030" t="s">
        <v>14</v>
      </c>
      <c r="R1030" t="s">
        <v>14</v>
      </c>
      <c r="S1030" t="s">
        <v>4125</v>
      </c>
      <c r="T1030" t="s">
        <v>4126</v>
      </c>
      <c r="U1030" t="s">
        <v>2233</v>
      </c>
      <c r="V1030" t="s">
        <v>14</v>
      </c>
      <c r="W1030" t="b">
        <v>1</v>
      </c>
      <c r="X1030" t="s">
        <v>4147</v>
      </c>
      <c r="Y1030" t="b">
        <v>0</v>
      </c>
      <c r="Z1030" t="s">
        <v>2032</v>
      </c>
    </row>
    <row r="1031" spans="1:26" x14ac:dyDescent="0.35">
      <c r="A1031" t="s">
        <v>647</v>
      </c>
      <c r="B1031" t="s">
        <v>4145</v>
      </c>
      <c r="C1031" t="s">
        <v>3167</v>
      </c>
      <c r="D1031" t="s">
        <v>1963</v>
      </c>
      <c r="E1031" t="s">
        <v>2020</v>
      </c>
      <c r="F1031" t="s">
        <v>2021</v>
      </c>
      <c r="G1031" t="s">
        <v>2022</v>
      </c>
      <c r="H1031" t="s">
        <v>2023</v>
      </c>
      <c r="I1031" t="s">
        <v>4143</v>
      </c>
      <c r="J1031" t="s">
        <v>1963</v>
      </c>
      <c r="K1031" t="s">
        <v>4146</v>
      </c>
      <c r="L1031" t="s">
        <v>2046</v>
      </c>
      <c r="M1031" t="s">
        <v>4122</v>
      </c>
      <c r="N1031" t="s">
        <v>4123</v>
      </c>
      <c r="O1031" t="s">
        <v>3722</v>
      </c>
      <c r="P1031" t="s">
        <v>3723</v>
      </c>
      <c r="Q1031" t="s">
        <v>14</v>
      </c>
      <c r="R1031" t="s">
        <v>14</v>
      </c>
      <c r="S1031" t="s">
        <v>4125</v>
      </c>
      <c r="T1031" t="s">
        <v>4126</v>
      </c>
      <c r="U1031" t="s">
        <v>2233</v>
      </c>
      <c r="V1031" t="s">
        <v>14</v>
      </c>
      <c r="W1031" t="b">
        <v>1</v>
      </c>
      <c r="X1031" t="s">
        <v>4147</v>
      </c>
      <c r="Y1031" t="b">
        <v>0</v>
      </c>
      <c r="Z1031" t="s">
        <v>2081</v>
      </c>
    </row>
    <row r="1032" spans="1:26" x14ac:dyDescent="0.35">
      <c r="A1032" t="s">
        <v>647</v>
      </c>
      <c r="B1032" t="s">
        <v>4145</v>
      </c>
      <c r="C1032" t="s">
        <v>3167</v>
      </c>
      <c r="D1032" t="s">
        <v>1963</v>
      </c>
      <c r="E1032" t="s">
        <v>2020</v>
      </c>
      <c r="F1032" t="s">
        <v>2021</v>
      </c>
      <c r="G1032" t="s">
        <v>2022</v>
      </c>
      <c r="H1032" t="s">
        <v>2023</v>
      </c>
      <c r="I1032" t="s">
        <v>4133</v>
      </c>
      <c r="J1032" t="s">
        <v>1963</v>
      </c>
      <c r="K1032" t="s">
        <v>4146</v>
      </c>
      <c r="L1032" t="s">
        <v>2046</v>
      </c>
      <c r="M1032" t="s">
        <v>4122</v>
      </c>
      <c r="N1032" t="s">
        <v>4123</v>
      </c>
      <c r="O1032" t="s">
        <v>3722</v>
      </c>
      <c r="P1032" t="s">
        <v>3723</v>
      </c>
      <c r="Q1032" t="s">
        <v>14</v>
      </c>
      <c r="R1032" t="s">
        <v>14</v>
      </c>
      <c r="S1032" t="s">
        <v>4115</v>
      </c>
      <c r="T1032" t="s">
        <v>4116</v>
      </c>
      <c r="U1032" t="s">
        <v>2233</v>
      </c>
      <c r="V1032" t="s">
        <v>14</v>
      </c>
      <c r="W1032" t="b">
        <v>1</v>
      </c>
      <c r="X1032" t="s">
        <v>4147</v>
      </c>
      <c r="Y1032" t="b">
        <v>0</v>
      </c>
      <c r="Z1032" t="s">
        <v>2081</v>
      </c>
    </row>
    <row r="1033" spans="1:26" x14ac:dyDescent="0.35">
      <c r="A1033" t="s">
        <v>647</v>
      </c>
      <c r="B1033" t="s">
        <v>4145</v>
      </c>
      <c r="C1033" t="s">
        <v>3167</v>
      </c>
      <c r="D1033" t="s">
        <v>1963</v>
      </c>
      <c r="E1033" t="s">
        <v>2020</v>
      </c>
      <c r="F1033" t="s">
        <v>2021</v>
      </c>
      <c r="G1033" t="s">
        <v>2022</v>
      </c>
      <c r="H1033" t="s">
        <v>2023</v>
      </c>
      <c r="I1033" t="s">
        <v>69</v>
      </c>
      <c r="J1033" t="s">
        <v>1963</v>
      </c>
      <c r="K1033" t="s">
        <v>4146</v>
      </c>
      <c r="L1033" t="s">
        <v>2046</v>
      </c>
      <c r="M1033" t="s">
        <v>4101</v>
      </c>
      <c r="N1033" t="s">
        <v>4102</v>
      </c>
      <c r="O1033" t="s">
        <v>4103</v>
      </c>
      <c r="P1033" t="s">
        <v>4104</v>
      </c>
      <c r="Q1033" t="s">
        <v>14</v>
      </c>
      <c r="R1033" t="s">
        <v>14</v>
      </c>
      <c r="S1033" t="s">
        <v>14</v>
      </c>
      <c r="T1033" t="s">
        <v>14</v>
      </c>
      <c r="U1033" t="s">
        <v>2030</v>
      </c>
      <c r="V1033" t="s">
        <v>14</v>
      </c>
      <c r="W1033" t="b">
        <v>1</v>
      </c>
      <c r="X1033" t="s">
        <v>4147</v>
      </c>
      <c r="Y1033" t="b">
        <v>1</v>
      </c>
      <c r="Z1033" t="s">
        <v>2032</v>
      </c>
    </row>
    <row r="1034" spans="1:26" x14ac:dyDescent="0.35">
      <c r="A1034" t="s">
        <v>647</v>
      </c>
      <c r="B1034" t="s">
        <v>4145</v>
      </c>
      <c r="C1034" t="s">
        <v>3167</v>
      </c>
      <c r="D1034" t="s">
        <v>1963</v>
      </c>
      <c r="E1034" t="s">
        <v>2020</v>
      </c>
      <c r="F1034" t="s">
        <v>2021</v>
      </c>
      <c r="G1034" t="s">
        <v>2022</v>
      </c>
      <c r="H1034" t="s">
        <v>2023</v>
      </c>
      <c r="I1034" t="s">
        <v>4135</v>
      </c>
      <c r="J1034" t="s">
        <v>1963</v>
      </c>
      <c r="K1034" t="s">
        <v>4146</v>
      </c>
      <c r="L1034" t="s">
        <v>2046</v>
      </c>
      <c r="M1034" t="s">
        <v>4122</v>
      </c>
      <c r="N1034" t="s">
        <v>4123</v>
      </c>
      <c r="O1034" t="s">
        <v>3722</v>
      </c>
      <c r="P1034" t="s">
        <v>3723</v>
      </c>
      <c r="Q1034" t="s">
        <v>14</v>
      </c>
      <c r="R1034" t="s">
        <v>14</v>
      </c>
      <c r="S1034" t="s">
        <v>4119</v>
      </c>
      <c r="T1034" t="s">
        <v>4120</v>
      </c>
      <c r="U1034" t="s">
        <v>2233</v>
      </c>
      <c r="V1034" t="s">
        <v>14</v>
      </c>
      <c r="W1034" t="b">
        <v>1</v>
      </c>
      <c r="X1034" t="s">
        <v>4147</v>
      </c>
      <c r="Y1034" t="b">
        <v>0</v>
      </c>
      <c r="Z1034" t="s">
        <v>2053</v>
      </c>
    </row>
    <row r="1035" spans="1:26" x14ac:dyDescent="0.35">
      <c r="A1035" t="s">
        <v>647</v>
      </c>
      <c r="B1035" t="s">
        <v>4145</v>
      </c>
      <c r="C1035" t="s">
        <v>3167</v>
      </c>
      <c r="D1035" t="s">
        <v>1963</v>
      </c>
      <c r="E1035" t="s">
        <v>2020</v>
      </c>
      <c r="F1035" t="s">
        <v>2021</v>
      </c>
      <c r="G1035" t="s">
        <v>2022</v>
      </c>
      <c r="H1035" t="s">
        <v>2023</v>
      </c>
      <c r="I1035" t="s">
        <v>4127</v>
      </c>
      <c r="J1035" t="s">
        <v>1963</v>
      </c>
      <c r="K1035" t="s">
        <v>4146</v>
      </c>
      <c r="L1035" t="s">
        <v>2046</v>
      </c>
      <c r="M1035" t="s">
        <v>4113</v>
      </c>
      <c r="N1035" t="s">
        <v>4114</v>
      </c>
      <c r="O1035" t="s">
        <v>3722</v>
      </c>
      <c r="P1035" t="s">
        <v>3723</v>
      </c>
      <c r="Q1035" t="s">
        <v>14</v>
      </c>
      <c r="R1035" t="s">
        <v>14</v>
      </c>
      <c r="S1035" t="s">
        <v>4119</v>
      </c>
      <c r="T1035" t="s">
        <v>4120</v>
      </c>
      <c r="U1035" t="s">
        <v>2233</v>
      </c>
      <c r="V1035" t="s">
        <v>14</v>
      </c>
      <c r="W1035" t="b">
        <v>1</v>
      </c>
      <c r="X1035" t="s">
        <v>4147</v>
      </c>
      <c r="Y1035" t="b">
        <v>0</v>
      </c>
      <c r="Z1035" t="s">
        <v>2081</v>
      </c>
    </row>
    <row r="1036" spans="1:26" x14ac:dyDescent="0.35">
      <c r="A1036" t="s">
        <v>647</v>
      </c>
      <c r="B1036" t="s">
        <v>4145</v>
      </c>
      <c r="C1036" t="s">
        <v>3167</v>
      </c>
      <c r="D1036" t="s">
        <v>1963</v>
      </c>
      <c r="E1036" t="s">
        <v>2020</v>
      </c>
      <c r="F1036" t="s">
        <v>2021</v>
      </c>
      <c r="G1036" t="s">
        <v>2022</v>
      </c>
      <c r="H1036" t="s">
        <v>2023</v>
      </c>
      <c r="I1036" t="s">
        <v>4132</v>
      </c>
      <c r="J1036" t="s">
        <v>1963</v>
      </c>
      <c r="K1036" t="s">
        <v>4146</v>
      </c>
      <c r="L1036" t="s">
        <v>2046</v>
      </c>
      <c r="M1036" t="s">
        <v>4122</v>
      </c>
      <c r="N1036" t="s">
        <v>4123</v>
      </c>
      <c r="O1036" t="s">
        <v>3722</v>
      </c>
      <c r="P1036" t="s">
        <v>3723</v>
      </c>
      <c r="Q1036" t="s">
        <v>14</v>
      </c>
      <c r="R1036" t="s">
        <v>14</v>
      </c>
      <c r="S1036" t="s">
        <v>4119</v>
      </c>
      <c r="T1036" t="s">
        <v>4120</v>
      </c>
      <c r="U1036" t="s">
        <v>2233</v>
      </c>
      <c r="V1036" t="s">
        <v>14</v>
      </c>
      <c r="W1036" t="b">
        <v>1</v>
      </c>
      <c r="X1036" t="s">
        <v>4147</v>
      </c>
      <c r="Y1036" t="b">
        <v>0</v>
      </c>
      <c r="Z1036" t="s">
        <v>2053</v>
      </c>
    </row>
    <row r="1037" spans="1:26" x14ac:dyDescent="0.35">
      <c r="A1037" t="s">
        <v>647</v>
      </c>
      <c r="B1037" t="s">
        <v>4145</v>
      </c>
      <c r="C1037" t="s">
        <v>3167</v>
      </c>
      <c r="D1037" t="s">
        <v>1963</v>
      </c>
      <c r="E1037" t="s">
        <v>2020</v>
      </c>
      <c r="F1037" t="s">
        <v>2021</v>
      </c>
      <c r="G1037" t="s">
        <v>2022</v>
      </c>
      <c r="H1037" t="s">
        <v>2023</v>
      </c>
      <c r="I1037" t="s">
        <v>4136</v>
      </c>
      <c r="J1037" t="s">
        <v>1963</v>
      </c>
      <c r="K1037" t="s">
        <v>4146</v>
      </c>
      <c r="L1037" t="s">
        <v>2046</v>
      </c>
      <c r="M1037" t="s">
        <v>4137</v>
      </c>
      <c r="N1037" t="s">
        <v>4138</v>
      </c>
      <c r="O1037" t="s">
        <v>3722</v>
      </c>
      <c r="P1037" t="s">
        <v>3723</v>
      </c>
      <c r="Q1037" t="s">
        <v>14</v>
      </c>
      <c r="R1037" t="s">
        <v>14</v>
      </c>
      <c r="S1037" t="s">
        <v>4139</v>
      </c>
      <c r="T1037" t="s">
        <v>4140</v>
      </c>
      <c r="U1037" t="s">
        <v>2233</v>
      </c>
      <c r="V1037" t="s">
        <v>14</v>
      </c>
      <c r="W1037" t="b">
        <v>1</v>
      </c>
      <c r="X1037" t="s">
        <v>4147</v>
      </c>
      <c r="Y1037" t="b">
        <v>0</v>
      </c>
      <c r="Z1037" t="s">
        <v>2081</v>
      </c>
    </row>
    <row r="1038" spans="1:26" x14ac:dyDescent="0.35">
      <c r="A1038" t="s">
        <v>647</v>
      </c>
      <c r="B1038" t="s">
        <v>4145</v>
      </c>
      <c r="C1038" t="s">
        <v>3167</v>
      </c>
      <c r="D1038" t="s">
        <v>1963</v>
      </c>
      <c r="E1038" t="s">
        <v>2020</v>
      </c>
      <c r="F1038" t="s">
        <v>2021</v>
      </c>
      <c r="G1038" t="s">
        <v>2022</v>
      </c>
      <c r="H1038" t="s">
        <v>2023</v>
      </c>
      <c r="I1038" t="s">
        <v>4111</v>
      </c>
      <c r="J1038" t="s">
        <v>1963</v>
      </c>
      <c r="K1038" t="s">
        <v>4146</v>
      </c>
      <c r="L1038" t="s">
        <v>2046</v>
      </c>
      <c r="M1038" t="s">
        <v>4113</v>
      </c>
      <c r="N1038" t="s">
        <v>4114</v>
      </c>
      <c r="O1038" t="s">
        <v>3722</v>
      </c>
      <c r="P1038" t="s">
        <v>3723</v>
      </c>
      <c r="Q1038" t="s">
        <v>14</v>
      </c>
      <c r="R1038" t="s">
        <v>14</v>
      </c>
      <c r="S1038" t="s">
        <v>4115</v>
      </c>
      <c r="T1038" t="s">
        <v>4116</v>
      </c>
      <c r="U1038" t="s">
        <v>2233</v>
      </c>
      <c r="V1038" t="s">
        <v>14</v>
      </c>
      <c r="W1038" t="b">
        <v>1</v>
      </c>
      <c r="X1038" t="s">
        <v>4147</v>
      </c>
      <c r="Y1038" t="b">
        <v>0</v>
      </c>
      <c r="Z1038" t="s">
        <v>2032</v>
      </c>
    </row>
    <row r="1039" spans="1:26" x14ac:dyDescent="0.35">
      <c r="A1039" t="s">
        <v>647</v>
      </c>
      <c r="B1039" t="s">
        <v>4145</v>
      </c>
      <c r="C1039" t="s">
        <v>3167</v>
      </c>
      <c r="D1039" t="s">
        <v>1963</v>
      </c>
      <c r="E1039" t="s">
        <v>2020</v>
      </c>
      <c r="F1039" t="s">
        <v>2021</v>
      </c>
      <c r="G1039" t="s">
        <v>2022</v>
      </c>
      <c r="H1039" t="s">
        <v>2023</v>
      </c>
      <c r="I1039" t="s">
        <v>4118</v>
      </c>
      <c r="J1039" t="s">
        <v>1963</v>
      </c>
      <c r="K1039" t="s">
        <v>4146</v>
      </c>
      <c r="L1039" t="s">
        <v>2046</v>
      </c>
      <c r="M1039" t="s">
        <v>4113</v>
      </c>
      <c r="N1039" t="s">
        <v>4114</v>
      </c>
      <c r="O1039" t="s">
        <v>3722</v>
      </c>
      <c r="P1039" t="s">
        <v>3723</v>
      </c>
      <c r="Q1039" t="s">
        <v>14</v>
      </c>
      <c r="R1039" t="s">
        <v>14</v>
      </c>
      <c r="S1039" t="s">
        <v>4119</v>
      </c>
      <c r="T1039" t="s">
        <v>4120</v>
      </c>
      <c r="U1039" t="s">
        <v>2233</v>
      </c>
      <c r="V1039" t="s">
        <v>14</v>
      </c>
      <c r="W1039" t="b">
        <v>1</v>
      </c>
      <c r="X1039" t="s">
        <v>4147</v>
      </c>
      <c r="Y1039" t="b">
        <v>0</v>
      </c>
      <c r="Z1039" t="s">
        <v>2081</v>
      </c>
    </row>
    <row r="1040" spans="1:26" x14ac:dyDescent="0.35">
      <c r="A1040" t="s">
        <v>647</v>
      </c>
      <c r="B1040" t="s">
        <v>4145</v>
      </c>
      <c r="C1040" t="s">
        <v>3167</v>
      </c>
      <c r="D1040" t="s">
        <v>1963</v>
      </c>
      <c r="E1040" t="s">
        <v>2020</v>
      </c>
      <c r="F1040" t="s">
        <v>2021</v>
      </c>
      <c r="G1040" t="s">
        <v>2022</v>
      </c>
      <c r="H1040" t="s">
        <v>2023</v>
      </c>
      <c r="I1040" t="s">
        <v>4121</v>
      </c>
      <c r="J1040" t="s">
        <v>1963</v>
      </c>
      <c r="K1040" t="s">
        <v>4146</v>
      </c>
      <c r="L1040" t="s">
        <v>2046</v>
      </c>
      <c r="M1040" t="s">
        <v>4122</v>
      </c>
      <c r="N1040" t="s">
        <v>4123</v>
      </c>
      <c r="O1040" t="s">
        <v>3722</v>
      </c>
      <c r="P1040" t="s">
        <v>3723</v>
      </c>
      <c r="Q1040" t="s">
        <v>14</v>
      </c>
      <c r="R1040" t="s">
        <v>14</v>
      </c>
      <c r="S1040" t="s">
        <v>4115</v>
      </c>
      <c r="T1040" t="s">
        <v>4116</v>
      </c>
      <c r="U1040" t="s">
        <v>2233</v>
      </c>
      <c r="V1040" t="s">
        <v>14</v>
      </c>
      <c r="W1040" t="b">
        <v>1</v>
      </c>
      <c r="X1040" t="s">
        <v>4147</v>
      </c>
      <c r="Y1040" t="b">
        <v>0</v>
      </c>
      <c r="Z1040" t="s">
        <v>2081</v>
      </c>
    </row>
    <row r="1041" spans="1:26" x14ac:dyDescent="0.35">
      <c r="A1041" t="s">
        <v>647</v>
      </c>
      <c r="B1041" t="s">
        <v>4145</v>
      </c>
      <c r="C1041" t="s">
        <v>3167</v>
      </c>
      <c r="D1041" t="s">
        <v>1963</v>
      </c>
      <c r="E1041" t="s">
        <v>2020</v>
      </c>
      <c r="F1041" t="s">
        <v>2021</v>
      </c>
      <c r="G1041" t="s">
        <v>2022</v>
      </c>
      <c r="H1041" t="s">
        <v>2023</v>
      </c>
      <c r="I1041" t="s">
        <v>4134</v>
      </c>
      <c r="J1041" t="s">
        <v>1963</v>
      </c>
      <c r="K1041" t="s">
        <v>4146</v>
      </c>
      <c r="L1041" t="s">
        <v>2046</v>
      </c>
      <c r="M1041" t="s">
        <v>4122</v>
      </c>
      <c r="N1041" t="s">
        <v>4123</v>
      </c>
      <c r="O1041" t="s">
        <v>3722</v>
      </c>
      <c r="P1041" t="s">
        <v>3723</v>
      </c>
      <c r="Q1041" t="s">
        <v>14</v>
      </c>
      <c r="R1041" t="s">
        <v>14</v>
      </c>
      <c r="S1041" t="s">
        <v>4115</v>
      </c>
      <c r="T1041" t="s">
        <v>4116</v>
      </c>
      <c r="U1041" t="s">
        <v>2233</v>
      </c>
      <c r="V1041" t="s">
        <v>14</v>
      </c>
      <c r="W1041" t="b">
        <v>1</v>
      </c>
      <c r="X1041" t="s">
        <v>4147</v>
      </c>
      <c r="Y1041" t="b">
        <v>0</v>
      </c>
      <c r="Z1041" t="s">
        <v>2081</v>
      </c>
    </row>
    <row r="1042" spans="1:26" x14ac:dyDescent="0.35">
      <c r="A1042" t="s">
        <v>647</v>
      </c>
      <c r="B1042" t="s">
        <v>4145</v>
      </c>
      <c r="C1042" t="s">
        <v>3167</v>
      </c>
      <c r="D1042" t="s">
        <v>1963</v>
      </c>
      <c r="E1042" t="s">
        <v>2020</v>
      </c>
      <c r="F1042" t="s">
        <v>2021</v>
      </c>
      <c r="G1042" t="s">
        <v>2022</v>
      </c>
      <c r="H1042" t="s">
        <v>2023</v>
      </c>
      <c r="I1042" t="s">
        <v>4131</v>
      </c>
      <c r="J1042" t="s">
        <v>1963</v>
      </c>
      <c r="K1042" t="s">
        <v>4146</v>
      </c>
      <c r="L1042" t="s">
        <v>2046</v>
      </c>
      <c r="M1042" t="s">
        <v>4122</v>
      </c>
      <c r="N1042" t="s">
        <v>4123</v>
      </c>
      <c r="O1042" t="s">
        <v>3722</v>
      </c>
      <c r="P1042" t="s">
        <v>3723</v>
      </c>
      <c r="Q1042" t="s">
        <v>14</v>
      </c>
      <c r="R1042" t="s">
        <v>14</v>
      </c>
      <c r="S1042" t="s">
        <v>4125</v>
      </c>
      <c r="T1042" t="s">
        <v>4126</v>
      </c>
      <c r="U1042" t="s">
        <v>2233</v>
      </c>
      <c r="V1042" t="s">
        <v>14</v>
      </c>
      <c r="W1042" t="b">
        <v>1</v>
      </c>
      <c r="X1042" t="s">
        <v>4147</v>
      </c>
      <c r="Y1042" t="b">
        <v>0</v>
      </c>
      <c r="Z1042" t="s">
        <v>2053</v>
      </c>
    </row>
    <row r="1043" spans="1:26" x14ac:dyDescent="0.35">
      <c r="A1043" t="s">
        <v>647</v>
      </c>
      <c r="B1043" t="s">
        <v>4145</v>
      </c>
      <c r="C1043" t="s">
        <v>3167</v>
      </c>
      <c r="D1043" t="s">
        <v>1963</v>
      </c>
      <c r="E1043" t="s">
        <v>2020</v>
      </c>
      <c r="F1043" t="s">
        <v>2021</v>
      </c>
      <c r="G1043" t="s">
        <v>2022</v>
      </c>
      <c r="H1043" t="s">
        <v>2023</v>
      </c>
      <c r="I1043" t="s">
        <v>4144</v>
      </c>
      <c r="J1043" t="s">
        <v>1963</v>
      </c>
      <c r="K1043" t="s">
        <v>4146</v>
      </c>
      <c r="L1043" t="s">
        <v>2046</v>
      </c>
      <c r="M1043" t="s">
        <v>4122</v>
      </c>
      <c r="N1043" t="s">
        <v>4123</v>
      </c>
      <c r="O1043" t="s">
        <v>3722</v>
      </c>
      <c r="P1043" t="s">
        <v>3723</v>
      </c>
      <c r="Q1043" t="s">
        <v>14</v>
      </c>
      <c r="R1043" t="s">
        <v>14</v>
      </c>
      <c r="S1043" t="s">
        <v>14</v>
      </c>
      <c r="T1043" t="s">
        <v>14</v>
      </c>
      <c r="U1043" t="s">
        <v>2233</v>
      </c>
      <c r="V1043" t="s">
        <v>14</v>
      </c>
      <c r="W1043" t="b">
        <v>1</v>
      </c>
      <c r="X1043" t="s">
        <v>4147</v>
      </c>
      <c r="Y1043" t="b">
        <v>0</v>
      </c>
      <c r="Z1043" t="s">
        <v>2032</v>
      </c>
    </row>
    <row r="1044" spans="1:26" x14ac:dyDescent="0.35">
      <c r="A1044" t="s">
        <v>648</v>
      </c>
      <c r="B1044" t="s">
        <v>4148</v>
      </c>
      <c r="C1044" t="s">
        <v>3167</v>
      </c>
      <c r="D1044" t="s">
        <v>1963</v>
      </c>
      <c r="E1044" t="s">
        <v>2020</v>
      </c>
      <c r="F1044" t="s">
        <v>2021</v>
      </c>
      <c r="G1044" t="s">
        <v>2022</v>
      </c>
      <c r="H1044" t="s">
        <v>2023</v>
      </c>
      <c r="I1044" t="s">
        <v>4136</v>
      </c>
      <c r="J1044" t="s">
        <v>1963</v>
      </c>
      <c r="K1044" t="s">
        <v>4149</v>
      </c>
      <c r="L1044" t="s">
        <v>2046</v>
      </c>
      <c r="M1044" t="s">
        <v>4137</v>
      </c>
      <c r="N1044" t="s">
        <v>4138</v>
      </c>
      <c r="O1044" t="s">
        <v>3722</v>
      </c>
      <c r="P1044" t="s">
        <v>3723</v>
      </c>
      <c r="Q1044" t="s">
        <v>14</v>
      </c>
      <c r="R1044" t="s">
        <v>14</v>
      </c>
      <c r="S1044" t="s">
        <v>4139</v>
      </c>
      <c r="T1044" t="s">
        <v>4140</v>
      </c>
      <c r="U1044" t="s">
        <v>2233</v>
      </c>
      <c r="V1044" t="s">
        <v>14</v>
      </c>
      <c r="W1044" t="b">
        <v>1</v>
      </c>
      <c r="X1044" t="s">
        <v>4150</v>
      </c>
      <c r="Y1044" t="b">
        <v>0</v>
      </c>
      <c r="Z1044" t="s">
        <v>2081</v>
      </c>
    </row>
    <row r="1045" spans="1:26" x14ac:dyDescent="0.35">
      <c r="A1045" t="s">
        <v>648</v>
      </c>
      <c r="B1045" t="s">
        <v>4148</v>
      </c>
      <c r="C1045" t="s">
        <v>3167</v>
      </c>
      <c r="D1045" t="s">
        <v>1963</v>
      </c>
      <c r="E1045" t="s">
        <v>2020</v>
      </c>
      <c r="F1045" t="s">
        <v>2021</v>
      </c>
      <c r="G1045" t="s">
        <v>2022</v>
      </c>
      <c r="H1045" t="s">
        <v>2023</v>
      </c>
      <c r="I1045" t="s">
        <v>4131</v>
      </c>
      <c r="J1045" t="s">
        <v>1963</v>
      </c>
      <c r="K1045" t="s">
        <v>4149</v>
      </c>
      <c r="L1045" t="s">
        <v>2046</v>
      </c>
      <c r="M1045" t="s">
        <v>4122</v>
      </c>
      <c r="N1045" t="s">
        <v>4123</v>
      </c>
      <c r="O1045" t="s">
        <v>3722</v>
      </c>
      <c r="P1045" t="s">
        <v>3723</v>
      </c>
      <c r="Q1045" t="s">
        <v>14</v>
      </c>
      <c r="R1045" t="s">
        <v>14</v>
      </c>
      <c r="S1045" t="s">
        <v>4125</v>
      </c>
      <c r="T1045" t="s">
        <v>4126</v>
      </c>
      <c r="U1045" t="s">
        <v>2233</v>
      </c>
      <c r="V1045" t="s">
        <v>14</v>
      </c>
      <c r="W1045" t="b">
        <v>1</v>
      </c>
      <c r="X1045" t="s">
        <v>4150</v>
      </c>
      <c r="Y1045" t="b">
        <v>0</v>
      </c>
      <c r="Z1045" t="s">
        <v>2053</v>
      </c>
    </row>
    <row r="1046" spans="1:26" x14ac:dyDescent="0.35">
      <c r="A1046" t="s">
        <v>648</v>
      </c>
      <c r="B1046" t="s">
        <v>4148</v>
      </c>
      <c r="C1046" t="s">
        <v>3167</v>
      </c>
      <c r="D1046" t="s">
        <v>1963</v>
      </c>
      <c r="E1046" t="s">
        <v>2020</v>
      </c>
      <c r="F1046" t="s">
        <v>2021</v>
      </c>
      <c r="G1046" t="s">
        <v>2022</v>
      </c>
      <c r="H1046" t="s">
        <v>2023</v>
      </c>
      <c r="I1046" t="s">
        <v>4144</v>
      </c>
      <c r="J1046" t="s">
        <v>1963</v>
      </c>
      <c r="K1046" t="s">
        <v>4149</v>
      </c>
      <c r="L1046" t="s">
        <v>2046</v>
      </c>
      <c r="M1046" t="s">
        <v>4122</v>
      </c>
      <c r="N1046" t="s">
        <v>4123</v>
      </c>
      <c r="O1046" t="s">
        <v>3722</v>
      </c>
      <c r="P1046" t="s">
        <v>3723</v>
      </c>
      <c r="Q1046" t="s">
        <v>14</v>
      </c>
      <c r="R1046" t="s">
        <v>14</v>
      </c>
      <c r="S1046" t="s">
        <v>14</v>
      </c>
      <c r="T1046" t="s">
        <v>14</v>
      </c>
      <c r="U1046" t="s">
        <v>2233</v>
      </c>
      <c r="V1046" t="s">
        <v>14</v>
      </c>
      <c r="W1046" t="b">
        <v>1</v>
      </c>
      <c r="X1046" t="s">
        <v>4150</v>
      </c>
      <c r="Y1046" t="b">
        <v>0</v>
      </c>
      <c r="Z1046" t="s">
        <v>2032</v>
      </c>
    </row>
    <row r="1047" spans="1:26" x14ac:dyDescent="0.35">
      <c r="A1047" t="s">
        <v>648</v>
      </c>
      <c r="B1047" t="s">
        <v>4148</v>
      </c>
      <c r="C1047" t="s">
        <v>3167</v>
      </c>
      <c r="D1047" t="s">
        <v>1963</v>
      </c>
      <c r="E1047" t="s">
        <v>2020</v>
      </c>
      <c r="F1047" t="s">
        <v>2021</v>
      </c>
      <c r="G1047" t="s">
        <v>2022</v>
      </c>
      <c r="H1047" t="s">
        <v>2023</v>
      </c>
      <c r="I1047" t="s">
        <v>4124</v>
      </c>
      <c r="J1047" t="s">
        <v>1963</v>
      </c>
      <c r="K1047" t="s">
        <v>4149</v>
      </c>
      <c r="L1047" t="s">
        <v>2046</v>
      </c>
      <c r="M1047" t="s">
        <v>4122</v>
      </c>
      <c r="N1047" t="s">
        <v>4123</v>
      </c>
      <c r="O1047" t="s">
        <v>3722</v>
      </c>
      <c r="P1047" t="s">
        <v>3723</v>
      </c>
      <c r="Q1047" t="s">
        <v>14</v>
      </c>
      <c r="R1047" t="s">
        <v>14</v>
      </c>
      <c r="S1047" t="s">
        <v>4125</v>
      </c>
      <c r="T1047" t="s">
        <v>4126</v>
      </c>
      <c r="U1047" t="s">
        <v>2233</v>
      </c>
      <c r="V1047" t="s">
        <v>14</v>
      </c>
      <c r="W1047" t="b">
        <v>1</v>
      </c>
      <c r="X1047" t="s">
        <v>4150</v>
      </c>
      <c r="Y1047" t="b">
        <v>0</v>
      </c>
      <c r="Z1047" t="s">
        <v>2081</v>
      </c>
    </row>
    <row r="1048" spans="1:26" x14ac:dyDescent="0.35">
      <c r="A1048" t="s">
        <v>648</v>
      </c>
      <c r="B1048" t="s">
        <v>4148</v>
      </c>
      <c r="C1048" t="s">
        <v>3167</v>
      </c>
      <c r="D1048" t="s">
        <v>1963</v>
      </c>
      <c r="E1048" t="s">
        <v>2020</v>
      </c>
      <c r="F1048" t="s">
        <v>2021</v>
      </c>
      <c r="G1048" t="s">
        <v>2022</v>
      </c>
      <c r="H1048" t="s">
        <v>2023</v>
      </c>
      <c r="I1048" t="s">
        <v>4143</v>
      </c>
      <c r="J1048" t="s">
        <v>1963</v>
      </c>
      <c r="K1048" t="s">
        <v>4149</v>
      </c>
      <c r="L1048" t="s">
        <v>2046</v>
      </c>
      <c r="M1048" t="s">
        <v>4122</v>
      </c>
      <c r="N1048" t="s">
        <v>4123</v>
      </c>
      <c r="O1048" t="s">
        <v>3722</v>
      </c>
      <c r="P1048" t="s">
        <v>3723</v>
      </c>
      <c r="Q1048" t="s">
        <v>14</v>
      </c>
      <c r="R1048" t="s">
        <v>14</v>
      </c>
      <c r="S1048" t="s">
        <v>4125</v>
      </c>
      <c r="T1048" t="s">
        <v>4126</v>
      </c>
      <c r="U1048" t="s">
        <v>2233</v>
      </c>
      <c r="V1048" t="s">
        <v>14</v>
      </c>
      <c r="W1048" t="b">
        <v>1</v>
      </c>
      <c r="X1048" t="s">
        <v>4150</v>
      </c>
      <c r="Y1048" t="b">
        <v>0</v>
      </c>
      <c r="Z1048" t="s">
        <v>2081</v>
      </c>
    </row>
    <row r="1049" spans="1:26" x14ac:dyDescent="0.35">
      <c r="A1049" t="s">
        <v>648</v>
      </c>
      <c r="B1049" t="s">
        <v>4148</v>
      </c>
      <c r="C1049" t="s">
        <v>3167</v>
      </c>
      <c r="D1049" t="s">
        <v>1963</v>
      </c>
      <c r="E1049" t="s">
        <v>2020</v>
      </c>
      <c r="F1049" t="s">
        <v>2021</v>
      </c>
      <c r="G1049" t="s">
        <v>2022</v>
      </c>
      <c r="H1049" t="s">
        <v>2023</v>
      </c>
      <c r="I1049" t="s">
        <v>69</v>
      </c>
      <c r="J1049" t="s">
        <v>1963</v>
      </c>
      <c r="K1049" t="s">
        <v>4149</v>
      </c>
      <c r="L1049" t="s">
        <v>2046</v>
      </c>
      <c r="M1049" t="s">
        <v>4101</v>
      </c>
      <c r="N1049" t="s">
        <v>4102</v>
      </c>
      <c r="O1049" t="s">
        <v>4103</v>
      </c>
      <c r="P1049" t="s">
        <v>4104</v>
      </c>
      <c r="Q1049" t="s">
        <v>14</v>
      </c>
      <c r="R1049" t="s">
        <v>14</v>
      </c>
      <c r="S1049" t="s">
        <v>14</v>
      </c>
      <c r="T1049" t="s">
        <v>14</v>
      </c>
      <c r="U1049" t="s">
        <v>2030</v>
      </c>
      <c r="V1049" t="s">
        <v>14</v>
      </c>
      <c r="W1049" t="b">
        <v>1</v>
      </c>
      <c r="X1049" t="s">
        <v>4150</v>
      </c>
      <c r="Y1049" t="b">
        <v>1</v>
      </c>
      <c r="Z1049" t="s">
        <v>2032</v>
      </c>
    </row>
    <row r="1050" spans="1:26" x14ac:dyDescent="0.35">
      <c r="A1050" t="s">
        <v>648</v>
      </c>
      <c r="B1050" t="s">
        <v>4148</v>
      </c>
      <c r="C1050" t="s">
        <v>3167</v>
      </c>
      <c r="D1050" t="s">
        <v>1963</v>
      </c>
      <c r="E1050" t="s">
        <v>2020</v>
      </c>
      <c r="F1050" t="s">
        <v>2021</v>
      </c>
      <c r="G1050" t="s">
        <v>2022</v>
      </c>
      <c r="H1050" t="s">
        <v>2023</v>
      </c>
      <c r="I1050" t="s">
        <v>4134</v>
      </c>
      <c r="J1050" t="s">
        <v>1963</v>
      </c>
      <c r="K1050" t="s">
        <v>4149</v>
      </c>
      <c r="L1050" t="s">
        <v>2046</v>
      </c>
      <c r="M1050" t="s">
        <v>4122</v>
      </c>
      <c r="N1050" t="s">
        <v>4123</v>
      </c>
      <c r="O1050" t="s">
        <v>3722</v>
      </c>
      <c r="P1050" t="s">
        <v>3723</v>
      </c>
      <c r="Q1050" t="s">
        <v>14</v>
      </c>
      <c r="R1050" t="s">
        <v>14</v>
      </c>
      <c r="S1050" t="s">
        <v>4115</v>
      </c>
      <c r="T1050" t="s">
        <v>4116</v>
      </c>
      <c r="U1050" t="s">
        <v>2233</v>
      </c>
      <c r="V1050" t="s">
        <v>14</v>
      </c>
      <c r="W1050" t="b">
        <v>1</v>
      </c>
      <c r="X1050" t="s">
        <v>4150</v>
      </c>
      <c r="Y1050" t="b">
        <v>0</v>
      </c>
      <c r="Z1050" t="s">
        <v>2081</v>
      </c>
    </row>
    <row r="1051" spans="1:26" x14ac:dyDescent="0.35">
      <c r="A1051" t="s">
        <v>648</v>
      </c>
      <c r="B1051" t="s">
        <v>4148</v>
      </c>
      <c r="C1051" t="s">
        <v>3167</v>
      </c>
      <c r="D1051" t="s">
        <v>1963</v>
      </c>
      <c r="E1051" t="s">
        <v>2020</v>
      </c>
      <c r="F1051" t="s">
        <v>2021</v>
      </c>
      <c r="G1051" t="s">
        <v>2022</v>
      </c>
      <c r="H1051" t="s">
        <v>2023</v>
      </c>
      <c r="I1051" t="s">
        <v>4121</v>
      </c>
      <c r="J1051" t="s">
        <v>1963</v>
      </c>
      <c r="K1051" t="s">
        <v>4149</v>
      </c>
      <c r="L1051" t="s">
        <v>2046</v>
      </c>
      <c r="M1051" t="s">
        <v>4122</v>
      </c>
      <c r="N1051" t="s">
        <v>4123</v>
      </c>
      <c r="O1051" t="s">
        <v>3722</v>
      </c>
      <c r="P1051" t="s">
        <v>3723</v>
      </c>
      <c r="Q1051" t="s">
        <v>14</v>
      </c>
      <c r="R1051" t="s">
        <v>14</v>
      </c>
      <c r="S1051" t="s">
        <v>4115</v>
      </c>
      <c r="T1051" t="s">
        <v>4116</v>
      </c>
      <c r="U1051" t="s">
        <v>2233</v>
      </c>
      <c r="V1051" t="s">
        <v>14</v>
      </c>
      <c r="W1051" t="b">
        <v>1</v>
      </c>
      <c r="X1051" t="s">
        <v>4150</v>
      </c>
      <c r="Y1051" t="b">
        <v>0</v>
      </c>
      <c r="Z1051" t="s">
        <v>2081</v>
      </c>
    </row>
    <row r="1052" spans="1:26" x14ac:dyDescent="0.35">
      <c r="A1052" t="s">
        <v>648</v>
      </c>
      <c r="B1052" t="s">
        <v>4148</v>
      </c>
      <c r="C1052" t="s">
        <v>3167</v>
      </c>
      <c r="D1052" t="s">
        <v>1963</v>
      </c>
      <c r="E1052" t="s">
        <v>2020</v>
      </c>
      <c r="F1052" t="s">
        <v>2021</v>
      </c>
      <c r="G1052" t="s">
        <v>2022</v>
      </c>
      <c r="H1052" t="s">
        <v>2023</v>
      </c>
      <c r="I1052" t="s">
        <v>4128</v>
      </c>
      <c r="J1052" t="s">
        <v>1963</v>
      </c>
      <c r="K1052" t="s">
        <v>4149</v>
      </c>
      <c r="L1052" t="s">
        <v>2046</v>
      </c>
      <c r="M1052" t="s">
        <v>4129</v>
      </c>
      <c r="N1052" t="s">
        <v>4130</v>
      </c>
      <c r="O1052" t="s">
        <v>3722</v>
      </c>
      <c r="P1052" t="s">
        <v>3723</v>
      </c>
      <c r="Q1052" t="s">
        <v>14</v>
      </c>
      <c r="R1052" t="s">
        <v>14</v>
      </c>
      <c r="S1052" t="s">
        <v>4119</v>
      </c>
      <c r="T1052" t="s">
        <v>4120</v>
      </c>
      <c r="U1052" t="s">
        <v>2233</v>
      </c>
      <c r="V1052" t="s">
        <v>14</v>
      </c>
      <c r="W1052" t="b">
        <v>1</v>
      </c>
      <c r="X1052" t="s">
        <v>4150</v>
      </c>
      <c r="Y1052" t="b">
        <v>0</v>
      </c>
      <c r="Z1052" t="s">
        <v>2053</v>
      </c>
    </row>
    <row r="1053" spans="1:26" x14ac:dyDescent="0.35">
      <c r="A1053" t="s">
        <v>648</v>
      </c>
      <c r="B1053" t="s">
        <v>4148</v>
      </c>
      <c r="C1053" t="s">
        <v>3167</v>
      </c>
      <c r="D1053" t="s">
        <v>1963</v>
      </c>
      <c r="E1053" t="s">
        <v>2020</v>
      </c>
      <c r="F1053" t="s">
        <v>2021</v>
      </c>
      <c r="G1053" t="s">
        <v>2022</v>
      </c>
      <c r="H1053" t="s">
        <v>2023</v>
      </c>
      <c r="I1053" t="s">
        <v>4141</v>
      </c>
      <c r="J1053" t="s">
        <v>1963</v>
      </c>
      <c r="K1053" t="s">
        <v>4149</v>
      </c>
      <c r="L1053" t="s">
        <v>2046</v>
      </c>
      <c r="M1053" t="s">
        <v>4122</v>
      </c>
      <c r="N1053" t="s">
        <v>4123</v>
      </c>
      <c r="O1053" t="s">
        <v>3722</v>
      </c>
      <c r="P1053" t="s">
        <v>3723</v>
      </c>
      <c r="Q1053" t="s">
        <v>14</v>
      </c>
      <c r="R1053" t="s">
        <v>14</v>
      </c>
      <c r="S1053" t="s">
        <v>4115</v>
      </c>
      <c r="T1053" t="s">
        <v>4116</v>
      </c>
      <c r="U1053" t="s">
        <v>2233</v>
      </c>
      <c r="V1053" t="s">
        <v>14</v>
      </c>
      <c r="W1053" t="b">
        <v>1</v>
      </c>
      <c r="X1053" t="s">
        <v>4150</v>
      </c>
      <c r="Y1053" t="b">
        <v>0</v>
      </c>
      <c r="Z1053" t="s">
        <v>2032</v>
      </c>
    </row>
    <row r="1054" spans="1:26" x14ac:dyDescent="0.35">
      <c r="A1054" t="s">
        <v>648</v>
      </c>
      <c r="B1054" t="s">
        <v>4148</v>
      </c>
      <c r="C1054" t="s">
        <v>3167</v>
      </c>
      <c r="D1054" t="s">
        <v>1963</v>
      </c>
      <c r="E1054" t="s">
        <v>2020</v>
      </c>
      <c r="F1054" t="s">
        <v>2021</v>
      </c>
      <c r="G1054" t="s">
        <v>2022</v>
      </c>
      <c r="H1054" t="s">
        <v>2023</v>
      </c>
      <c r="I1054" t="s">
        <v>4142</v>
      </c>
      <c r="J1054" t="s">
        <v>1963</v>
      </c>
      <c r="K1054" t="s">
        <v>4149</v>
      </c>
      <c r="L1054" t="s">
        <v>2046</v>
      </c>
      <c r="M1054" t="s">
        <v>4122</v>
      </c>
      <c r="N1054" t="s">
        <v>4123</v>
      </c>
      <c r="O1054" t="s">
        <v>3722</v>
      </c>
      <c r="P1054" t="s">
        <v>3723</v>
      </c>
      <c r="Q1054" t="s">
        <v>14</v>
      </c>
      <c r="R1054" t="s">
        <v>14</v>
      </c>
      <c r="S1054" t="s">
        <v>4125</v>
      </c>
      <c r="T1054" t="s">
        <v>4126</v>
      </c>
      <c r="U1054" t="s">
        <v>2233</v>
      </c>
      <c r="V1054" t="s">
        <v>14</v>
      </c>
      <c r="W1054" t="b">
        <v>1</v>
      </c>
      <c r="X1054" t="s">
        <v>4150</v>
      </c>
      <c r="Y1054" t="b">
        <v>0</v>
      </c>
      <c r="Z1054" t="s">
        <v>2032</v>
      </c>
    </row>
    <row r="1055" spans="1:26" x14ac:dyDescent="0.35">
      <c r="A1055" t="s">
        <v>648</v>
      </c>
      <c r="B1055" t="s">
        <v>4148</v>
      </c>
      <c r="C1055" t="s">
        <v>3167</v>
      </c>
      <c r="D1055" t="s">
        <v>1963</v>
      </c>
      <c r="E1055" t="s">
        <v>2020</v>
      </c>
      <c r="F1055" t="s">
        <v>2021</v>
      </c>
      <c r="G1055" t="s">
        <v>2022</v>
      </c>
      <c r="H1055" t="s">
        <v>2023</v>
      </c>
      <c r="I1055" t="s">
        <v>4133</v>
      </c>
      <c r="J1055" t="s">
        <v>1963</v>
      </c>
      <c r="K1055" t="s">
        <v>4149</v>
      </c>
      <c r="L1055" t="s">
        <v>2046</v>
      </c>
      <c r="M1055" t="s">
        <v>4122</v>
      </c>
      <c r="N1055" t="s">
        <v>4123</v>
      </c>
      <c r="O1055" t="s">
        <v>3722</v>
      </c>
      <c r="P1055" t="s">
        <v>3723</v>
      </c>
      <c r="Q1055" t="s">
        <v>14</v>
      </c>
      <c r="R1055" t="s">
        <v>14</v>
      </c>
      <c r="S1055" t="s">
        <v>4115</v>
      </c>
      <c r="T1055" t="s">
        <v>4116</v>
      </c>
      <c r="U1055" t="s">
        <v>2233</v>
      </c>
      <c r="V1055" t="s">
        <v>14</v>
      </c>
      <c r="W1055" t="b">
        <v>1</v>
      </c>
      <c r="X1055" t="s">
        <v>4150</v>
      </c>
      <c r="Y1055" t="b">
        <v>0</v>
      </c>
      <c r="Z1055" t="s">
        <v>2081</v>
      </c>
    </row>
    <row r="1056" spans="1:26" x14ac:dyDescent="0.35">
      <c r="A1056" t="s">
        <v>648</v>
      </c>
      <c r="B1056" t="s">
        <v>4148</v>
      </c>
      <c r="C1056" t="s">
        <v>3167</v>
      </c>
      <c r="D1056" t="s">
        <v>1963</v>
      </c>
      <c r="E1056" t="s">
        <v>2020</v>
      </c>
      <c r="F1056" t="s">
        <v>2021</v>
      </c>
      <c r="G1056" t="s">
        <v>2022</v>
      </c>
      <c r="H1056" t="s">
        <v>2023</v>
      </c>
      <c r="I1056" t="s">
        <v>4135</v>
      </c>
      <c r="J1056" t="s">
        <v>1963</v>
      </c>
      <c r="K1056" t="s">
        <v>4149</v>
      </c>
      <c r="L1056" t="s">
        <v>2046</v>
      </c>
      <c r="M1056" t="s">
        <v>4122</v>
      </c>
      <c r="N1056" t="s">
        <v>4123</v>
      </c>
      <c r="O1056" t="s">
        <v>3722</v>
      </c>
      <c r="P1056" t="s">
        <v>3723</v>
      </c>
      <c r="Q1056" t="s">
        <v>14</v>
      </c>
      <c r="R1056" t="s">
        <v>14</v>
      </c>
      <c r="S1056" t="s">
        <v>4119</v>
      </c>
      <c r="T1056" t="s">
        <v>4120</v>
      </c>
      <c r="U1056" t="s">
        <v>2233</v>
      </c>
      <c r="V1056" t="s">
        <v>14</v>
      </c>
      <c r="W1056" t="b">
        <v>1</v>
      </c>
      <c r="X1056" t="s">
        <v>4150</v>
      </c>
      <c r="Y1056" t="b">
        <v>0</v>
      </c>
      <c r="Z1056" t="s">
        <v>2053</v>
      </c>
    </row>
    <row r="1057" spans="1:26" x14ac:dyDescent="0.35">
      <c r="A1057" t="s">
        <v>648</v>
      </c>
      <c r="B1057" t="s">
        <v>4148</v>
      </c>
      <c r="C1057" t="s">
        <v>3167</v>
      </c>
      <c r="D1057" t="s">
        <v>1963</v>
      </c>
      <c r="E1057" t="s">
        <v>2020</v>
      </c>
      <c r="F1057" t="s">
        <v>2021</v>
      </c>
      <c r="G1057" t="s">
        <v>2022</v>
      </c>
      <c r="H1057" t="s">
        <v>2023</v>
      </c>
      <c r="I1057" t="s">
        <v>4127</v>
      </c>
      <c r="J1057" t="s">
        <v>1963</v>
      </c>
      <c r="K1057" t="s">
        <v>4149</v>
      </c>
      <c r="L1057" t="s">
        <v>2046</v>
      </c>
      <c r="M1057" t="s">
        <v>4113</v>
      </c>
      <c r="N1057" t="s">
        <v>4114</v>
      </c>
      <c r="O1057" t="s">
        <v>3722</v>
      </c>
      <c r="P1057" t="s">
        <v>3723</v>
      </c>
      <c r="Q1057" t="s">
        <v>14</v>
      </c>
      <c r="R1057" t="s">
        <v>14</v>
      </c>
      <c r="S1057" t="s">
        <v>4119</v>
      </c>
      <c r="T1057" t="s">
        <v>4120</v>
      </c>
      <c r="U1057" t="s">
        <v>2233</v>
      </c>
      <c r="V1057" t="s">
        <v>14</v>
      </c>
      <c r="W1057" t="b">
        <v>1</v>
      </c>
      <c r="X1057" t="s">
        <v>4150</v>
      </c>
      <c r="Y1057" t="b">
        <v>0</v>
      </c>
      <c r="Z1057" t="s">
        <v>2081</v>
      </c>
    </row>
    <row r="1058" spans="1:26" x14ac:dyDescent="0.35">
      <c r="A1058" t="s">
        <v>648</v>
      </c>
      <c r="B1058" t="s">
        <v>4148</v>
      </c>
      <c r="C1058" t="s">
        <v>3167</v>
      </c>
      <c r="D1058" t="s">
        <v>1963</v>
      </c>
      <c r="E1058" t="s">
        <v>2020</v>
      </c>
      <c r="F1058" t="s">
        <v>2021</v>
      </c>
      <c r="G1058" t="s">
        <v>2022</v>
      </c>
      <c r="H1058" t="s">
        <v>2023</v>
      </c>
      <c r="I1058" t="s">
        <v>4111</v>
      </c>
      <c r="J1058" t="s">
        <v>1963</v>
      </c>
      <c r="K1058" t="s">
        <v>4149</v>
      </c>
      <c r="L1058" t="s">
        <v>2046</v>
      </c>
      <c r="M1058" t="s">
        <v>4113</v>
      </c>
      <c r="N1058" t="s">
        <v>4114</v>
      </c>
      <c r="O1058" t="s">
        <v>3722</v>
      </c>
      <c r="P1058" t="s">
        <v>3723</v>
      </c>
      <c r="Q1058" t="s">
        <v>14</v>
      </c>
      <c r="R1058" t="s">
        <v>14</v>
      </c>
      <c r="S1058" t="s">
        <v>4115</v>
      </c>
      <c r="T1058" t="s">
        <v>4116</v>
      </c>
      <c r="U1058" t="s">
        <v>2233</v>
      </c>
      <c r="V1058" t="s">
        <v>14</v>
      </c>
      <c r="W1058" t="b">
        <v>1</v>
      </c>
      <c r="X1058" t="s">
        <v>4150</v>
      </c>
      <c r="Y1058" t="b">
        <v>0</v>
      </c>
      <c r="Z1058" t="s">
        <v>2032</v>
      </c>
    </row>
    <row r="1059" spans="1:26" x14ac:dyDescent="0.35">
      <c r="A1059" t="s">
        <v>648</v>
      </c>
      <c r="B1059" t="s">
        <v>4148</v>
      </c>
      <c r="C1059" t="s">
        <v>3167</v>
      </c>
      <c r="D1059" t="s">
        <v>1963</v>
      </c>
      <c r="E1059" t="s">
        <v>2020</v>
      </c>
      <c r="F1059" t="s">
        <v>2021</v>
      </c>
      <c r="G1059" t="s">
        <v>2022</v>
      </c>
      <c r="H1059" t="s">
        <v>2023</v>
      </c>
      <c r="I1059" t="s">
        <v>4132</v>
      </c>
      <c r="J1059" t="s">
        <v>1963</v>
      </c>
      <c r="K1059" t="s">
        <v>4149</v>
      </c>
      <c r="L1059" t="s">
        <v>2046</v>
      </c>
      <c r="M1059" t="s">
        <v>4122</v>
      </c>
      <c r="N1059" t="s">
        <v>4123</v>
      </c>
      <c r="O1059" t="s">
        <v>3722</v>
      </c>
      <c r="P1059" t="s">
        <v>3723</v>
      </c>
      <c r="Q1059" t="s">
        <v>14</v>
      </c>
      <c r="R1059" t="s">
        <v>14</v>
      </c>
      <c r="S1059" t="s">
        <v>4119</v>
      </c>
      <c r="T1059" t="s">
        <v>4120</v>
      </c>
      <c r="U1059" t="s">
        <v>2233</v>
      </c>
      <c r="V1059" t="s">
        <v>14</v>
      </c>
      <c r="W1059" t="b">
        <v>1</v>
      </c>
      <c r="X1059" t="s">
        <v>4150</v>
      </c>
      <c r="Y1059" t="b">
        <v>0</v>
      </c>
      <c r="Z1059" t="s">
        <v>2053</v>
      </c>
    </row>
    <row r="1060" spans="1:26" x14ac:dyDescent="0.35">
      <c r="A1060" t="s">
        <v>648</v>
      </c>
      <c r="B1060" t="s">
        <v>4148</v>
      </c>
      <c r="C1060" t="s">
        <v>3167</v>
      </c>
      <c r="D1060" t="s">
        <v>1963</v>
      </c>
      <c r="E1060" t="s">
        <v>2020</v>
      </c>
      <c r="F1060" t="s">
        <v>2021</v>
      </c>
      <c r="G1060" t="s">
        <v>2022</v>
      </c>
      <c r="H1060" t="s">
        <v>2023</v>
      </c>
      <c r="I1060" t="s">
        <v>4118</v>
      </c>
      <c r="J1060" t="s">
        <v>1963</v>
      </c>
      <c r="K1060" t="s">
        <v>4149</v>
      </c>
      <c r="L1060" t="s">
        <v>2046</v>
      </c>
      <c r="M1060" t="s">
        <v>4113</v>
      </c>
      <c r="N1060" t="s">
        <v>4114</v>
      </c>
      <c r="O1060" t="s">
        <v>3722</v>
      </c>
      <c r="P1060" t="s">
        <v>3723</v>
      </c>
      <c r="Q1060" t="s">
        <v>14</v>
      </c>
      <c r="R1060" t="s">
        <v>14</v>
      </c>
      <c r="S1060" t="s">
        <v>4119</v>
      </c>
      <c r="T1060" t="s">
        <v>4120</v>
      </c>
      <c r="U1060" t="s">
        <v>2233</v>
      </c>
      <c r="V1060" t="s">
        <v>14</v>
      </c>
      <c r="W1060" t="b">
        <v>1</v>
      </c>
      <c r="X1060" t="s">
        <v>4150</v>
      </c>
      <c r="Y1060" t="b">
        <v>0</v>
      </c>
      <c r="Z1060" t="s">
        <v>2081</v>
      </c>
    </row>
    <row r="1061" spans="1:26" x14ac:dyDescent="0.35">
      <c r="A1061" t="s">
        <v>649</v>
      </c>
      <c r="B1061" t="s">
        <v>4151</v>
      </c>
      <c r="C1061" t="s">
        <v>3167</v>
      </c>
      <c r="D1061" t="s">
        <v>1963</v>
      </c>
      <c r="E1061" t="s">
        <v>2020</v>
      </c>
      <c r="F1061" t="s">
        <v>2021</v>
      </c>
      <c r="G1061" t="s">
        <v>2022</v>
      </c>
      <c r="H1061" t="s">
        <v>2023</v>
      </c>
      <c r="I1061" t="s">
        <v>4121</v>
      </c>
      <c r="J1061" t="s">
        <v>1963</v>
      </c>
      <c r="K1061" t="s">
        <v>4152</v>
      </c>
      <c r="L1061" t="s">
        <v>2046</v>
      </c>
      <c r="M1061" t="s">
        <v>4122</v>
      </c>
      <c r="N1061" t="s">
        <v>4123</v>
      </c>
      <c r="O1061" t="s">
        <v>3722</v>
      </c>
      <c r="P1061" t="s">
        <v>3723</v>
      </c>
      <c r="Q1061" t="s">
        <v>14</v>
      </c>
      <c r="R1061" t="s">
        <v>14</v>
      </c>
      <c r="S1061" t="s">
        <v>4115</v>
      </c>
      <c r="T1061" t="s">
        <v>4116</v>
      </c>
      <c r="U1061" t="s">
        <v>2233</v>
      </c>
      <c r="V1061" t="s">
        <v>14</v>
      </c>
      <c r="W1061" t="b">
        <v>1</v>
      </c>
      <c r="X1061" t="s">
        <v>4153</v>
      </c>
      <c r="Y1061" t="b">
        <v>0</v>
      </c>
      <c r="Z1061" t="s">
        <v>2081</v>
      </c>
    </row>
    <row r="1062" spans="1:26" x14ac:dyDescent="0.35">
      <c r="A1062" t="s">
        <v>649</v>
      </c>
      <c r="B1062" t="s">
        <v>4151</v>
      </c>
      <c r="C1062" t="s">
        <v>3167</v>
      </c>
      <c r="D1062" t="s">
        <v>1963</v>
      </c>
      <c r="E1062" t="s">
        <v>2020</v>
      </c>
      <c r="F1062" t="s">
        <v>2021</v>
      </c>
      <c r="G1062" t="s">
        <v>2022</v>
      </c>
      <c r="H1062" t="s">
        <v>2023</v>
      </c>
      <c r="I1062" t="s">
        <v>4128</v>
      </c>
      <c r="J1062" t="s">
        <v>1963</v>
      </c>
      <c r="K1062" t="s">
        <v>4152</v>
      </c>
      <c r="L1062" t="s">
        <v>2046</v>
      </c>
      <c r="M1062" t="s">
        <v>4129</v>
      </c>
      <c r="N1062" t="s">
        <v>4130</v>
      </c>
      <c r="O1062" t="s">
        <v>3722</v>
      </c>
      <c r="P1062" t="s">
        <v>3723</v>
      </c>
      <c r="Q1062" t="s">
        <v>14</v>
      </c>
      <c r="R1062" t="s">
        <v>14</v>
      </c>
      <c r="S1062" t="s">
        <v>4119</v>
      </c>
      <c r="T1062" t="s">
        <v>4120</v>
      </c>
      <c r="U1062" t="s">
        <v>2233</v>
      </c>
      <c r="V1062" t="s">
        <v>14</v>
      </c>
      <c r="W1062" t="b">
        <v>1</v>
      </c>
      <c r="X1062" t="s">
        <v>4153</v>
      </c>
      <c r="Y1062" t="b">
        <v>0</v>
      </c>
      <c r="Z1062" t="s">
        <v>2053</v>
      </c>
    </row>
    <row r="1063" spans="1:26" x14ac:dyDescent="0.35">
      <c r="A1063" t="s">
        <v>649</v>
      </c>
      <c r="B1063" t="s">
        <v>4151</v>
      </c>
      <c r="C1063" t="s">
        <v>3167</v>
      </c>
      <c r="D1063" t="s">
        <v>1963</v>
      </c>
      <c r="E1063" t="s">
        <v>2020</v>
      </c>
      <c r="F1063" t="s">
        <v>2021</v>
      </c>
      <c r="G1063" t="s">
        <v>2022</v>
      </c>
      <c r="H1063" t="s">
        <v>2023</v>
      </c>
      <c r="I1063" t="s">
        <v>4127</v>
      </c>
      <c r="J1063" t="s">
        <v>1963</v>
      </c>
      <c r="K1063" t="s">
        <v>4152</v>
      </c>
      <c r="L1063" t="s">
        <v>2046</v>
      </c>
      <c r="M1063" t="s">
        <v>4113</v>
      </c>
      <c r="N1063" t="s">
        <v>4114</v>
      </c>
      <c r="O1063" t="s">
        <v>3722</v>
      </c>
      <c r="P1063" t="s">
        <v>3723</v>
      </c>
      <c r="Q1063" t="s">
        <v>14</v>
      </c>
      <c r="R1063" t="s">
        <v>14</v>
      </c>
      <c r="S1063" t="s">
        <v>4119</v>
      </c>
      <c r="T1063" t="s">
        <v>4120</v>
      </c>
      <c r="U1063" t="s">
        <v>2233</v>
      </c>
      <c r="V1063" t="s">
        <v>14</v>
      </c>
      <c r="W1063" t="b">
        <v>1</v>
      </c>
      <c r="X1063" t="s">
        <v>4153</v>
      </c>
      <c r="Y1063" t="b">
        <v>0</v>
      </c>
      <c r="Z1063" t="s">
        <v>2081</v>
      </c>
    </row>
    <row r="1064" spans="1:26" x14ac:dyDescent="0.35">
      <c r="A1064" t="s">
        <v>649</v>
      </c>
      <c r="B1064" t="s">
        <v>4151</v>
      </c>
      <c r="C1064" t="s">
        <v>3167</v>
      </c>
      <c r="D1064" t="s">
        <v>1963</v>
      </c>
      <c r="E1064" t="s">
        <v>2020</v>
      </c>
      <c r="F1064" t="s">
        <v>2021</v>
      </c>
      <c r="G1064" t="s">
        <v>2022</v>
      </c>
      <c r="H1064" t="s">
        <v>2023</v>
      </c>
      <c r="I1064" t="s">
        <v>4136</v>
      </c>
      <c r="J1064" t="s">
        <v>1963</v>
      </c>
      <c r="K1064" t="s">
        <v>4152</v>
      </c>
      <c r="L1064" t="s">
        <v>2046</v>
      </c>
      <c r="M1064" t="s">
        <v>4137</v>
      </c>
      <c r="N1064" t="s">
        <v>4138</v>
      </c>
      <c r="O1064" t="s">
        <v>3722</v>
      </c>
      <c r="P1064" t="s">
        <v>3723</v>
      </c>
      <c r="Q1064" t="s">
        <v>14</v>
      </c>
      <c r="R1064" t="s">
        <v>14</v>
      </c>
      <c r="S1064" t="s">
        <v>4139</v>
      </c>
      <c r="T1064" t="s">
        <v>4140</v>
      </c>
      <c r="U1064" t="s">
        <v>2233</v>
      </c>
      <c r="V1064" t="s">
        <v>14</v>
      </c>
      <c r="W1064" t="b">
        <v>1</v>
      </c>
      <c r="X1064" t="s">
        <v>4153</v>
      </c>
      <c r="Y1064" t="b">
        <v>0</v>
      </c>
      <c r="Z1064" t="s">
        <v>2081</v>
      </c>
    </row>
    <row r="1065" spans="1:26" x14ac:dyDescent="0.35">
      <c r="A1065" t="s">
        <v>649</v>
      </c>
      <c r="B1065" t="s">
        <v>4151</v>
      </c>
      <c r="C1065" t="s">
        <v>3167</v>
      </c>
      <c r="D1065" t="s">
        <v>1963</v>
      </c>
      <c r="E1065" t="s">
        <v>2020</v>
      </c>
      <c r="F1065" t="s">
        <v>2021</v>
      </c>
      <c r="G1065" t="s">
        <v>2022</v>
      </c>
      <c r="H1065" t="s">
        <v>2023</v>
      </c>
      <c r="I1065" t="s">
        <v>4131</v>
      </c>
      <c r="J1065" t="s">
        <v>1963</v>
      </c>
      <c r="K1065" t="s">
        <v>4152</v>
      </c>
      <c r="L1065" t="s">
        <v>2046</v>
      </c>
      <c r="M1065" t="s">
        <v>4122</v>
      </c>
      <c r="N1065" t="s">
        <v>4123</v>
      </c>
      <c r="O1065" t="s">
        <v>3722</v>
      </c>
      <c r="P1065" t="s">
        <v>3723</v>
      </c>
      <c r="Q1065" t="s">
        <v>14</v>
      </c>
      <c r="R1065" t="s">
        <v>14</v>
      </c>
      <c r="S1065" t="s">
        <v>4125</v>
      </c>
      <c r="T1065" t="s">
        <v>4126</v>
      </c>
      <c r="U1065" t="s">
        <v>2233</v>
      </c>
      <c r="V1065" t="s">
        <v>14</v>
      </c>
      <c r="W1065" t="b">
        <v>1</v>
      </c>
      <c r="X1065" t="s">
        <v>4153</v>
      </c>
      <c r="Y1065" t="b">
        <v>0</v>
      </c>
      <c r="Z1065" t="s">
        <v>2053</v>
      </c>
    </row>
    <row r="1066" spans="1:26" x14ac:dyDescent="0.35">
      <c r="A1066" t="s">
        <v>649</v>
      </c>
      <c r="B1066" t="s">
        <v>4151</v>
      </c>
      <c r="C1066" t="s">
        <v>3167</v>
      </c>
      <c r="D1066" t="s">
        <v>1963</v>
      </c>
      <c r="E1066" t="s">
        <v>2020</v>
      </c>
      <c r="F1066" t="s">
        <v>2021</v>
      </c>
      <c r="G1066" t="s">
        <v>2022</v>
      </c>
      <c r="H1066" t="s">
        <v>2023</v>
      </c>
      <c r="I1066" t="s">
        <v>4141</v>
      </c>
      <c r="J1066" t="s">
        <v>1963</v>
      </c>
      <c r="K1066" t="s">
        <v>4152</v>
      </c>
      <c r="L1066" t="s">
        <v>2046</v>
      </c>
      <c r="M1066" t="s">
        <v>4122</v>
      </c>
      <c r="N1066" t="s">
        <v>4123</v>
      </c>
      <c r="O1066" t="s">
        <v>3722</v>
      </c>
      <c r="P1066" t="s">
        <v>3723</v>
      </c>
      <c r="Q1066" t="s">
        <v>14</v>
      </c>
      <c r="R1066" t="s">
        <v>14</v>
      </c>
      <c r="S1066" t="s">
        <v>4115</v>
      </c>
      <c r="T1066" t="s">
        <v>4116</v>
      </c>
      <c r="U1066" t="s">
        <v>2233</v>
      </c>
      <c r="V1066" t="s">
        <v>14</v>
      </c>
      <c r="W1066" t="b">
        <v>1</v>
      </c>
      <c r="X1066" t="s">
        <v>4153</v>
      </c>
      <c r="Y1066" t="b">
        <v>0</v>
      </c>
      <c r="Z1066" t="s">
        <v>2032</v>
      </c>
    </row>
    <row r="1067" spans="1:26" x14ac:dyDescent="0.35">
      <c r="A1067" t="s">
        <v>649</v>
      </c>
      <c r="B1067" t="s">
        <v>4151</v>
      </c>
      <c r="C1067" t="s">
        <v>3167</v>
      </c>
      <c r="D1067" t="s">
        <v>1963</v>
      </c>
      <c r="E1067" t="s">
        <v>2020</v>
      </c>
      <c r="F1067" t="s">
        <v>2021</v>
      </c>
      <c r="G1067" t="s">
        <v>2022</v>
      </c>
      <c r="H1067" t="s">
        <v>2023</v>
      </c>
      <c r="I1067" t="s">
        <v>4142</v>
      </c>
      <c r="J1067" t="s">
        <v>1963</v>
      </c>
      <c r="K1067" t="s">
        <v>4152</v>
      </c>
      <c r="L1067" t="s">
        <v>2046</v>
      </c>
      <c r="M1067" t="s">
        <v>4122</v>
      </c>
      <c r="N1067" t="s">
        <v>4123</v>
      </c>
      <c r="O1067" t="s">
        <v>3722</v>
      </c>
      <c r="P1067" t="s">
        <v>3723</v>
      </c>
      <c r="Q1067" t="s">
        <v>14</v>
      </c>
      <c r="R1067" t="s">
        <v>14</v>
      </c>
      <c r="S1067" t="s">
        <v>4125</v>
      </c>
      <c r="T1067" t="s">
        <v>4126</v>
      </c>
      <c r="U1067" t="s">
        <v>2233</v>
      </c>
      <c r="V1067" t="s">
        <v>14</v>
      </c>
      <c r="W1067" t="b">
        <v>1</v>
      </c>
      <c r="X1067" t="s">
        <v>4153</v>
      </c>
      <c r="Y1067" t="b">
        <v>0</v>
      </c>
      <c r="Z1067" t="s">
        <v>2032</v>
      </c>
    </row>
    <row r="1068" spans="1:26" x14ac:dyDescent="0.35">
      <c r="A1068" t="s">
        <v>649</v>
      </c>
      <c r="B1068" t="s">
        <v>4151</v>
      </c>
      <c r="C1068" t="s">
        <v>3167</v>
      </c>
      <c r="D1068" t="s">
        <v>1963</v>
      </c>
      <c r="E1068" t="s">
        <v>2020</v>
      </c>
      <c r="F1068" t="s">
        <v>2021</v>
      </c>
      <c r="G1068" t="s">
        <v>2022</v>
      </c>
      <c r="H1068" t="s">
        <v>2023</v>
      </c>
      <c r="I1068" t="s">
        <v>4118</v>
      </c>
      <c r="J1068" t="s">
        <v>1963</v>
      </c>
      <c r="K1068" t="s">
        <v>4152</v>
      </c>
      <c r="L1068" t="s">
        <v>2046</v>
      </c>
      <c r="M1068" t="s">
        <v>4113</v>
      </c>
      <c r="N1068" t="s">
        <v>4114</v>
      </c>
      <c r="O1068" t="s">
        <v>3722</v>
      </c>
      <c r="P1068" t="s">
        <v>3723</v>
      </c>
      <c r="Q1068" t="s">
        <v>14</v>
      </c>
      <c r="R1068" t="s">
        <v>14</v>
      </c>
      <c r="S1068" t="s">
        <v>4119</v>
      </c>
      <c r="T1068" t="s">
        <v>4120</v>
      </c>
      <c r="U1068" t="s">
        <v>2233</v>
      </c>
      <c r="V1068" t="s">
        <v>14</v>
      </c>
      <c r="W1068" t="b">
        <v>1</v>
      </c>
      <c r="X1068" t="s">
        <v>4153</v>
      </c>
      <c r="Y1068" t="b">
        <v>0</v>
      </c>
      <c r="Z1068" t="s">
        <v>2081</v>
      </c>
    </row>
    <row r="1069" spans="1:26" x14ac:dyDescent="0.35">
      <c r="A1069" t="s">
        <v>649</v>
      </c>
      <c r="B1069" t="s">
        <v>4151</v>
      </c>
      <c r="C1069" t="s">
        <v>3167</v>
      </c>
      <c r="D1069" t="s">
        <v>1963</v>
      </c>
      <c r="E1069" t="s">
        <v>2020</v>
      </c>
      <c r="F1069" t="s">
        <v>2021</v>
      </c>
      <c r="G1069" t="s">
        <v>2022</v>
      </c>
      <c r="H1069" t="s">
        <v>2023</v>
      </c>
      <c r="I1069" t="s">
        <v>4124</v>
      </c>
      <c r="J1069" t="s">
        <v>1963</v>
      </c>
      <c r="K1069" t="s">
        <v>4152</v>
      </c>
      <c r="L1069" t="s">
        <v>2046</v>
      </c>
      <c r="M1069" t="s">
        <v>4122</v>
      </c>
      <c r="N1069" t="s">
        <v>4123</v>
      </c>
      <c r="O1069" t="s">
        <v>3722</v>
      </c>
      <c r="P1069" t="s">
        <v>3723</v>
      </c>
      <c r="Q1069" t="s">
        <v>14</v>
      </c>
      <c r="R1069" t="s">
        <v>14</v>
      </c>
      <c r="S1069" t="s">
        <v>4125</v>
      </c>
      <c r="T1069" t="s">
        <v>4126</v>
      </c>
      <c r="U1069" t="s">
        <v>2233</v>
      </c>
      <c r="V1069" t="s">
        <v>14</v>
      </c>
      <c r="W1069" t="b">
        <v>1</v>
      </c>
      <c r="X1069" t="s">
        <v>4153</v>
      </c>
      <c r="Y1069" t="b">
        <v>0</v>
      </c>
      <c r="Z1069" t="s">
        <v>2081</v>
      </c>
    </row>
    <row r="1070" spans="1:26" x14ac:dyDescent="0.35">
      <c r="A1070" t="s">
        <v>649</v>
      </c>
      <c r="B1070" t="s">
        <v>4151</v>
      </c>
      <c r="C1070" t="s">
        <v>3167</v>
      </c>
      <c r="D1070" t="s">
        <v>1963</v>
      </c>
      <c r="E1070" t="s">
        <v>2020</v>
      </c>
      <c r="F1070" t="s">
        <v>2021</v>
      </c>
      <c r="G1070" t="s">
        <v>2022</v>
      </c>
      <c r="H1070" t="s">
        <v>2023</v>
      </c>
      <c r="I1070" t="s">
        <v>4132</v>
      </c>
      <c r="J1070" t="s">
        <v>1963</v>
      </c>
      <c r="K1070" t="s">
        <v>4152</v>
      </c>
      <c r="L1070" t="s">
        <v>2046</v>
      </c>
      <c r="M1070" t="s">
        <v>4122</v>
      </c>
      <c r="N1070" t="s">
        <v>4123</v>
      </c>
      <c r="O1070" t="s">
        <v>3722</v>
      </c>
      <c r="P1070" t="s">
        <v>3723</v>
      </c>
      <c r="Q1070" t="s">
        <v>14</v>
      </c>
      <c r="R1070" t="s">
        <v>14</v>
      </c>
      <c r="S1070" t="s">
        <v>4119</v>
      </c>
      <c r="T1070" t="s">
        <v>4120</v>
      </c>
      <c r="U1070" t="s">
        <v>2233</v>
      </c>
      <c r="V1070" t="s">
        <v>14</v>
      </c>
      <c r="W1070" t="b">
        <v>1</v>
      </c>
      <c r="X1070" t="s">
        <v>4153</v>
      </c>
      <c r="Y1070" t="b">
        <v>0</v>
      </c>
      <c r="Z1070" t="s">
        <v>2053</v>
      </c>
    </row>
    <row r="1071" spans="1:26" x14ac:dyDescent="0.35">
      <c r="A1071" t="s">
        <v>649</v>
      </c>
      <c r="B1071" t="s">
        <v>4151</v>
      </c>
      <c r="C1071" t="s">
        <v>3167</v>
      </c>
      <c r="D1071" t="s">
        <v>1963</v>
      </c>
      <c r="E1071" t="s">
        <v>2020</v>
      </c>
      <c r="F1071" t="s">
        <v>2021</v>
      </c>
      <c r="G1071" t="s">
        <v>2022</v>
      </c>
      <c r="H1071" t="s">
        <v>2023</v>
      </c>
      <c r="I1071" t="s">
        <v>4143</v>
      </c>
      <c r="J1071" t="s">
        <v>1963</v>
      </c>
      <c r="K1071" t="s">
        <v>4152</v>
      </c>
      <c r="L1071" t="s">
        <v>2046</v>
      </c>
      <c r="M1071" t="s">
        <v>4122</v>
      </c>
      <c r="N1071" t="s">
        <v>4123</v>
      </c>
      <c r="O1071" t="s">
        <v>3722</v>
      </c>
      <c r="P1071" t="s">
        <v>3723</v>
      </c>
      <c r="Q1071" t="s">
        <v>14</v>
      </c>
      <c r="R1071" t="s">
        <v>14</v>
      </c>
      <c r="S1071" t="s">
        <v>4125</v>
      </c>
      <c r="T1071" t="s">
        <v>4126</v>
      </c>
      <c r="U1071" t="s">
        <v>2233</v>
      </c>
      <c r="V1071" t="s">
        <v>14</v>
      </c>
      <c r="W1071" t="b">
        <v>1</v>
      </c>
      <c r="X1071" t="s">
        <v>4153</v>
      </c>
      <c r="Y1071" t="b">
        <v>0</v>
      </c>
      <c r="Z1071" t="s">
        <v>2081</v>
      </c>
    </row>
    <row r="1072" spans="1:26" x14ac:dyDescent="0.35">
      <c r="A1072" t="s">
        <v>649</v>
      </c>
      <c r="B1072" t="s">
        <v>4151</v>
      </c>
      <c r="C1072" t="s">
        <v>3167</v>
      </c>
      <c r="D1072" t="s">
        <v>1963</v>
      </c>
      <c r="E1072" t="s">
        <v>2020</v>
      </c>
      <c r="F1072" t="s">
        <v>2021</v>
      </c>
      <c r="G1072" t="s">
        <v>2022</v>
      </c>
      <c r="H1072" t="s">
        <v>2023</v>
      </c>
      <c r="I1072" t="s">
        <v>4144</v>
      </c>
      <c r="J1072" t="s">
        <v>1963</v>
      </c>
      <c r="K1072" t="s">
        <v>4152</v>
      </c>
      <c r="L1072" t="s">
        <v>2046</v>
      </c>
      <c r="M1072" t="s">
        <v>4122</v>
      </c>
      <c r="N1072" t="s">
        <v>4123</v>
      </c>
      <c r="O1072" t="s">
        <v>3722</v>
      </c>
      <c r="P1072" t="s">
        <v>3723</v>
      </c>
      <c r="Q1072" t="s">
        <v>14</v>
      </c>
      <c r="R1072" t="s">
        <v>14</v>
      </c>
      <c r="S1072" t="s">
        <v>14</v>
      </c>
      <c r="T1072" t="s">
        <v>14</v>
      </c>
      <c r="U1072" t="s">
        <v>2233</v>
      </c>
      <c r="V1072" t="s">
        <v>14</v>
      </c>
      <c r="W1072" t="b">
        <v>1</v>
      </c>
      <c r="X1072" t="s">
        <v>4153</v>
      </c>
      <c r="Y1072" t="b">
        <v>0</v>
      </c>
      <c r="Z1072" t="s">
        <v>2032</v>
      </c>
    </row>
    <row r="1073" spans="1:26" x14ac:dyDescent="0.35">
      <c r="A1073" t="s">
        <v>649</v>
      </c>
      <c r="B1073" t="s">
        <v>4151</v>
      </c>
      <c r="C1073" t="s">
        <v>3167</v>
      </c>
      <c r="D1073" t="s">
        <v>1963</v>
      </c>
      <c r="E1073" t="s">
        <v>2020</v>
      </c>
      <c r="F1073" t="s">
        <v>2021</v>
      </c>
      <c r="G1073" t="s">
        <v>2022</v>
      </c>
      <c r="H1073" t="s">
        <v>2023</v>
      </c>
      <c r="I1073" t="s">
        <v>4111</v>
      </c>
      <c r="J1073" t="s">
        <v>1963</v>
      </c>
      <c r="K1073" t="s">
        <v>4152</v>
      </c>
      <c r="L1073" t="s">
        <v>2046</v>
      </c>
      <c r="M1073" t="s">
        <v>4113</v>
      </c>
      <c r="N1073" t="s">
        <v>4114</v>
      </c>
      <c r="O1073" t="s">
        <v>3722</v>
      </c>
      <c r="P1073" t="s">
        <v>3723</v>
      </c>
      <c r="Q1073" t="s">
        <v>14</v>
      </c>
      <c r="R1073" t="s">
        <v>14</v>
      </c>
      <c r="S1073" t="s">
        <v>4115</v>
      </c>
      <c r="T1073" t="s">
        <v>4116</v>
      </c>
      <c r="U1073" t="s">
        <v>2233</v>
      </c>
      <c r="V1073" t="s">
        <v>14</v>
      </c>
      <c r="W1073" t="b">
        <v>1</v>
      </c>
      <c r="X1073" t="s">
        <v>4153</v>
      </c>
      <c r="Y1073" t="b">
        <v>0</v>
      </c>
      <c r="Z1073" t="s">
        <v>2032</v>
      </c>
    </row>
    <row r="1074" spans="1:26" x14ac:dyDescent="0.35">
      <c r="A1074" t="s">
        <v>649</v>
      </c>
      <c r="B1074" t="s">
        <v>4151</v>
      </c>
      <c r="C1074" t="s">
        <v>3167</v>
      </c>
      <c r="D1074" t="s">
        <v>1963</v>
      </c>
      <c r="E1074" t="s">
        <v>2020</v>
      </c>
      <c r="F1074" t="s">
        <v>2021</v>
      </c>
      <c r="G1074" t="s">
        <v>2022</v>
      </c>
      <c r="H1074" t="s">
        <v>2023</v>
      </c>
      <c r="I1074" t="s">
        <v>4133</v>
      </c>
      <c r="J1074" t="s">
        <v>1963</v>
      </c>
      <c r="K1074" t="s">
        <v>4152</v>
      </c>
      <c r="L1074" t="s">
        <v>2046</v>
      </c>
      <c r="M1074" t="s">
        <v>4122</v>
      </c>
      <c r="N1074" t="s">
        <v>4123</v>
      </c>
      <c r="O1074" t="s">
        <v>3722</v>
      </c>
      <c r="P1074" t="s">
        <v>3723</v>
      </c>
      <c r="Q1074" t="s">
        <v>14</v>
      </c>
      <c r="R1074" t="s">
        <v>14</v>
      </c>
      <c r="S1074" t="s">
        <v>4115</v>
      </c>
      <c r="T1074" t="s">
        <v>4116</v>
      </c>
      <c r="U1074" t="s">
        <v>2233</v>
      </c>
      <c r="V1074" t="s">
        <v>14</v>
      </c>
      <c r="W1074" t="b">
        <v>1</v>
      </c>
      <c r="X1074" t="s">
        <v>4153</v>
      </c>
      <c r="Y1074" t="b">
        <v>0</v>
      </c>
      <c r="Z1074" t="s">
        <v>2081</v>
      </c>
    </row>
    <row r="1075" spans="1:26" x14ac:dyDescent="0.35">
      <c r="A1075" t="s">
        <v>649</v>
      </c>
      <c r="B1075" t="s">
        <v>4151</v>
      </c>
      <c r="C1075" t="s">
        <v>3167</v>
      </c>
      <c r="D1075" t="s">
        <v>1963</v>
      </c>
      <c r="E1075" t="s">
        <v>2020</v>
      </c>
      <c r="F1075" t="s">
        <v>2021</v>
      </c>
      <c r="G1075" t="s">
        <v>2022</v>
      </c>
      <c r="H1075" t="s">
        <v>2023</v>
      </c>
      <c r="I1075" t="s">
        <v>69</v>
      </c>
      <c r="J1075" t="s">
        <v>1963</v>
      </c>
      <c r="K1075" t="s">
        <v>4152</v>
      </c>
      <c r="L1075" t="s">
        <v>2046</v>
      </c>
      <c r="M1075" t="s">
        <v>4101</v>
      </c>
      <c r="N1075" t="s">
        <v>4102</v>
      </c>
      <c r="O1075" t="s">
        <v>4103</v>
      </c>
      <c r="P1075" t="s">
        <v>4104</v>
      </c>
      <c r="Q1075" t="s">
        <v>14</v>
      </c>
      <c r="R1075" t="s">
        <v>14</v>
      </c>
      <c r="S1075" t="s">
        <v>14</v>
      </c>
      <c r="T1075" t="s">
        <v>14</v>
      </c>
      <c r="U1075" t="s">
        <v>2030</v>
      </c>
      <c r="V1075" t="s">
        <v>14</v>
      </c>
      <c r="W1075" t="b">
        <v>1</v>
      </c>
      <c r="X1075" t="s">
        <v>4153</v>
      </c>
      <c r="Y1075" t="b">
        <v>1</v>
      </c>
      <c r="Z1075" t="s">
        <v>2032</v>
      </c>
    </row>
    <row r="1076" spans="1:26" x14ac:dyDescent="0.35">
      <c r="A1076" t="s">
        <v>649</v>
      </c>
      <c r="B1076" t="s">
        <v>4151</v>
      </c>
      <c r="C1076" t="s">
        <v>3167</v>
      </c>
      <c r="D1076" t="s">
        <v>1963</v>
      </c>
      <c r="E1076" t="s">
        <v>2020</v>
      </c>
      <c r="F1076" t="s">
        <v>2021</v>
      </c>
      <c r="G1076" t="s">
        <v>2022</v>
      </c>
      <c r="H1076" t="s">
        <v>2023</v>
      </c>
      <c r="I1076" t="s">
        <v>4135</v>
      </c>
      <c r="J1076" t="s">
        <v>1963</v>
      </c>
      <c r="K1076" t="s">
        <v>4152</v>
      </c>
      <c r="L1076" t="s">
        <v>2046</v>
      </c>
      <c r="M1076" t="s">
        <v>4122</v>
      </c>
      <c r="N1076" t="s">
        <v>4123</v>
      </c>
      <c r="O1076" t="s">
        <v>3722</v>
      </c>
      <c r="P1076" t="s">
        <v>3723</v>
      </c>
      <c r="Q1076" t="s">
        <v>14</v>
      </c>
      <c r="R1076" t="s">
        <v>14</v>
      </c>
      <c r="S1076" t="s">
        <v>4119</v>
      </c>
      <c r="T1076" t="s">
        <v>4120</v>
      </c>
      <c r="U1076" t="s">
        <v>2233</v>
      </c>
      <c r="V1076" t="s">
        <v>14</v>
      </c>
      <c r="W1076" t="b">
        <v>1</v>
      </c>
      <c r="X1076" t="s">
        <v>4153</v>
      </c>
      <c r="Y1076" t="b">
        <v>0</v>
      </c>
      <c r="Z1076" t="s">
        <v>2053</v>
      </c>
    </row>
    <row r="1077" spans="1:26" x14ac:dyDescent="0.35">
      <c r="A1077" t="s">
        <v>649</v>
      </c>
      <c r="B1077" t="s">
        <v>4151</v>
      </c>
      <c r="C1077" t="s">
        <v>3167</v>
      </c>
      <c r="D1077" t="s">
        <v>1963</v>
      </c>
      <c r="E1077" t="s">
        <v>2020</v>
      </c>
      <c r="F1077" t="s">
        <v>2021</v>
      </c>
      <c r="G1077" t="s">
        <v>2022</v>
      </c>
      <c r="H1077" t="s">
        <v>2023</v>
      </c>
      <c r="I1077" t="s">
        <v>4134</v>
      </c>
      <c r="J1077" t="s">
        <v>1963</v>
      </c>
      <c r="K1077" t="s">
        <v>4152</v>
      </c>
      <c r="L1077" t="s">
        <v>2046</v>
      </c>
      <c r="M1077" t="s">
        <v>4122</v>
      </c>
      <c r="N1077" t="s">
        <v>4123</v>
      </c>
      <c r="O1077" t="s">
        <v>3722</v>
      </c>
      <c r="P1077" t="s">
        <v>3723</v>
      </c>
      <c r="Q1077" t="s">
        <v>14</v>
      </c>
      <c r="R1077" t="s">
        <v>14</v>
      </c>
      <c r="S1077" t="s">
        <v>4115</v>
      </c>
      <c r="T1077" t="s">
        <v>4116</v>
      </c>
      <c r="U1077" t="s">
        <v>2233</v>
      </c>
      <c r="V1077" t="s">
        <v>14</v>
      </c>
      <c r="W1077" t="b">
        <v>1</v>
      </c>
      <c r="X1077" t="s">
        <v>4153</v>
      </c>
      <c r="Y1077" t="b">
        <v>0</v>
      </c>
      <c r="Z1077" t="s">
        <v>2081</v>
      </c>
    </row>
    <row r="1078" spans="1:26" x14ac:dyDescent="0.35">
      <c r="A1078" t="s">
        <v>650</v>
      </c>
      <c r="B1078" t="s">
        <v>4154</v>
      </c>
      <c r="C1078" t="s">
        <v>3167</v>
      </c>
      <c r="D1078" t="s">
        <v>1963</v>
      </c>
      <c r="E1078" t="s">
        <v>2020</v>
      </c>
      <c r="F1078" t="s">
        <v>2021</v>
      </c>
      <c r="G1078" t="s">
        <v>2022</v>
      </c>
      <c r="H1078" t="s">
        <v>2023</v>
      </c>
      <c r="I1078" t="s">
        <v>4134</v>
      </c>
      <c r="J1078" t="s">
        <v>1963</v>
      </c>
      <c r="K1078" t="s">
        <v>4155</v>
      </c>
      <c r="L1078" t="s">
        <v>2046</v>
      </c>
      <c r="M1078" t="s">
        <v>4122</v>
      </c>
      <c r="N1078" t="s">
        <v>4123</v>
      </c>
      <c r="O1078" t="s">
        <v>3722</v>
      </c>
      <c r="P1078" t="s">
        <v>3723</v>
      </c>
      <c r="Q1078" t="s">
        <v>14</v>
      </c>
      <c r="R1078" t="s">
        <v>14</v>
      </c>
      <c r="S1078" t="s">
        <v>4115</v>
      </c>
      <c r="T1078" t="s">
        <v>4116</v>
      </c>
      <c r="U1078" t="s">
        <v>2233</v>
      </c>
      <c r="V1078" t="s">
        <v>14</v>
      </c>
      <c r="W1078" t="b">
        <v>1</v>
      </c>
      <c r="X1078" t="s">
        <v>4156</v>
      </c>
      <c r="Y1078" t="b">
        <v>0</v>
      </c>
      <c r="Z1078" t="s">
        <v>2081</v>
      </c>
    </row>
    <row r="1079" spans="1:26" x14ac:dyDescent="0.35">
      <c r="A1079" t="s">
        <v>650</v>
      </c>
      <c r="B1079" t="s">
        <v>4154</v>
      </c>
      <c r="C1079" t="s">
        <v>3167</v>
      </c>
      <c r="D1079" t="s">
        <v>1963</v>
      </c>
      <c r="E1079" t="s">
        <v>2020</v>
      </c>
      <c r="F1079" t="s">
        <v>2021</v>
      </c>
      <c r="G1079" t="s">
        <v>2022</v>
      </c>
      <c r="H1079" t="s">
        <v>2023</v>
      </c>
      <c r="I1079" t="s">
        <v>4121</v>
      </c>
      <c r="J1079" t="s">
        <v>1963</v>
      </c>
      <c r="K1079" t="s">
        <v>4155</v>
      </c>
      <c r="L1079" t="s">
        <v>2046</v>
      </c>
      <c r="M1079" t="s">
        <v>4122</v>
      </c>
      <c r="N1079" t="s">
        <v>4123</v>
      </c>
      <c r="O1079" t="s">
        <v>3722</v>
      </c>
      <c r="P1079" t="s">
        <v>3723</v>
      </c>
      <c r="Q1079" t="s">
        <v>14</v>
      </c>
      <c r="R1079" t="s">
        <v>14</v>
      </c>
      <c r="S1079" t="s">
        <v>4115</v>
      </c>
      <c r="T1079" t="s">
        <v>4116</v>
      </c>
      <c r="U1079" t="s">
        <v>2233</v>
      </c>
      <c r="V1079" t="s">
        <v>14</v>
      </c>
      <c r="W1079" t="b">
        <v>1</v>
      </c>
      <c r="X1079" t="s">
        <v>4156</v>
      </c>
      <c r="Y1079" t="b">
        <v>0</v>
      </c>
      <c r="Z1079" t="s">
        <v>2081</v>
      </c>
    </row>
    <row r="1080" spans="1:26" x14ac:dyDescent="0.35">
      <c r="A1080" t="s">
        <v>650</v>
      </c>
      <c r="B1080" t="s">
        <v>4154</v>
      </c>
      <c r="C1080" t="s">
        <v>3167</v>
      </c>
      <c r="D1080" t="s">
        <v>1963</v>
      </c>
      <c r="E1080" t="s">
        <v>2020</v>
      </c>
      <c r="F1080" t="s">
        <v>2021</v>
      </c>
      <c r="G1080" t="s">
        <v>2022</v>
      </c>
      <c r="H1080" t="s">
        <v>2023</v>
      </c>
      <c r="I1080" t="s">
        <v>4132</v>
      </c>
      <c r="J1080" t="s">
        <v>1963</v>
      </c>
      <c r="K1080" t="s">
        <v>4155</v>
      </c>
      <c r="L1080" t="s">
        <v>2046</v>
      </c>
      <c r="M1080" t="s">
        <v>4122</v>
      </c>
      <c r="N1080" t="s">
        <v>4123</v>
      </c>
      <c r="O1080" t="s">
        <v>3722</v>
      </c>
      <c r="P1080" t="s">
        <v>3723</v>
      </c>
      <c r="Q1080" t="s">
        <v>14</v>
      </c>
      <c r="R1080" t="s">
        <v>14</v>
      </c>
      <c r="S1080" t="s">
        <v>4119</v>
      </c>
      <c r="T1080" t="s">
        <v>4120</v>
      </c>
      <c r="U1080" t="s">
        <v>2233</v>
      </c>
      <c r="V1080" t="s">
        <v>14</v>
      </c>
      <c r="W1080" t="b">
        <v>1</v>
      </c>
      <c r="X1080" t="s">
        <v>4156</v>
      </c>
      <c r="Y1080" t="b">
        <v>0</v>
      </c>
      <c r="Z1080" t="s">
        <v>2053</v>
      </c>
    </row>
    <row r="1081" spans="1:26" x14ac:dyDescent="0.35">
      <c r="A1081" t="s">
        <v>650</v>
      </c>
      <c r="B1081" t="s">
        <v>4154</v>
      </c>
      <c r="C1081" t="s">
        <v>3167</v>
      </c>
      <c r="D1081" t="s">
        <v>1963</v>
      </c>
      <c r="E1081" t="s">
        <v>2020</v>
      </c>
      <c r="F1081" t="s">
        <v>2021</v>
      </c>
      <c r="G1081" t="s">
        <v>2022</v>
      </c>
      <c r="H1081" t="s">
        <v>2023</v>
      </c>
      <c r="I1081" t="s">
        <v>4133</v>
      </c>
      <c r="J1081" t="s">
        <v>1963</v>
      </c>
      <c r="K1081" t="s">
        <v>4155</v>
      </c>
      <c r="L1081" t="s">
        <v>2046</v>
      </c>
      <c r="M1081" t="s">
        <v>4122</v>
      </c>
      <c r="N1081" t="s">
        <v>4123</v>
      </c>
      <c r="O1081" t="s">
        <v>3722</v>
      </c>
      <c r="P1081" t="s">
        <v>3723</v>
      </c>
      <c r="Q1081" t="s">
        <v>14</v>
      </c>
      <c r="R1081" t="s">
        <v>14</v>
      </c>
      <c r="S1081" t="s">
        <v>4115</v>
      </c>
      <c r="T1081" t="s">
        <v>4116</v>
      </c>
      <c r="U1081" t="s">
        <v>2233</v>
      </c>
      <c r="V1081" t="s">
        <v>14</v>
      </c>
      <c r="W1081" t="b">
        <v>1</v>
      </c>
      <c r="X1081" t="s">
        <v>4156</v>
      </c>
      <c r="Y1081" t="b">
        <v>0</v>
      </c>
      <c r="Z1081" t="s">
        <v>2081</v>
      </c>
    </row>
    <row r="1082" spans="1:26" x14ac:dyDescent="0.35">
      <c r="A1082" t="s">
        <v>650</v>
      </c>
      <c r="B1082" t="s">
        <v>4154</v>
      </c>
      <c r="C1082" t="s">
        <v>3167</v>
      </c>
      <c r="D1082" t="s">
        <v>1963</v>
      </c>
      <c r="E1082" t="s">
        <v>2020</v>
      </c>
      <c r="F1082" t="s">
        <v>2021</v>
      </c>
      <c r="G1082" t="s">
        <v>2022</v>
      </c>
      <c r="H1082" t="s">
        <v>2023</v>
      </c>
      <c r="I1082" t="s">
        <v>4144</v>
      </c>
      <c r="J1082" t="s">
        <v>1963</v>
      </c>
      <c r="K1082" t="s">
        <v>4155</v>
      </c>
      <c r="L1082" t="s">
        <v>2046</v>
      </c>
      <c r="M1082" t="s">
        <v>4122</v>
      </c>
      <c r="N1082" t="s">
        <v>4123</v>
      </c>
      <c r="O1082" t="s">
        <v>3722</v>
      </c>
      <c r="P1082" t="s">
        <v>3723</v>
      </c>
      <c r="Q1082" t="s">
        <v>14</v>
      </c>
      <c r="R1082" t="s">
        <v>14</v>
      </c>
      <c r="S1082" t="s">
        <v>14</v>
      </c>
      <c r="T1082" t="s">
        <v>14</v>
      </c>
      <c r="U1082" t="s">
        <v>2233</v>
      </c>
      <c r="V1082" t="s">
        <v>14</v>
      </c>
      <c r="W1082" t="b">
        <v>1</v>
      </c>
      <c r="X1082" t="s">
        <v>4156</v>
      </c>
      <c r="Y1082" t="b">
        <v>0</v>
      </c>
      <c r="Z1082" t="s">
        <v>2032</v>
      </c>
    </row>
    <row r="1083" spans="1:26" x14ac:dyDescent="0.35">
      <c r="A1083" t="s">
        <v>650</v>
      </c>
      <c r="B1083" t="s">
        <v>4154</v>
      </c>
      <c r="C1083" t="s">
        <v>3167</v>
      </c>
      <c r="D1083" t="s">
        <v>1963</v>
      </c>
      <c r="E1083" t="s">
        <v>2020</v>
      </c>
      <c r="F1083" t="s">
        <v>2021</v>
      </c>
      <c r="G1083" t="s">
        <v>2022</v>
      </c>
      <c r="H1083" t="s">
        <v>2023</v>
      </c>
      <c r="I1083" t="s">
        <v>4135</v>
      </c>
      <c r="J1083" t="s">
        <v>1963</v>
      </c>
      <c r="K1083" t="s">
        <v>4155</v>
      </c>
      <c r="L1083" t="s">
        <v>2046</v>
      </c>
      <c r="M1083" t="s">
        <v>4122</v>
      </c>
      <c r="N1083" t="s">
        <v>4123</v>
      </c>
      <c r="O1083" t="s">
        <v>3722</v>
      </c>
      <c r="P1083" t="s">
        <v>3723</v>
      </c>
      <c r="Q1083" t="s">
        <v>14</v>
      </c>
      <c r="R1083" t="s">
        <v>14</v>
      </c>
      <c r="S1083" t="s">
        <v>4119</v>
      </c>
      <c r="T1083" t="s">
        <v>4120</v>
      </c>
      <c r="U1083" t="s">
        <v>2233</v>
      </c>
      <c r="V1083" t="s">
        <v>14</v>
      </c>
      <c r="W1083" t="b">
        <v>1</v>
      </c>
      <c r="X1083" t="s">
        <v>4156</v>
      </c>
      <c r="Y1083" t="b">
        <v>0</v>
      </c>
      <c r="Z1083" t="s">
        <v>2053</v>
      </c>
    </row>
    <row r="1084" spans="1:26" x14ac:dyDescent="0.35">
      <c r="A1084" t="s">
        <v>650</v>
      </c>
      <c r="B1084" t="s">
        <v>4154</v>
      </c>
      <c r="C1084" t="s">
        <v>3167</v>
      </c>
      <c r="D1084" t="s">
        <v>1963</v>
      </c>
      <c r="E1084" t="s">
        <v>2020</v>
      </c>
      <c r="F1084" t="s">
        <v>2021</v>
      </c>
      <c r="G1084" t="s">
        <v>2022</v>
      </c>
      <c r="H1084" t="s">
        <v>2023</v>
      </c>
      <c r="I1084" t="s">
        <v>4124</v>
      </c>
      <c r="J1084" t="s">
        <v>1963</v>
      </c>
      <c r="K1084" t="s">
        <v>4155</v>
      </c>
      <c r="L1084" t="s">
        <v>2046</v>
      </c>
      <c r="M1084" t="s">
        <v>4122</v>
      </c>
      <c r="N1084" t="s">
        <v>4123</v>
      </c>
      <c r="O1084" t="s">
        <v>3722</v>
      </c>
      <c r="P1084" t="s">
        <v>3723</v>
      </c>
      <c r="Q1084" t="s">
        <v>14</v>
      </c>
      <c r="R1084" t="s">
        <v>14</v>
      </c>
      <c r="S1084" t="s">
        <v>4125</v>
      </c>
      <c r="T1084" t="s">
        <v>4126</v>
      </c>
      <c r="U1084" t="s">
        <v>2233</v>
      </c>
      <c r="V1084" t="s">
        <v>14</v>
      </c>
      <c r="W1084" t="b">
        <v>1</v>
      </c>
      <c r="X1084" t="s">
        <v>4156</v>
      </c>
      <c r="Y1084" t="b">
        <v>0</v>
      </c>
      <c r="Z1084" t="s">
        <v>2081</v>
      </c>
    </row>
    <row r="1085" spans="1:26" x14ac:dyDescent="0.35">
      <c r="A1085" t="s">
        <v>650</v>
      </c>
      <c r="B1085" t="s">
        <v>4154</v>
      </c>
      <c r="C1085" t="s">
        <v>3167</v>
      </c>
      <c r="D1085" t="s">
        <v>1963</v>
      </c>
      <c r="E1085" t="s">
        <v>2020</v>
      </c>
      <c r="F1085" t="s">
        <v>2021</v>
      </c>
      <c r="G1085" t="s">
        <v>2022</v>
      </c>
      <c r="H1085" t="s">
        <v>2023</v>
      </c>
      <c r="I1085" t="s">
        <v>4141</v>
      </c>
      <c r="J1085" t="s">
        <v>1963</v>
      </c>
      <c r="K1085" t="s">
        <v>4155</v>
      </c>
      <c r="L1085" t="s">
        <v>2046</v>
      </c>
      <c r="M1085" t="s">
        <v>4122</v>
      </c>
      <c r="N1085" t="s">
        <v>4123</v>
      </c>
      <c r="O1085" t="s">
        <v>3722</v>
      </c>
      <c r="P1085" t="s">
        <v>3723</v>
      </c>
      <c r="Q1085" t="s">
        <v>14</v>
      </c>
      <c r="R1085" t="s">
        <v>14</v>
      </c>
      <c r="S1085" t="s">
        <v>4115</v>
      </c>
      <c r="T1085" t="s">
        <v>4116</v>
      </c>
      <c r="U1085" t="s">
        <v>2233</v>
      </c>
      <c r="V1085" t="s">
        <v>14</v>
      </c>
      <c r="W1085" t="b">
        <v>1</v>
      </c>
      <c r="X1085" t="s">
        <v>4156</v>
      </c>
      <c r="Y1085" t="b">
        <v>0</v>
      </c>
      <c r="Z1085" t="s">
        <v>2032</v>
      </c>
    </row>
    <row r="1086" spans="1:26" x14ac:dyDescent="0.35">
      <c r="A1086" t="s">
        <v>650</v>
      </c>
      <c r="B1086" t="s">
        <v>4154</v>
      </c>
      <c r="C1086" t="s">
        <v>3167</v>
      </c>
      <c r="D1086" t="s">
        <v>1963</v>
      </c>
      <c r="E1086" t="s">
        <v>2020</v>
      </c>
      <c r="F1086" t="s">
        <v>2021</v>
      </c>
      <c r="G1086" t="s">
        <v>2022</v>
      </c>
      <c r="H1086" t="s">
        <v>2023</v>
      </c>
      <c r="I1086" t="s">
        <v>4111</v>
      </c>
      <c r="J1086" t="s">
        <v>1963</v>
      </c>
      <c r="K1086" t="s">
        <v>4155</v>
      </c>
      <c r="L1086" t="s">
        <v>2046</v>
      </c>
      <c r="M1086" t="s">
        <v>4113</v>
      </c>
      <c r="N1086" t="s">
        <v>4114</v>
      </c>
      <c r="O1086" t="s">
        <v>3722</v>
      </c>
      <c r="P1086" t="s">
        <v>3723</v>
      </c>
      <c r="Q1086" t="s">
        <v>14</v>
      </c>
      <c r="R1086" t="s">
        <v>14</v>
      </c>
      <c r="S1086" t="s">
        <v>4115</v>
      </c>
      <c r="T1086" t="s">
        <v>4116</v>
      </c>
      <c r="U1086" t="s">
        <v>2233</v>
      </c>
      <c r="V1086" t="s">
        <v>14</v>
      </c>
      <c r="W1086" t="b">
        <v>1</v>
      </c>
      <c r="X1086" t="s">
        <v>4156</v>
      </c>
      <c r="Y1086" t="b">
        <v>0</v>
      </c>
      <c r="Z1086" t="s">
        <v>2032</v>
      </c>
    </row>
    <row r="1087" spans="1:26" x14ac:dyDescent="0.35">
      <c r="A1087" t="s">
        <v>650</v>
      </c>
      <c r="B1087" t="s">
        <v>4154</v>
      </c>
      <c r="C1087" t="s">
        <v>3167</v>
      </c>
      <c r="D1087" t="s">
        <v>1963</v>
      </c>
      <c r="E1087" t="s">
        <v>2020</v>
      </c>
      <c r="F1087" t="s">
        <v>2021</v>
      </c>
      <c r="G1087" t="s">
        <v>2022</v>
      </c>
      <c r="H1087" t="s">
        <v>2023</v>
      </c>
      <c r="I1087" t="s">
        <v>4142</v>
      </c>
      <c r="J1087" t="s">
        <v>1963</v>
      </c>
      <c r="K1087" t="s">
        <v>4155</v>
      </c>
      <c r="L1087" t="s">
        <v>2046</v>
      </c>
      <c r="M1087" t="s">
        <v>4122</v>
      </c>
      <c r="N1087" t="s">
        <v>4123</v>
      </c>
      <c r="O1087" t="s">
        <v>3722</v>
      </c>
      <c r="P1087" t="s">
        <v>3723</v>
      </c>
      <c r="Q1087" t="s">
        <v>14</v>
      </c>
      <c r="R1087" t="s">
        <v>14</v>
      </c>
      <c r="S1087" t="s">
        <v>4125</v>
      </c>
      <c r="T1087" t="s">
        <v>4126</v>
      </c>
      <c r="U1087" t="s">
        <v>2233</v>
      </c>
      <c r="V1087" t="s">
        <v>14</v>
      </c>
      <c r="W1087" t="b">
        <v>1</v>
      </c>
      <c r="X1087" t="s">
        <v>4156</v>
      </c>
      <c r="Y1087" t="b">
        <v>0</v>
      </c>
      <c r="Z1087" t="s">
        <v>2032</v>
      </c>
    </row>
    <row r="1088" spans="1:26" x14ac:dyDescent="0.35">
      <c r="A1088" t="s">
        <v>650</v>
      </c>
      <c r="B1088" t="s">
        <v>4154</v>
      </c>
      <c r="C1088" t="s">
        <v>3167</v>
      </c>
      <c r="D1088" t="s">
        <v>1963</v>
      </c>
      <c r="E1088" t="s">
        <v>2020</v>
      </c>
      <c r="F1088" t="s">
        <v>2021</v>
      </c>
      <c r="G1088" t="s">
        <v>2022</v>
      </c>
      <c r="H1088" t="s">
        <v>2023</v>
      </c>
      <c r="I1088" t="s">
        <v>69</v>
      </c>
      <c r="J1088" t="s">
        <v>1963</v>
      </c>
      <c r="K1088" t="s">
        <v>4155</v>
      </c>
      <c r="L1088" t="s">
        <v>2046</v>
      </c>
      <c r="M1088" t="s">
        <v>4101</v>
      </c>
      <c r="N1088" t="s">
        <v>4102</v>
      </c>
      <c r="O1088" t="s">
        <v>4103</v>
      </c>
      <c r="P1088" t="s">
        <v>4104</v>
      </c>
      <c r="Q1088" t="s">
        <v>14</v>
      </c>
      <c r="R1088" t="s">
        <v>14</v>
      </c>
      <c r="S1088" t="s">
        <v>14</v>
      </c>
      <c r="T1088" t="s">
        <v>14</v>
      </c>
      <c r="U1088" t="s">
        <v>2030</v>
      </c>
      <c r="V1088" t="s">
        <v>14</v>
      </c>
      <c r="W1088" t="b">
        <v>1</v>
      </c>
      <c r="X1088" t="s">
        <v>4156</v>
      </c>
      <c r="Y1088" t="b">
        <v>1</v>
      </c>
      <c r="Z1088" t="s">
        <v>2032</v>
      </c>
    </row>
    <row r="1089" spans="1:26" x14ac:dyDescent="0.35">
      <c r="A1089" t="s">
        <v>650</v>
      </c>
      <c r="B1089" t="s">
        <v>4154</v>
      </c>
      <c r="C1089" t="s">
        <v>3167</v>
      </c>
      <c r="D1089" t="s">
        <v>1963</v>
      </c>
      <c r="E1089" t="s">
        <v>2020</v>
      </c>
      <c r="F1089" t="s">
        <v>2021</v>
      </c>
      <c r="G1089" t="s">
        <v>2022</v>
      </c>
      <c r="H1089" t="s">
        <v>2023</v>
      </c>
      <c r="I1089" t="s">
        <v>4143</v>
      </c>
      <c r="J1089" t="s">
        <v>1963</v>
      </c>
      <c r="K1089" t="s">
        <v>4155</v>
      </c>
      <c r="L1089" t="s">
        <v>2046</v>
      </c>
      <c r="M1089" t="s">
        <v>4122</v>
      </c>
      <c r="N1089" t="s">
        <v>4123</v>
      </c>
      <c r="O1089" t="s">
        <v>3722</v>
      </c>
      <c r="P1089" t="s">
        <v>3723</v>
      </c>
      <c r="Q1089" t="s">
        <v>14</v>
      </c>
      <c r="R1089" t="s">
        <v>14</v>
      </c>
      <c r="S1089" t="s">
        <v>4125</v>
      </c>
      <c r="T1089" t="s">
        <v>4126</v>
      </c>
      <c r="U1089" t="s">
        <v>2233</v>
      </c>
      <c r="V1089" t="s">
        <v>14</v>
      </c>
      <c r="W1089" t="b">
        <v>1</v>
      </c>
      <c r="X1089" t="s">
        <v>4156</v>
      </c>
      <c r="Y1089" t="b">
        <v>0</v>
      </c>
      <c r="Z1089" t="s">
        <v>2081</v>
      </c>
    </row>
    <row r="1090" spans="1:26" x14ac:dyDescent="0.35">
      <c r="A1090" t="s">
        <v>650</v>
      </c>
      <c r="B1090" t="s">
        <v>4154</v>
      </c>
      <c r="C1090" t="s">
        <v>3167</v>
      </c>
      <c r="D1090" t="s">
        <v>1963</v>
      </c>
      <c r="E1090" t="s">
        <v>2020</v>
      </c>
      <c r="F1090" t="s">
        <v>2021</v>
      </c>
      <c r="G1090" t="s">
        <v>2022</v>
      </c>
      <c r="H1090" t="s">
        <v>2023</v>
      </c>
      <c r="I1090" t="s">
        <v>4128</v>
      </c>
      <c r="J1090" t="s">
        <v>1963</v>
      </c>
      <c r="K1090" t="s">
        <v>4155</v>
      </c>
      <c r="L1090" t="s">
        <v>2046</v>
      </c>
      <c r="M1090" t="s">
        <v>4129</v>
      </c>
      <c r="N1090" t="s">
        <v>4130</v>
      </c>
      <c r="O1090" t="s">
        <v>3722</v>
      </c>
      <c r="P1090" t="s">
        <v>3723</v>
      </c>
      <c r="Q1090" t="s">
        <v>14</v>
      </c>
      <c r="R1090" t="s">
        <v>14</v>
      </c>
      <c r="S1090" t="s">
        <v>4119</v>
      </c>
      <c r="T1090" t="s">
        <v>4120</v>
      </c>
      <c r="U1090" t="s">
        <v>2233</v>
      </c>
      <c r="V1090" t="s">
        <v>14</v>
      </c>
      <c r="W1090" t="b">
        <v>1</v>
      </c>
      <c r="X1090" t="s">
        <v>4156</v>
      </c>
      <c r="Y1090" t="b">
        <v>0</v>
      </c>
      <c r="Z1090" t="s">
        <v>2053</v>
      </c>
    </row>
    <row r="1091" spans="1:26" x14ac:dyDescent="0.35">
      <c r="A1091" t="s">
        <v>650</v>
      </c>
      <c r="B1091" t="s">
        <v>4154</v>
      </c>
      <c r="C1091" t="s">
        <v>3167</v>
      </c>
      <c r="D1091" t="s">
        <v>1963</v>
      </c>
      <c r="E1091" t="s">
        <v>2020</v>
      </c>
      <c r="F1091" t="s">
        <v>2021</v>
      </c>
      <c r="G1091" t="s">
        <v>2022</v>
      </c>
      <c r="H1091" t="s">
        <v>2023</v>
      </c>
      <c r="I1091" t="s">
        <v>4127</v>
      </c>
      <c r="J1091" t="s">
        <v>1963</v>
      </c>
      <c r="K1091" t="s">
        <v>4155</v>
      </c>
      <c r="L1091" t="s">
        <v>2046</v>
      </c>
      <c r="M1091" t="s">
        <v>4113</v>
      </c>
      <c r="N1091" t="s">
        <v>4114</v>
      </c>
      <c r="O1091" t="s">
        <v>3722</v>
      </c>
      <c r="P1091" t="s">
        <v>3723</v>
      </c>
      <c r="Q1091" t="s">
        <v>14</v>
      </c>
      <c r="R1091" t="s">
        <v>14</v>
      </c>
      <c r="S1091" t="s">
        <v>4119</v>
      </c>
      <c r="T1091" t="s">
        <v>4120</v>
      </c>
      <c r="U1091" t="s">
        <v>2233</v>
      </c>
      <c r="V1091" t="s">
        <v>14</v>
      </c>
      <c r="W1091" t="b">
        <v>1</v>
      </c>
      <c r="X1091" t="s">
        <v>4156</v>
      </c>
      <c r="Y1091" t="b">
        <v>0</v>
      </c>
      <c r="Z1091" t="s">
        <v>2081</v>
      </c>
    </row>
    <row r="1092" spans="1:26" x14ac:dyDescent="0.35">
      <c r="A1092" t="s">
        <v>650</v>
      </c>
      <c r="B1092" t="s">
        <v>4154</v>
      </c>
      <c r="C1092" t="s">
        <v>3167</v>
      </c>
      <c r="D1092" t="s">
        <v>1963</v>
      </c>
      <c r="E1092" t="s">
        <v>2020</v>
      </c>
      <c r="F1092" t="s">
        <v>2021</v>
      </c>
      <c r="G1092" t="s">
        <v>2022</v>
      </c>
      <c r="H1092" t="s">
        <v>2023</v>
      </c>
      <c r="I1092" t="s">
        <v>4136</v>
      </c>
      <c r="J1092" t="s">
        <v>1963</v>
      </c>
      <c r="K1092" t="s">
        <v>4155</v>
      </c>
      <c r="L1092" t="s">
        <v>2046</v>
      </c>
      <c r="M1092" t="s">
        <v>4137</v>
      </c>
      <c r="N1092" t="s">
        <v>4138</v>
      </c>
      <c r="O1092" t="s">
        <v>3722</v>
      </c>
      <c r="P1092" t="s">
        <v>3723</v>
      </c>
      <c r="Q1092" t="s">
        <v>14</v>
      </c>
      <c r="R1092" t="s">
        <v>14</v>
      </c>
      <c r="S1092" t="s">
        <v>4139</v>
      </c>
      <c r="T1092" t="s">
        <v>4140</v>
      </c>
      <c r="U1092" t="s">
        <v>2233</v>
      </c>
      <c r="V1092" t="s">
        <v>14</v>
      </c>
      <c r="W1092" t="b">
        <v>1</v>
      </c>
      <c r="X1092" t="s">
        <v>4156</v>
      </c>
      <c r="Y1092" t="b">
        <v>0</v>
      </c>
      <c r="Z1092" t="s">
        <v>2081</v>
      </c>
    </row>
    <row r="1093" spans="1:26" x14ac:dyDescent="0.35">
      <c r="A1093" t="s">
        <v>650</v>
      </c>
      <c r="B1093" t="s">
        <v>4154</v>
      </c>
      <c r="C1093" t="s">
        <v>3167</v>
      </c>
      <c r="D1093" t="s">
        <v>1963</v>
      </c>
      <c r="E1093" t="s">
        <v>2020</v>
      </c>
      <c r="F1093" t="s">
        <v>2021</v>
      </c>
      <c r="G1093" t="s">
        <v>2022</v>
      </c>
      <c r="H1093" t="s">
        <v>2023</v>
      </c>
      <c r="I1093" t="s">
        <v>4131</v>
      </c>
      <c r="J1093" t="s">
        <v>1963</v>
      </c>
      <c r="K1093" t="s">
        <v>4155</v>
      </c>
      <c r="L1093" t="s">
        <v>2046</v>
      </c>
      <c r="M1093" t="s">
        <v>4122</v>
      </c>
      <c r="N1093" t="s">
        <v>4123</v>
      </c>
      <c r="O1093" t="s">
        <v>3722</v>
      </c>
      <c r="P1093" t="s">
        <v>3723</v>
      </c>
      <c r="Q1093" t="s">
        <v>14</v>
      </c>
      <c r="R1093" t="s">
        <v>14</v>
      </c>
      <c r="S1093" t="s">
        <v>4125</v>
      </c>
      <c r="T1093" t="s">
        <v>4126</v>
      </c>
      <c r="U1093" t="s">
        <v>2233</v>
      </c>
      <c r="V1093" t="s">
        <v>14</v>
      </c>
      <c r="W1093" t="b">
        <v>1</v>
      </c>
      <c r="X1093" t="s">
        <v>4156</v>
      </c>
      <c r="Y1093" t="b">
        <v>0</v>
      </c>
      <c r="Z1093" t="s">
        <v>2053</v>
      </c>
    </row>
    <row r="1094" spans="1:26" x14ac:dyDescent="0.35">
      <c r="A1094" t="s">
        <v>650</v>
      </c>
      <c r="B1094" t="s">
        <v>4154</v>
      </c>
      <c r="C1094" t="s">
        <v>3167</v>
      </c>
      <c r="D1094" t="s">
        <v>1963</v>
      </c>
      <c r="E1094" t="s">
        <v>2020</v>
      </c>
      <c r="F1094" t="s">
        <v>2021</v>
      </c>
      <c r="G1094" t="s">
        <v>2022</v>
      </c>
      <c r="H1094" t="s">
        <v>2023</v>
      </c>
      <c r="I1094" t="s">
        <v>4118</v>
      </c>
      <c r="J1094" t="s">
        <v>1963</v>
      </c>
      <c r="K1094" t="s">
        <v>4155</v>
      </c>
      <c r="L1094" t="s">
        <v>2046</v>
      </c>
      <c r="M1094" t="s">
        <v>4113</v>
      </c>
      <c r="N1094" t="s">
        <v>4114</v>
      </c>
      <c r="O1094" t="s">
        <v>3722</v>
      </c>
      <c r="P1094" t="s">
        <v>3723</v>
      </c>
      <c r="Q1094" t="s">
        <v>14</v>
      </c>
      <c r="R1094" t="s">
        <v>14</v>
      </c>
      <c r="S1094" t="s">
        <v>4119</v>
      </c>
      <c r="T1094" t="s">
        <v>4120</v>
      </c>
      <c r="U1094" t="s">
        <v>2233</v>
      </c>
      <c r="V1094" t="s">
        <v>14</v>
      </c>
      <c r="W1094" t="b">
        <v>1</v>
      </c>
      <c r="X1094" t="s">
        <v>4156</v>
      </c>
      <c r="Y1094" t="b">
        <v>0</v>
      </c>
      <c r="Z1094" t="s">
        <v>2081</v>
      </c>
    </row>
    <row r="1095" spans="1:26" x14ac:dyDescent="0.35">
      <c r="A1095" t="s">
        <v>651</v>
      </c>
      <c r="B1095" t="s">
        <v>4157</v>
      </c>
      <c r="C1095" t="s">
        <v>3167</v>
      </c>
      <c r="D1095" t="s">
        <v>1963</v>
      </c>
      <c r="E1095" t="s">
        <v>2020</v>
      </c>
      <c r="F1095" t="s">
        <v>2021</v>
      </c>
      <c r="G1095" t="s">
        <v>2022</v>
      </c>
      <c r="H1095" t="s">
        <v>2023</v>
      </c>
      <c r="I1095" t="s">
        <v>4142</v>
      </c>
      <c r="J1095" t="s">
        <v>1963</v>
      </c>
      <c r="K1095" t="s">
        <v>4158</v>
      </c>
      <c r="L1095" t="s">
        <v>2046</v>
      </c>
      <c r="M1095" t="s">
        <v>4122</v>
      </c>
      <c r="N1095" t="s">
        <v>4123</v>
      </c>
      <c r="O1095" t="s">
        <v>3722</v>
      </c>
      <c r="P1095" t="s">
        <v>3723</v>
      </c>
      <c r="Q1095" t="s">
        <v>14</v>
      </c>
      <c r="R1095" t="s">
        <v>14</v>
      </c>
      <c r="S1095" t="s">
        <v>4125</v>
      </c>
      <c r="T1095" t="s">
        <v>4126</v>
      </c>
      <c r="U1095" t="s">
        <v>2233</v>
      </c>
      <c r="V1095" t="s">
        <v>14</v>
      </c>
      <c r="W1095" t="b">
        <v>1</v>
      </c>
      <c r="X1095" t="s">
        <v>4159</v>
      </c>
      <c r="Y1095" t="b">
        <v>0</v>
      </c>
      <c r="Z1095" t="s">
        <v>2032</v>
      </c>
    </row>
    <row r="1096" spans="1:26" x14ac:dyDescent="0.35">
      <c r="A1096" t="s">
        <v>651</v>
      </c>
      <c r="B1096" t="s">
        <v>4157</v>
      </c>
      <c r="C1096" t="s">
        <v>3167</v>
      </c>
      <c r="D1096" t="s">
        <v>1963</v>
      </c>
      <c r="E1096" t="s">
        <v>2020</v>
      </c>
      <c r="F1096" t="s">
        <v>2021</v>
      </c>
      <c r="G1096" t="s">
        <v>2022</v>
      </c>
      <c r="H1096" t="s">
        <v>2023</v>
      </c>
      <c r="I1096" t="s">
        <v>4132</v>
      </c>
      <c r="J1096" t="s">
        <v>1963</v>
      </c>
      <c r="K1096" t="s">
        <v>4158</v>
      </c>
      <c r="L1096" t="s">
        <v>2046</v>
      </c>
      <c r="M1096" t="s">
        <v>4122</v>
      </c>
      <c r="N1096" t="s">
        <v>4123</v>
      </c>
      <c r="O1096" t="s">
        <v>3722</v>
      </c>
      <c r="P1096" t="s">
        <v>3723</v>
      </c>
      <c r="Q1096" t="s">
        <v>14</v>
      </c>
      <c r="R1096" t="s">
        <v>14</v>
      </c>
      <c r="S1096" t="s">
        <v>4119</v>
      </c>
      <c r="T1096" t="s">
        <v>4120</v>
      </c>
      <c r="U1096" t="s">
        <v>2233</v>
      </c>
      <c r="V1096" t="s">
        <v>14</v>
      </c>
      <c r="W1096" t="b">
        <v>1</v>
      </c>
      <c r="X1096" t="s">
        <v>4159</v>
      </c>
      <c r="Y1096" t="b">
        <v>0</v>
      </c>
      <c r="Z1096" t="s">
        <v>2053</v>
      </c>
    </row>
    <row r="1097" spans="1:26" x14ac:dyDescent="0.35">
      <c r="A1097" t="s">
        <v>651</v>
      </c>
      <c r="B1097" t="s">
        <v>4157</v>
      </c>
      <c r="C1097" t="s">
        <v>3167</v>
      </c>
      <c r="D1097" t="s">
        <v>1963</v>
      </c>
      <c r="E1097" t="s">
        <v>2020</v>
      </c>
      <c r="F1097" t="s">
        <v>2021</v>
      </c>
      <c r="G1097" t="s">
        <v>2022</v>
      </c>
      <c r="H1097" t="s">
        <v>2023</v>
      </c>
      <c r="I1097" t="s">
        <v>4128</v>
      </c>
      <c r="J1097" t="s">
        <v>1963</v>
      </c>
      <c r="K1097" t="s">
        <v>4158</v>
      </c>
      <c r="L1097" t="s">
        <v>2046</v>
      </c>
      <c r="M1097" t="s">
        <v>4129</v>
      </c>
      <c r="N1097" t="s">
        <v>4130</v>
      </c>
      <c r="O1097" t="s">
        <v>3722</v>
      </c>
      <c r="P1097" t="s">
        <v>3723</v>
      </c>
      <c r="Q1097" t="s">
        <v>14</v>
      </c>
      <c r="R1097" t="s">
        <v>14</v>
      </c>
      <c r="S1097" t="s">
        <v>4119</v>
      </c>
      <c r="T1097" t="s">
        <v>4120</v>
      </c>
      <c r="U1097" t="s">
        <v>2233</v>
      </c>
      <c r="V1097" t="s">
        <v>14</v>
      </c>
      <c r="W1097" t="b">
        <v>1</v>
      </c>
      <c r="X1097" t="s">
        <v>4159</v>
      </c>
      <c r="Y1097" t="b">
        <v>0</v>
      </c>
      <c r="Z1097" t="s">
        <v>2053</v>
      </c>
    </row>
    <row r="1098" spans="1:26" x14ac:dyDescent="0.35">
      <c r="A1098" t="s">
        <v>651</v>
      </c>
      <c r="B1098" t="s">
        <v>4157</v>
      </c>
      <c r="C1098" t="s">
        <v>3167</v>
      </c>
      <c r="D1098" t="s">
        <v>1963</v>
      </c>
      <c r="E1098" t="s">
        <v>2020</v>
      </c>
      <c r="F1098" t="s">
        <v>2021</v>
      </c>
      <c r="G1098" t="s">
        <v>2022</v>
      </c>
      <c r="H1098" t="s">
        <v>2023</v>
      </c>
      <c r="I1098" t="s">
        <v>4133</v>
      </c>
      <c r="J1098" t="s">
        <v>1963</v>
      </c>
      <c r="K1098" t="s">
        <v>4158</v>
      </c>
      <c r="L1098" t="s">
        <v>2046</v>
      </c>
      <c r="M1098" t="s">
        <v>4122</v>
      </c>
      <c r="N1098" t="s">
        <v>4123</v>
      </c>
      <c r="O1098" t="s">
        <v>3722</v>
      </c>
      <c r="P1098" t="s">
        <v>3723</v>
      </c>
      <c r="Q1098" t="s">
        <v>14</v>
      </c>
      <c r="R1098" t="s">
        <v>14</v>
      </c>
      <c r="S1098" t="s">
        <v>4115</v>
      </c>
      <c r="T1098" t="s">
        <v>4116</v>
      </c>
      <c r="U1098" t="s">
        <v>2233</v>
      </c>
      <c r="V1098" t="s">
        <v>14</v>
      </c>
      <c r="W1098" t="b">
        <v>1</v>
      </c>
      <c r="X1098" t="s">
        <v>4159</v>
      </c>
      <c r="Y1098" t="b">
        <v>0</v>
      </c>
      <c r="Z1098" t="s">
        <v>2081</v>
      </c>
    </row>
    <row r="1099" spans="1:26" x14ac:dyDescent="0.35">
      <c r="A1099" t="s">
        <v>651</v>
      </c>
      <c r="B1099" t="s">
        <v>4157</v>
      </c>
      <c r="C1099" t="s">
        <v>3167</v>
      </c>
      <c r="D1099" t="s">
        <v>1963</v>
      </c>
      <c r="E1099" t="s">
        <v>2020</v>
      </c>
      <c r="F1099" t="s">
        <v>2021</v>
      </c>
      <c r="G1099" t="s">
        <v>2022</v>
      </c>
      <c r="H1099" t="s">
        <v>2023</v>
      </c>
      <c r="I1099" t="s">
        <v>4135</v>
      </c>
      <c r="J1099" t="s">
        <v>1963</v>
      </c>
      <c r="K1099" t="s">
        <v>4158</v>
      </c>
      <c r="L1099" t="s">
        <v>2046</v>
      </c>
      <c r="M1099" t="s">
        <v>4122</v>
      </c>
      <c r="N1099" t="s">
        <v>4123</v>
      </c>
      <c r="O1099" t="s">
        <v>3722</v>
      </c>
      <c r="P1099" t="s">
        <v>3723</v>
      </c>
      <c r="Q1099" t="s">
        <v>14</v>
      </c>
      <c r="R1099" t="s">
        <v>14</v>
      </c>
      <c r="S1099" t="s">
        <v>4119</v>
      </c>
      <c r="T1099" t="s">
        <v>4120</v>
      </c>
      <c r="U1099" t="s">
        <v>2233</v>
      </c>
      <c r="V1099" t="s">
        <v>14</v>
      </c>
      <c r="W1099" t="b">
        <v>1</v>
      </c>
      <c r="X1099" t="s">
        <v>4159</v>
      </c>
      <c r="Y1099" t="b">
        <v>0</v>
      </c>
      <c r="Z1099" t="s">
        <v>2053</v>
      </c>
    </row>
    <row r="1100" spans="1:26" x14ac:dyDescent="0.35">
      <c r="A1100" t="s">
        <v>651</v>
      </c>
      <c r="B1100" t="s">
        <v>4157</v>
      </c>
      <c r="C1100" t="s">
        <v>3167</v>
      </c>
      <c r="D1100" t="s">
        <v>1963</v>
      </c>
      <c r="E1100" t="s">
        <v>2020</v>
      </c>
      <c r="F1100" t="s">
        <v>2021</v>
      </c>
      <c r="G1100" t="s">
        <v>2022</v>
      </c>
      <c r="H1100" t="s">
        <v>2023</v>
      </c>
      <c r="I1100" t="s">
        <v>4111</v>
      </c>
      <c r="J1100" t="s">
        <v>1963</v>
      </c>
      <c r="K1100" t="s">
        <v>4158</v>
      </c>
      <c r="L1100" t="s">
        <v>2046</v>
      </c>
      <c r="M1100" t="s">
        <v>4113</v>
      </c>
      <c r="N1100" t="s">
        <v>4114</v>
      </c>
      <c r="O1100" t="s">
        <v>3722</v>
      </c>
      <c r="P1100" t="s">
        <v>3723</v>
      </c>
      <c r="Q1100" t="s">
        <v>14</v>
      </c>
      <c r="R1100" t="s">
        <v>14</v>
      </c>
      <c r="S1100" t="s">
        <v>4115</v>
      </c>
      <c r="T1100" t="s">
        <v>4116</v>
      </c>
      <c r="U1100" t="s">
        <v>2233</v>
      </c>
      <c r="V1100" t="s">
        <v>14</v>
      </c>
      <c r="W1100" t="b">
        <v>1</v>
      </c>
      <c r="X1100" t="s">
        <v>4159</v>
      </c>
      <c r="Y1100" t="b">
        <v>0</v>
      </c>
      <c r="Z1100" t="s">
        <v>2032</v>
      </c>
    </row>
    <row r="1101" spans="1:26" x14ac:dyDescent="0.35">
      <c r="A1101" t="s">
        <v>651</v>
      </c>
      <c r="B1101" t="s">
        <v>4157</v>
      </c>
      <c r="C1101" t="s">
        <v>3167</v>
      </c>
      <c r="D1101" t="s">
        <v>1963</v>
      </c>
      <c r="E1101" t="s">
        <v>2020</v>
      </c>
      <c r="F1101" t="s">
        <v>2021</v>
      </c>
      <c r="G1101" t="s">
        <v>2022</v>
      </c>
      <c r="H1101" t="s">
        <v>2023</v>
      </c>
      <c r="I1101" t="s">
        <v>4131</v>
      </c>
      <c r="J1101" t="s">
        <v>1963</v>
      </c>
      <c r="K1101" t="s">
        <v>4158</v>
      </c>
      <c r="L1101" t="s">
        <v>2046</v>
      </c>
      <c r="M1101" t="s">
        <v>4122</v>
      </c>
      <c r="N1101" t="s">
        <v>4123</v>
      </c>
      <c r="O1101" t="s">
        <v>3722</v>
      </c>
      <c r="P1101" t="s">
        <v>3723</v>
      </c>
      <c r="Q1101" t="s">
        <v>14</v>
      </c>
      <c r="R1101" t="s">
        <v>14</v>
      </c>
      <c r="S1101" t="s">
        <v>4125</v>
      </c>
      <c r="T1101" t="s">
        <v>4126</v>
      </c>
      <c r="U1101" t="s">
        <v>2233</v>
      </c>
      <c r="V1101" t="s">
        <v>14</v>
      </c>
      <c r="W1101" t="b">
        <v>1</v>
      </c>
      <c r="X1101" t="s">
        <v>4159</v>
      </c>
      <c r="Y1101" t="b">
        <v>0</v>
      </c>
      <c r="Z1101" t="s">
        <v>2053</v>
      </c>
    </row>
    <row r="1102" spans="1:26" x14ac:dyDescent="0.35">
      <c r="A1102" t="s">
        <v>651</v>
      </c>
      <c r="B1102" t="s">
        <v>4157</v>
      </c>
      <c r="C1102" t="s">
        <v>3167</v>
      </c>
      <c r="D1102" t="s">
        <v>1963</v>
      </c>
      <c r="E1102" t="s">
        <v>2020</v>
      </c>
      <c r="F1102" t="s">
        <v>2021</v>
      </c>
      <c r="G1102" t="s">
        <v>2022</v>
      </c>
      <c r="H1102" t="s">
        <v>2023</v>
      </c>
      <c r="I1102" t="s">
        <v>4136</v>
      </c>
      <c r="J1102" t="s">
        <v>1963</v>
      </c>
      <c r="K1102" t="s">
        <v>4158</v>
      </c>
      <c r="L1102" t="s">
        <v>2046</v>
      </c>
      <c r="M1102" t="s">
        <v>4137</v>
      </c>
      <c r="N1102" t="s">
        <v>4138</v>
      </c>
      <c r="O1102" t="s">
        <v>3722</v>
      </c>
      <c r="P1102" t="s">
        <v>3723</v>
      </c>
      <c r="Q1102" t="s">
        <v>14</v>
      </c>
      <c r="R1102" t="s">
        <v>14</v>
      </c>
      <c r="S1102" t="s">
        <v>4139</v>
      </c>
      <c r="T1102" t="s">
        <v>4140</v>
      </c>
      <c r="U1102" t="s">
        <v>2233</v>
      </c>
      <c r="V1102" t="s">
        <v>14</v>
      </c>
      <c r="W1102" t="b">
        <v>1</v>
      </c>
      <c r="X1102" t="s">
        <v>4159</v>
      </c>
      <c r="Y1102" t="b">
        <v>0</v>
      </c>
      <c r="Z1102" t="s">
        <v>2081</v>
      </c>
    </row>
    <row r="1103" spans="1:26" x14ac:dyDescent="0.35">
      <c r="A1103" t="s">
        <v>651</v>
      </c>
      <c r="B1103" t="s">
        <v>4157</v>
      </c>
      <c r="C1103" t="s">
        <v>3167</v>
      </c>
      <c r="D1103" t="s">
        <v>1963</v>
      </c>
      <c r="E1103" t="s">
        <v>2020</v>
      </c>
      <c r="F1103" t="s">
        <v>2021</v>
      </c>
      <c r="G1103" t="s">
        <v>2022</v>
      </c>
      <c r="H1103" t="s">
        <v>2023</v>
      </c>
      <c r="I1103" t="s">
        <v>4118</v>
      </c>
      <c r="J1103" t="s">
        <v>1963</v>
      </c>
      <c r="K1103" t="s">
        <v>4158</v>
      </c>
      <c r="L1103" t="s">
        <v>2046</v>
      </c>
      <c r="M1103" t="s">
        <v>4113</v>
      </c>
      <c r="N1103" t="s">
        <v>4114</v>
      </c>
      <c r="O1103" t="s">
        <v>3722</v>
      </c>
      <c r="P1103" t="s">
        <v>3723</v>
      </c>
      <c r="Q1103" t="s">
        <v>14</v>
      </c>
      <c r="R1103" t="s">
        <v>14</v>
      </c>
      <c r="S1103" t="s">
        <v>4119</v>
      </c>
      <c r="T1103" t="s">
        <v>4120</v>
      </c>
      <c r="U1103" t="s">
        <v>2233</v>
      </c>
      <c r="V1103" t="s">
        <v>14</v>
      </c>
      <c r="W1103" t="b">
        <v>1</v>
      </c>
      <c r="X1103" t="s">
        <v>4159</v>
      </c>
      <c r="Y1103" t="b">
        <v>0</v>
      </c>
      <c r="Z1103" t="s">
        <v>2081</v>
      </c>
    </row>
    <row r="1104" spans="1:26" x14ac:dyDescent="0.35">
      <c r="A1104" t="s">
        <v>651</v>
      </c>
      <c r="B1104" t="s">
        <v>4157</v>
      </c>
      <c r="C1104" t="s">
        <v>3167</v>
      </c>
      <c r="D1104" t="s">
        <v>1963</v>
      </c>
      <c r="E1104" t="s">
        <v>2020</v>
      </c>
      <c r="F1104" t="s">
        <v>2021</v>
      </c>
      <c r="G1104" t="s">
        <v>2022</v>
      </c>
      <c r="H1104" t="s">
        <v>2023</v>
      </c>
      <c r="I1104" t="s">
        <v>4127</v>
      </c>
      <c r="J1104" t="s">
        <v>1963</v>
      </c>
      <c r="K1104" t="s">
        <v>4158</v>
      </c>
      <c r="L1104" t="s">
        <v>2046</v>
      </c>
      <c r="M1104" t="s">
        <v>4113</v>
      </c>
      <c r="N1104" t="s">
        <v>4114</v>
      </c>
      <c r="O1104" t="s">
        <v>3722</v>
      </c>
      <c r="P1104" t="s">
        <v>3723</v>
      </c>
      <c r="Q1104" t="s">
        <v>14</v>
      </c>
      <c r="R1104" t="s">
        <v>14</v>
      </c>
      <c r="S1104" t="s">
        <v>4119</v>
      </c>
      <c r="T1104" t="s">
        <v>4120</v>
      </c>
      <c r="U1104" t="s">
        <v>2233</v>
      </c>
      <c r="V1104" t="s">
        <v>14</v>
      </c>
      <c r="W1104" t="b">
        <v>1</v>
      </c>
      <c r="X1104" t="s">
        <v>4159</v>
      </c>
      <c r="Y1104" t="b">
        <v>0</v>
      </c>
      <c r="Z1104" t="s">
        <v>2081</v>
      </c>
    </row>
    <row r="1105" spans="1:26" x14ac:dyDescent="0.35">
      <c r="A1105" t="s">
        <v>651</v>
      </c>
      <c r="B1105" t="s">
        <v>4157</v>
      </c>
      <c r="C1105" t="s">
        <v>3167</v>
      </c>
      <c r="D1105" t="s">
        <v>1963</v>
      </c>
      <c r="E1105" t="s">
        <v>2020</v>
      </c>
      <c r="F1105" t="s">
        <v>2021</v>
      </c>
      <c r="G1105" t="s">
        <v>2022</v>
      </c>
      <c r="H1105" t="s">
        <v>2023</v>
      </c>
      <c r="I1105" t="s">
        <v>4144</v>
      </c>
      <c r="J1105" t="s">
        <v>1963</v>
      </c>
      <c r="K1105" t="s">
        <v>4158</v>
      </c>
      <c r="L1105" t="s">
        <v>2046</v>
      </c>
      <c r="M1105" t="s">
        <v>4122</v>
      </c>
      <c r="N1105" t="s">
        <v>4123</v>
      </c>
      <c r="O1105" t="s">
        <v>3722</v>
      </c>
      <c r="P1105" t="s">
        <v>3723</v>
      </c>
      <c r="Q1105" t="s">
        <v>14</v>
      </c>
      <c r="R1105" t="s">
        <v>14</v>
      </c>
      <c r="S1105" t="s">
        <v>14</v>
      </c>
      <c r="T1105" t="s">
        <v>14</v>
      </c>
      <c r="U1105" t="s">
        <v>2233</v>
      </c>
      <c r="V1105" t="s">
        <v>14</v>
      </c>
      <c r="W1105" t="b">
        <v>1</v>
      </c>
      <c r="X1105" t="s">
        <v>4159</v>
      </c>
      <c r="Y1105" t="b">
        <v>0</v>
      </c>
      <c r="Z1105" t="s">
        <v>2032</v>
      </c>
    </row>
    <row r="1106" spans="1:26" x14ac:dyDescent="0.35">
      <c r="A1106" t="s">
        <v>651</v>
      </c>
      <c r="B1106" t="s">
        <v>4157</v>
      </c>
      <c r="C1106" t="s">
        <v>3167</v>
      </c>
      <c r="D1106" t="s">
        <v>1963</v>
      </c>
      <c r="E1106" t="s">
        <v>2020</v>
      </c>
      <c r="F1106" t="s">
        <v>2021</v>
      </c>
      <c r="G1106" t="s">
        <v>2022</v>
      </c>
      <c r="H1106" t="s">
        <v>2023</v>
      </c>
      <c r="I1106" t="s">
        <v>4141</v>
      </c>
      <c r="J1106" t="s">
        <v>1963</v>
      </c>
      <c r="K1106" t="s">
        <v>4158</v>
      </c>
      <c r="L1106" t="s">
        <v>2046</v>
      </c>
      <c r="M1106" t="s">
        <v>4122</v>
      </c>
      <c r="N1106" t="s">
        <v>4123</v>
      </c>
      <c r="O1106" t="s">
        <v>3722</v>
      </c>
      <c r="P1106" t="s">
        <v>3723</v>
      </c>
      <c r="Q1106" t="s">
        <v>14</v>
      </c>
      <c r="R1106" t="s">
        <v>14</v>
      </c>
      <c r="S1106" t="s">
        <v>4115</v>
      </c>
      <c r="T1106" t="s">
        <v>4116</v>
      </c>
      <c r="U1106" t="s">
        <v>2233</v>
      </c>
      <c r="V1106" t="s">
        <v>14</v>
      </c>
      <c r="W1106" t="b">
        <v>1</v>
      </c>
      <c r="X1106" t="s">
        <v>4159</v>
      </c>
      <c r="Y1106" t="b">
        <v>0</v>
      </c>
      <c r="Z1106" t="s">
        <v>2032</v>
      </c>
    </row>
    <row r="1107" spans="1:26" x14ac:dyDescent="0.35">
      <c r="A1107" t="s">
        <v>651</v>
      </c>
      <c r="B1107" t="s">
        <v>4157</v>
      </c>
      <c r="C1107" t="s">
        <v>3167</v>
      </c>
      <c r="D1107" t="s">
        <v>1963</v>
      </c>
      <c r="E1107" t="s">
        <v>2020</v>
      </c>
      <c r="F1107" t="s">
        <v>2021</v>
      </c>
      <c r="G1107" t="s">
        <v>2022</v>
      </c>
      <c r="H1107" t="s">
        <v>2023</v>
      </c>
      <c r="I1107" t="s">
        <v>4124</v>
      </c>
      <c r="J1107" t="s">
        <v>1963</v>
      </c>
      <c r="K1107" t="s">
        <v>4158</v>
      </c>
      <c r="L1107" t="s">
        <v>2046</v>
      </c>
      <c r="M1107" t="s">
        <v>4122</v>
      </c>
      <c r="N1107" t="s">
        <v>4123</v>
      </c>
      <c r="O1107" t="s">
        <v>3722</v>
      </c>
      <c r="P1107" t="s">
        <v>3723</v>
      </c>
      <c r="Q1107" t="s">
        <v>14</v>
      </c>
      <c r="R1107" t="s">
        <v>14</v>
      </c>
      <c r="S1107" t="s">
        <v>4125</v>
      </c>
      <c r="T1107" t="s">
        <v>4126</v>
      </c>
      <c r="U1107" t="s">
        <v>2233</v>
      </c>
      <c r="V1107" t="s">
        <v>14</v>
      </c>
      <c r="W1107" t="b">
        <v>1</v>
      </c>
      <c r="X1107" t="s">
        <v>4159</v>
      </c>
      <c r="Y1107" t="b">
        <v>0</v>
      </c>
      <c r="Z1107" t="s">
        <v>2081</v>
      </c>
    </row>
    <row r="1108" spans="1:26" x14ac:dyDescent="0.35">
      <c r="A1108" t="s">
        <v>651</v>
      </c>
      <c r="B1108" t="s">
        <v>4157</v>
      </c>
      <c r="C1108" t="s">
        <v>3167</v>
      </c>
      <c r="D1108" t="s">
        <v>1963</v>
      </c>
      <c r="E1108" t="s">
        <v>2020</v>
      </c>
      <c r="F1108" t="s">
        <v>2021</v>
      </c>
      <c r="G1108" t="s">
        <v>2022</v>
      </c>
      <c r="H1108" t="s">
        <v>2023</v>
      </c>
      <c r="I1108" t="s">
        <v>4143</v>
      </c>
      <c r="J1108" t="s">
        <v>1963</v>
      </c>
      <c r="K1108" t="s">
        <v>4158</v>
      </c>
      <c r="L1108" t="s">
        <v>2046</v>
      </c>
      <c r="M1108" t="s">
        <v>4122</v>
      </c>
      <c r="N1108" t="s">
        <v>4123</v>
      </c>
      <c r="O1108" t="s">
        <v>3722</v>
      </c>
      <c r="P1108" t="s">
        <v>3723</v>
      </c>
      <c r="Q1108" t="s">
        <v>14</v>
      </c>
      <c r="R1108" t="s">
        <v>14</v>
      </c>
      <c r="S1108" t="s">
        <v>4125</v>
      </c>
      <c r="T1108" t="s">
        <v>4126</v>
      </c>
      <c r="U1108" t="s">
        <v>2233</v>
      </c>
      <c r="V1108" t="s">
        <v>14</v>
      </c>
      <c r="W1108" t="b">
        <v>1</v>
      </c>
      <c r="X1108" t="s">
        <v>4159</v>
      </c>
      <c r="Y1108" t="b">
        <v>0</v>
      </c>
      <c r="Z1108" t="s">
        <v>2081</v>
      </c>
    </row>
    <row r="1109" spans="1:26" x14ac:dyDescent="0.35">
      <c r="A1109" t="s">
        <v>651</v>
      </c>
      <c r="B1109" t="s">
        <v>4157</v>
      </c>
      <c r="C1109" t="s">
        <v>3167</v>
      </c>
      <c r="D1109" t="s">
        <v>1963</v>
      </c>
      <c r="E1109" t="s">
        <v>2020</v>
      </c>
      <c r="F1109" t="s">
        <v>2021</v>
      </c>
      <c r="G1109" t="s">
        <v>2022</v>
      </c>
      <c r="H1109" t="s">
        <v>2023</v>
      </c>
      <c r="I1109" t="s">
        <v>69</v>
      </c>
      <c r="J1109" t="s">
        <v>1963</v>
      </c>
      <c r="K1109" t="s">
        <v>4158</v>
      </c>
      <c r="L1109" t="s">
        <v>2046</v>
      </c>
      <c r="M1109" t="s">
        <v>4101</v>
      </c>
      <c r="N1109" t="s">
        <v>4102</v>
      </c>
      <c r="O1109" t="s">
        <v>4103</v>
      </c>
      <c r="P1109" t="s">
        <v>4104</v>
      </c>
      <c r="Q1109" t="s">
        <v>14</v>
      </c>
      <c r="R1109" t="s">
        <v>14</v>
      </c>
      <c r="S1109" t="s">
        <v>14</v>
      </c>
      <c r="T1109" t="s">
        <v>14</v>
      </c>
      <c r="U1109" t="s">
        <v>2030</v>
      </c>
      <c r="V1109" t="s">
        <v>14</v>
      </c>
      <c r="W1109" t="b">
        <v>1</v>
      </c>
      <c r="X1109" t="s">
        <v>4159</v>
      </c>
      <c r="Y1109" t="b">
        <v>1</v>
      </c>
      <c r="Z1109" t="s">
        <v>2032</v>
      </c>
    </row>
    <row r="1110" spans="1:26" x14ac:dyDescent="0.35">
      <c r="A1110" t="s">
        <v>651</v>
      </c>
      <c r="B1110" t="s">
        <v>4157</v>
      </c>
      <c r="C1110" t="s">
        <v>3167</v>
      </c>
      <c r="D1110" t="s">
        <v>1963</v>
      </c>
      <c r="E1110" t="s">
        <v>2020</v>
      </c>
      <c r="F1110" t="s">
        <v>2021</v>
      </c>
      <c r="G1110" t="s">
        <v>2022</v>
      </c>
      <c r="H1110" t="s">
        <v>2023</v>
      </c>
      <c r="I1110" t="s">
        <v>4121</v>
      </c>
      <c r="J1110" t="s">
        <v>1963</v>
      </c>
      <c r="K1110" t="s">
        <v>4158</v>
      </c>
      <c r="L1110" t="s">
        <v>2046</v>
      </c>
      <c r="M1110" t="s">
        <v>4122</v>
      </c>
      <c r="N1110" t="s">
        <v>4123</v>
      </c>
      <c r="O1110" t="s">
        <v>3722</v>
      </c>
      <c r="P1110" t="s">
        <v>3723</v>
      </c>
      <c r="Q1110" t="s">
        <v>14</v>
      </c>
      <c r="R1110" t="s">
        <v>14</v>
      </c>
      <c r="S1110" t="s">
        <v>4115</v>
      </c>
      <c r="T1110" t="s">
        <v>4116</v>
      </c>
      <c r="U1110" t="s">
        <v>2233</v>
      </c>
      <c r="V1110" t="s">
        <v>14</v>
      </c>
      <c r="W1110" t="b">
        <v>1</v>
      </c>
      <c r="X1110" t="s">
        <v>4159</v>
      </c>
      <c r="Y1110" t="b">
        <v>0</v>
      </c>
      <c r="Z1110" t="s">
        <v>2081</v>
      </c>
    </row>
    <row r="1111" spans="1:26" x14ac:dyDescent="0.35">
      <c r="A1111" t="s">
        <v>651</v>
      </c>
      <c r="B1111" t="s">
        <v>4157</v>
      </c>
      <c r="C1111" t="s">
        <v>3167</v>
      </c>
      <c r="D1111" t="s">
        <v>1963</v>
      </c>
      <c r="E1111" t="s">
        <v>2020</v>
      </c>
      <c r="F1111" t="s">
        <v>2021</v>
      </c>
      <c r="G1111" t="s">
        <v>2022</v>
      </c>
      <c r="H1111" t="s">
        <v>2023</v>
      </c>
      <c r="I1111" t="s">
        <v>4134</v>
      </c>
      <c r="J1111" t="s">
        <v>1963</v>
      </c>
      <c r="K1111" t="s">
        <v>4158</v>
      </c>
      <c r="L1111" t="s">
        <v>2046</v>
      </c>
      <c r="M1111" t="s">
        <v>4122</v>
      </c>
      <c r="N1111" t="s">
        <v>4123</v>
      </c>
      <c r="O1111" t="s">
        <v>3722</v>
      </c>
      <c r="P1111" t="s">
        <v>3723</v>
      </c>
      <c r="Q1111" t="s">
        <v>14</v>
      </c>
      <c r="R1111" t="s">
        <v>14</v>
      </c>
      <c r="S1111" t="s">
        <v>4115</v>
      </c>
      <c r="T1111" t="s">
        <v>4116</v>
      </c>
      <c r="U1111" t="s">
        <v>2233</v>
      </c>
      <c r="V1111" t="s">
        <v>14</v>
      </c>
      <c r="W1111" t="b">
        <v>1</v>
      </c>
      <c r="X1111" t="s">
        <v>4159</v>
      </c>
      <c r="Y1111" t="b">
        <v>0</v>
      </c>
      <c r="Z1111" t="s">
        <v>2081</v>
      </c>
    </row>
    <row r="1112" spans="1:26" x14ac:dyDescent="0.35">
      <c r="A1112" t="s">
        <v>652</v>
      </c>
      <c r="B1112" t="s">
        <v>653</v>
      </c>
      <c r="C1112" t="s">
        <v>3167</v>
      </c>
      <c r="D1112" t="s">
        <v>1963</v>
      </c>
      <c r="E1112" t="s">
        <v>2020</v>
      </c>
      <c r="F1112" t="s">
        <v>2021</v>
      </c>
      <c r="G1112" t="s">
        <v>2022</v>
      </c>
      <c r="H1112" t="s">
        <v>2023</v>
      </c>
      <c r="I1112" t="s">
        <v>4127</v>
      </c>
      <c r="J1112" t="s">
        <v>1963</v>
      </c>
      <c r="K1112" t="s">
        <v>4160</v>
      </c>
      <c r="L1112" t="s">
        <v>2046</v>
      </c>
      <c r="M1112" t="s">
        <v>4113</v>
      </c>
      <c r="N1112" t="s">
        <v>4114</v>
      </c>
      <c r="O1112" t="s">
        <v>3722</v>
      </c>
      <c r="P1112" t="s">
        <v>3723</v>
      </c>
      <c r="Q1112" t="s">
        <v>14</v>
      </c>
      <c r="R1112" t="s">
        <v>14</v>
      </c>
      <c r="S1112" t="s">
        <v>4119</v>
      </c>
      <c r="T1112" t="s">
        <v>4120</v>
      </c>
      <c r="U1112" t="s">
        <v>2233</v>
      </c>
      <c r="V1112" t="s">
        <v>14</v>
      </c>
      <c r="W1112" t="b">
        <v>1</v>
      </c>
      <c r="X1112" t="s">
        <v>4161</v>
      </c>
      <c r="Y1112" t="b">
        <v>0</v>
      </c>
      <c r="Z1112" t="s">
        <v>2081</v>
      </c>
    </row>
    <row r="1113" spans="1:26" x14ac:dyDescent="0.35">
      <c r="A1113" t="s">
        <v>652</v>
      </c>
      <c r="B1113" t="s">
        <v>653</v>
      </c>
      <c r="C1113" t="s">
        <v>3167</v>
      </c>
      <c r="D1113" t="s">
        <v>1963</v>
      </c>
      <c r="E1113" t="s">
        <v>2020</v>
      </c>
      <c r="F1113" t="s">
        <v>2021</v>
      </c>
      <c r="G1113" t="s">
        <v>2022</v>
      </c>
      <c r="H1113" t="s">
        <v>2023</v>
      </c>
      <c r="I1113" t="s">
        <v>4128</v>
      </c>
      <c r="J1113" t="s">
        <v>1963</v>
      </c>
      <c r="K1113" t="s">
        <v>4160</v>
      </c>
      <c r="L1113" t="s">
        <v>2046</v>
      </c>
      <c r="M1113" t="s">
        <v>4129</v>
      </c>
      <c r="N1113" t="s">
        <v>4130</v>
      </c>
      <c r="O1113" t="s">
        <v>3722</v>
      </c>
      <c r="P1113" t="s">
        <v>3723</v>
      </c>
      <c r="Q1113" t="s">
        <v>14</v>
      </c>
      <c r="R1113" t="s">
        <v>14</v>
      </c>
      <c r="S1113" t="s">
        <v>4119</v>
      </c>
      <c r="T1113" t="s">
        <v>4120</v>
      </c>
      <c r="U1113" t="s">
        <v>2233</v>
      </c>
      <c r="V1113" t="s">
        <v>14</v>
      </c>
      <c r="W1113" t="b">
        <v>1</v>
      </c>
      <c r="X1113" t="s">
        <v>4161</v>
      </c>
      <c r="Y1113" t="b">
        <v>0</v>
      </c>
      <c r="Z1113" t="s">
        <v>2053</v>
      </c>
    </row>
    <row r="1114" spans="1:26" x14ac:dyDescent="0.35">
      <c r="A1114" t="s">
        <v>652</v>
      </c>
      <c r="B1114" t="s">
        <v>653</v>
      </c>
      <c r="C1114" t="s">
        <v>3167</v>
      </c>
      <c r="D1114" t="s">
        <v>1963</v>
      </c>
      <c r="E1114" t="s">
        <v>2020</v>
      </c>
      <c r="F1114" t="s">
        <v>2021</v>
      </c>
      <c r="G1114" t="s">
        <v>2022</v>
      </c>
      <c r="H1114" t="s">
        <v>2023</v>
      </c>
      <c r="I1114" t="s">
        <v>4121</v>
      </c>
      <c r="J1114" t="s">
        <v>1963</v>
      </c>
      <c r="K1114" t="s">
        <v>4160</v>
      </c>
      <c r="L1114" t="s">
        <v>2046</v>
      </c>
      <c r="M1114" t="s">
        <v>4122</v>
      </c>
      <c r="N1114" t="s">
        <v>4123</v>
      </c>
      <c r="O1114" t="s">
        <v>3722</v>
      </c>
      <c r="P1114" t="s">
        <v>3723</v>
      </c>
      <c r="Q1114" t="s">
        <v>14</v>
      </c>
      <c r="R1114" t="s">
        <v>14</v>
      </c>
      <c r="S1114" t="s">
        <v>4115</v>
      </c>
      <c r="T1114" t="s">
        <v>4116</v>
      </c>
      <c r="U1114" t="s">
        <v>2233</v>
      </c>
      <c r="V1114" t="s">
        <v>14</v>
      </c>
      <c r="W1114" t="b">
        <v>1</v>
      </c>
      <c r="X1114" t="s">
        <v>4161</v>
      </c>
      <c r="Y1114" t="b">
        <v>0</v>
      </c>
      <c r="Z1114" t="s">
        <v>2081</v>
      </c>
    </row>
    <row r="1115" spans="1:26" x14ac:dyDescent="0.35">
      <c r="A1115" t="s">
        <v>652</v>
      </c>
      <c r="B1115" t="s">
        <v>653</v>
      </c>
      <c r="C1115" t="s">
        <v>3167</v>
      </c>
      <c r="D1115" t="s">
        <v>1963</v>
      </c>
      <c r="E1115" t="s">
        <v>2020</v>
      </c>
      <c r="F1115" t="s">
        <v>2021</v>
      </c>
      <c r="G1115" t="s">
        <v>2022</v>
      </c>
      <c r="H1115" t="s">
        <v>2023</v>
      </c>
      <c r="I1115" t="s">
        <v>4134</v>
      </c>
      <c r="J1115" t="s">
        <v>1963</v>
      </c>
      <c r="K1115" t="s">
        <v>4160</v>
      </c>
      <c r="L1115" t="s">
        <v>2046</v>
      </c>
      <c r="M1115" t="s">
        <v>4122</v>
      </c>
      <c r="N1115" t="s">
        <v>4123</v>
      </c>
      <c r="O1115" t="s">
        <v>3722</v>
      </c>
      <c r="P1115" t="s">
        <v>3723</v>
      </c>
      <c r="Q1115" t="s">
        <v>14</v>
      </c>
      <c r="R1115" t="s">
        <v>14</v>
      </c>
      <c r="S1115" t="s">
        <v>4115</v>
      </c>
      <c r="T1115" t="s">
        <v>4116</v>
      </c>
      <c r="U1115" t="s">
        <v>2233</v>
      </c>
      <c r="V1115" t="s">
        <v>14</v>
      </c>
      <c r="W1115" t="b">
        <v>1</v>
      </c>
      <c r="X1115" t="s">
        <v>4161</v>
      </c>
      <c r="Y1115" t="b">
        <v>0</v>
      </c>
      <c r="Z1115" t="s">
        <v>2081</v>
      </c>
    </row>
    <row r="1116" spans="1:26" x14ac:dyDescent="0.35">
      <c r="A1116" t="s">
        <v>652</v>
      </c>
      <c r="B1116" t="s">
        <v>653</v>
      </c>
      <c r="C1116" t="s">
        <v>3167</v>
      </c>
      <c r="D1116" t="s">
        <v>1963</v>
      </c>
      <c r="E1116" t="s">
        <v>2020</v>
      </c>
      <c r="F1116" t="s">
        <v>2021</v>
      </c>
      <c r="G1116" t="s">
        <v>2022</v>
      </c>
      <c r="H1116" t="s">
        <v>2023</v>
      </c>
      <c r="I1116" t="s">
        <v>4111</v>
      </c>
      <c r="J1116" t="s">
        <v>1963</v>
      </c>
      <c r="K1116" t="s">
        <v>4160</v>
      </c>
      <c r="L1116" t="s">
        <v>2046</v>
      </c>
      <c r="M1116" t="s">
        <v>4113</v>
      </c>
      <c r="N1116" t="s">
        <v>4114</v>
      </c>
      <c r="O1116" t="s">
        <v>3722</v>
      </c>
      <c r="P1116" t="s">
        <v>3723</v>
      </c>
      <c r="Q1116" t="s">
        <v>14</v>
      </c>
      <c r="R1116" t="s">
        <v>14</v>
      </c>
      <c r="S1116" t="s">
        <v>4115</v>
      </c>
      <c r="T1116" t="s">
        <v>4116</v>
      </c>
      <c r="U1116" t="s">
        <v>2233</v>
      </c>
      <c r="V1116" t="s">
        <v>14</v>
      </c>
      <c r="W1116" t="b">
        <v>1</v>
      </c>
      <c r="X1116" t="s">
        <v>4161</v>
      </c>
      <c r="Y1116" t="b">
        <v>0</v>
      </c>
      <c r="Z1116" t="s">
        <v>2032</v>
      </c>
    </row>
    <row r="1117" spans="1:26" x14ac:dyDescent="0.35">
      <c r="A1117" t="s">
        <v>652</v>
      </c>
      <c r="B1117" t="s">
        <v>653</v>
      </c>
      <c r="C1117" t="s">
        <v>3167</v>
      </c>
      <c r="D1117" t="s">
        <v>1963</v>
      </c>
      <c r="E1117" t="s">
        <v>2020</v>
      </c>
      <c r="F1117" t="s">
        <v>2021</v>
      </c>
      <c r="G1117" t="s">
        <v>2022</v>
      </c>
      <c r="H1117" t="s">
        <v>2023</v>
      </c>
      <c r="I1117" t="s">
        <v>4131</v>
      </c>
      <c r="J1117" t="s">
        <v>1963</v>
      </c>
      <c r="K1117" t="s">
        <v>4160</v>
      </c>
      <c r="L1117" t="s">
        <v>2046</v>
      </c>
      <c r="M1117" t="s">
        <v>4122</v>
      </c>
      <c r="N1117" t="s">
        <v>4123</v>
      </c>
      <c r="O1117" t="s">
        <v>3722</v>
      </c>
      <c r="P1117" t="s">
        <v>3723</v>
      </c>
      <c r="Q1117" t="s">
        <v>14</v>
      </c>
      <c r="R1117" t="s">
        <v>14</v>
      </c>
      <c r="S1117" t="s">
        <v>4125</v>
      </c>
      <c r="T1117" t="s">
        <v>4126</v>
      </c>
      <c r="U1117" t="s">
        <v>2233</v>
      </c>
      <c r="V1117" t="s">
        <v>14</v>
      </c>
      <c r="W1117" t="b">
        <v>1</v>
      </c>
      <c r="X1117" t="s">
        <v>4161</v>
      </c>
      <c r="Y1117" t="b">
        <v>0</v>
      </c>
      <c r="Z1117" t="s">
        <v>2053</v>
      </c>
    </row>
    <row r="1118" spans="1:26" x14ac:dyDescent="0.35">
      <c r="A1118" t="s">
        <v>652</v>
      </c>
      <c r="B1118" t="s">
        <v>653</v>
      </c>
      <c r="C1118" t="s">
        <v>3167</v>
      </c>
      <c r="D1118" t="s">
        <v>1963</v>
      </c>
      <c r="E1118" t="s">
        <v>2020</v>
      </c>
      <c r="F1118" t="s">
        <v>2021</v>
      </c>
      <c r="G1118" t="s">
        <v>2022</v>
      </c>
      <c r="H1118" t="s">
        <v>2023</v>
      </c>
      <c r="I1118" t="s">
        <v>4141</v>
      </c>
      <c r="J1118" t="s">
        <v>1963</v>
      </c>
      <c r="K1118" t="s">
        <v>4160</v>
      </c>
      <c r="L1118" t="s">
        <v>2046</v>
      </c>
      <c r="M1118" t="s">
        <v>4122</v>
      </c>
      <c r="N1118" t="s">
        <v>4123</v>
      </c>
      <c r="O1118" t="s">
        <v>3722</v>
      </c>
      <c r="P1118" t="s">
        <v>3723</v>
      </c>
      <c r="Q1118" t="s">
        <v>14</v>
      </c>
      <c r="R1118" t="s">
        <v>14</v>
      </c>
      <c r="S1118" t="s">
        <v>4115</v>
      </c>
      <c r="T1118" t="s">
        <v>4116</v>
      </c>
      <c r="U1118" t="s">
        <v>2233</v>
      </c>
      <c r="V1118" t="s">
        <v>14</v>
      </c>
      <c r="W1118" t="b">
        <v>1</v>
      </c>
      <c r="X1118" t="s">
        <v>4161</v>
      </c>
      <c r="Y1118" t="b">
        <v>0</v>
      </c>
      <c r="Z1118" t="s">
        <v>2032</v>
      </c>
    </row>
    <row r="1119" spans="1:26" x14ac:dyDescent="0.35">
      <c r="A1119" t="s">
        <v>652</v>
      </c>
      <c r="B1119" t="s">
        <v>653</v>
      </c>
      <c r="C1119" t="s">
        <v>3167</v>
      </c>
      <c r="D1119" t="s">
        <v>1963</v>
      </c>
      <c r="E1119" t="s">
        <v>2020</v>
      </c>
      <c r="F1119" t="s">
        <v>2021</v>
      </c>
      <c r="G1119" t="s">
        <v>2022</v>
      </c>
      <c r="H1119" t="s">
        <v>2023</v>
      </c>
      <c r="I1119" t="s">
        <v>69</v>
      </c>
      <c r="J1119" t="s">
        <v>1963</v>
      </c>
      <c r="K1119" t="s">
        <v>4160</v>
      </c>
      <c r="L1119" t="s">
        <v>2046</v>
      </c>
      <c r="M1119" t="s">
        <v>4101</v>
      </c>
      <c r="N1119" t="s">
        <v>4102</v>
      </c>
      <c r="O1119" t="s">
        <v>4103</v>
      </c>
      <c r="P1119" t="s">
        <v>4104</v>
      </c>
      <c r="Q1119" t="s">
        <v>14</v>
      </c>
      <c r="R1119" t="s">
        <v>14</v>
      </c>
      <c r="S1119" t="s">
        <v>14</v>
      </c>
      <c r="T1119" t="s">
        <v>14</v>
      </c>
      <c r="U1119" t="s">
        <v>2030</v>
      </c>
      <c r="V1119" t="s">
        <v>14</v>
      </c>
      <c r="W1119" t="b">
        <v>1</v>
      </c>
      <c r="X1119" t="s">
        <v>4161</v>
      </c>
      <c r="Y1119" t="b">
        <v>1</v>
      </c>
      <c r="Z1119" t="s">
        <v>2032</v>
      </c>
    </row>
    <row r="1120" spans="1:26" x14ac:dyDescent="0.35">
      <c r="A1120" t="s">
        <v>652</v>
      </c>
      <c r="B1120" t="s">
        <v>653</v>
      </c>
      <c r="C1120" t="s">
        <v>3167</v>
      </c>
      <c r="D1120" t="s">
        <v>1963</v>
      </c>
      <c r="E1120" t="s">
        <v>2020</v>
      </c>
      <c r="F1120" t="s">
        <v>2021</v>
      </c>
      <c r="G1120" t="s">
        <v>2022</v>
      </c>
      <c r="H1120" t="s">
        <v>2023</v>
      </c>
      <c r="I1120" t="s">
        <v>4142</v>
      </c>
      <c r="J1120" t="s">
        <v>1963</v>
      </c>
      <c r="K1120" t="s">
        <v>4160</v>
      </c>
      <c r="L1120" t="s">
        <v>2046</v>
      </c>
      <c r="M1120" t="s">
        <v>4122</v>
      </c>
      <c r="N1120" t="s">
        <v>4123</v>
      </c>
      <c r="O1120" t="s">
        <v>3722</v>
      </c>
      <c r="P1120" t="s">
        <v>3723</v>
      </c>
      <c r="Q1120" t="s">
        <v>14</v>
      </c>
      <c r="R1120" t="s">
        <v>14</v>
      </c>
      <c r="S1120" t="s">
        <v>4125</v>
      </c>
      <c r="T1120" t="s">
        <v>4126</v>
      </c>
      <c r="U1120" t="s">
        <v>2233</v>
      </c>
      <c r="V1120" t="s">
        <v>14</v>
      </c>
      <c r="W1120" t="b">
        <v>1</v>
      </c>
      <c r="X1120" t="s">
        <v>4161</v>
      </c>
      <c r="Y1120" t="b">
        <v>0</v>
      </c>
      <c r="Z1120" t="s">
        <v>2032</v>
      </c>
    </row>
    <row r="1121" spans="1:26" x14ac:dyDescent="0.35">
      <c r="A1121" t="s">
        <v>652</v>
      </c>
      <c r="B1121" t="s">
        <v>653</v>
      </c>
      <c r="C1121" t="s">
        <v>3167</v>
      </c>
      <c r="D1121" t="s">
        <v>1963</v>
      </c>
      <c r="E1121" t="s">
        <v>2020</v>
      </c>
      <c r="F1121" t="s">
        <v>2021</v>
      </c>
      <c r="G1121" t="s">
        <v>2022</v>
      </c>
      <c r="H1121" t="s">
        <v>2023</v>
      </c>
      <c r="I1121" t="s">
        <v>4144</v>
      </c>
      <c r="J1121" t="s">
        <v>1963</v>
      </c>
      <c r="K1121" t="s">
        <v>4160</v>
      </c>
      <c r="L1121" t="s">
        <v>2046</v>
      </c>
      <c r="M1121" t="s">
        <v>4122</v>
      </c>
      <c r="N1121" t="s">
        <v>4123</v>
      </c>
      <c r="O1121" t="s">
        <v>3722</v>
      </c>
      <c r="P1121" t="s">
        <v>3723</v>
      </c>
      <c r="Q1121" t="s">
        <v>14</v>
      </c>
      <c r="R1121" t="s">
        <v>14</v>
      </c>
      <c r="S1121" t="s">
        <v>14</v>
      </c>
      <c r="T1121" t="s">
        <v>14</v>
      </c>
      <c r="U1121" t="s">
        <v>2233</v>
      </c>
      <c r="V1121" t="s">
        <v>14</v>
      </c>
      <c r="W1121" t="b">
        <v>1</v>
      </c>
      <c r="X1121" t="s">
        <v>4161</v>
      </c>
      <c r="Y1121" t="b">
        <v>0</v>
      </c>
      <c r="Z1121" t="s">
        <v>2032</v>
      </c>
    </row>
    <row r="1122" spans="1:26" x14ac:dyDescent="0.35">
      <c r="A1122" t="s">
        <v>652</v>
      </c>
      <c r="B1122" t="s">
        <v>653</v>
      </c>
      <c r="C1122" t="s">
        <v>3167</v>
      </c>
      <c r="D1122" t="s">
        <v>1963</v>
      </c>
      <c r="E1122" t="s">
        <v>2020</v>
      </c>
      <c r="F1122" t="s">
        <v>2021</v>
      </c>
      <c r="G1122" t="s">
        <v>2022</v>
      </c>
      <c r="H1122" t="s">
        <v>2023</v>
      </c>
      <c r="I1122" t="s">
        <v>4133</v>
      </c>
      <c r="J1122" t="s">
        <v>1963</v>
      </c>
      <c r="K1122" t="s">
        <v>4160</v>
      </c>
      <c r="L1122" t="s">
        <v>2046</v>
      </c>
      <c r="M1122" t="s">
        <v>4122</v>
      </c>
      <c r="N1122" t="s">
        <v>4123</v>
      </c>
      <c r="O1122" t="s">
        <v>3722</v>
      </c>
      <c r="P1122" t="s">
        <v>3723</v>
      </c>
      <c r="Q1122" t="s">
        <v>14</v>
      </c>
      <c r="R1122" t="s">
        <v>14</v>
      </c>
      <c r="S1122" t="s">
        <v>4115</v>
      </c>
      <c r="T1122" t="s">
        <v>4116</v>
      </c>
      <c r="U1122" t="s">
        <v>2233</v>
      </c>
      <c r="V1122" t="s">
        <v>14</v>
      </c>
      <c r="W1122" t="b">
        <v>1</v>
      </c>
      <c r="X1122" t="s">
        <v>4161</v>
      </c>
      <c r="Y1122" t="b">
        <v>0</v>
      </c>
      <c r="Z1122" t="s">
        <v>2081</v>
      </c>
    </row>
    <row r="1123" spans="1:26" x14ac:dyDescent="0.35">
      <c r="A1123" t="s">
        <v>652</v>
      </c>
      <c r="B1123" t="s">
        <v>653</v>
      </c>
      <c r="C1123" t="s">
        <v>3167</v>
      </c>
      <c r="D1123" t="s">
        <v>1963</v>
      </c>
      <c r="E1123" t="s">
        <v>2020</v>
      </c>
      <c r="F1123" t="s">
        <v>2021</v>
      </c>
      <c r="G1123" t="s">
        <v>2022</v>
      </c>
      <c r="H1123" t="s">
        <v>2023</v>
      </c>
      <c r="I1123" t="s">
        <v>4135</v>
      </c>
      <c r="J1123" t="s">
        <v>1963</v>
      </c>
      <c r="K1123" t="s">
        <v>4160</v>
      </c>
      <c r="L1123" t="s">
        <v>2046</v>
      </c>
      <c r="M1123" t="s">
        <v>4122</v>
      </c>
      <c r="N1123" t="s">
        <v>4123</v>
      </c>
      <c r="O1123" t="s">
        <v>3722</v>
      </c>
      <c r="P1123" t="s">
        <v>3723</v>
      </c>
      <c r="Q1123" t="s">
        <v>14</v>
      </c>
      <c r="R1123" t="s">
        <v>14</v>
      </c>
      <c r="S1123" t="s">
        <v>4119</v>
      </c>
      <c r="T1123" t="s">
        <v>4120</v>
      </c>
      <c r="U1123" t="s">
        <v>2233</v>
      </c>
      <c r="V1123" t="s">
        <v>14</v>
      </c>
      <c r="W1123" t="b">
        <v>1</v>
      </c>
      <c r="X1123" t="s">
        <v>4161</v>
      </c>
      <c r="Y1123" t="b">
        <v>0</v>
      </c>
      <c r="Z1123" t="s">
        <v>2053</v>
      </c>
    </row>
    <row r="1124" spans="1:26" x14ac:dyDescent="0.35">
      <c r="A1124" t="s">
        <v>652</v>
      </c>
      <c r="B1124" t="s">
        <v>653</v>
      </c>
      <c r="C1124" t="s">
        <v>3167</v>
      </c>
      <c r="D1124" t="s">
        <v>1963</v>
      </c>
      <c r="E1124" t="s">
        <v>2020</v>
      </c>
      <c r="F1124" t="s">
        <v>2021</v>
      </c>
      <c r="G1124" t="s">
        <v>2022</v>
      </c>
      <c r="H1124" t="s">
        <v>2023</v>
      </c>
      <c r="I1124" t="s">
        <v>4124</v>
      </c>
      <c r="J1124" t="s">
        <v>1963</v>
      </c>
      <c r="K1124" t="s">
        <v>4160</v>
      </c>
      <c r="L1124" t="s">
        <v>2046</v>
      </c>
      <c r="M1124" t="s">
        <v>4122</v>
      </c>
      <c r="N1124" t="s">
        <v>4123</v>
      </c>
      <c r="O1124" t="s">
        <v>3722</v>
      </c>
      <c r="P1124" t="s">
        <v>3723</v>
      </c>
      <c r="Q1124" t="s">
        <v>14</v>
      </c>
      <c r="R1124" t="s">
        <v>14</v>
      </c>
      <c r="S1124" t="s">
        <v>4125</v>
      </c>
      <c r="T1124" t="s">
        <v>4126</v>
      </c>
      <c r="U1124" t="s">
        <v>2233</v>
      </c>
      <c r="V1124" t="s">
        <v>14</v>
      </c>
      <c r="W1124" t="b">
        <v>1</v>
      </c>
      <c r="X1124" t="s">
        <v>4161</v>
      </c>
      <c r="Y1124" t="b">
        <v>0</v>
      </c>
      <c r="Z1124" t="s">
        <v>2081</v>
      </c>
    </row>
    <row r="1125" spans="1:26" x14ac:dyDescent="0.35">
      <c r="A1125" t="s">
        <v>652</v>
      </c>
      <c r="B1125" t="s">
        <v>653</v>
      </c>
      <c r="C1125" t="s">
        <v>3167</v>
      </c>
      <c r="D1125" t="s">
        <v>1963</v>
      </c>
      <c r="E1125" t="s">
        <v>2020</v>
      </c>
      <c r="F1125" t="s">
        <v>2021</v>
      </c>
      <c r="G1125" t="s">
        <v>2022</v>
      </c>
      <c r="H1125" t="s">
        <v>2023</v>
      </c>
      <c r="I1125" t="s">
        <v>4132</v>
      </c>
      <c r="J1125" t="s">
        <v>1963</v>
      </c>
      <c r="K1125" t="s">
        <v>4160</v>
      </c>
      <c r="L1125" t="s">
        <v>2046</v>
      </c>
      <c r="M1125" t="s">
        <v>4122</v>
      </c>
      <c r="N1125" t="s">
        <v>4123</v>
      </c>
      <c r="O1125" t="s">
        <v>3722</v>
      </c>
      <c r="P1125" t="s">
        <v>3723</v>
      </c>
      <c r="Q1125" t="s">
        <v>14</v>
      </c>
      <c r="R1125" t="s">
        <v>14</v>
      </c>
      <c r="S1125" t="s">
        <v>4119</v>
      </c>
      <c r="T1125" t="s">
        <v>4120</v>
      </c>
      <c r="U1125" t="s">
        <v>2233</v>
      </c>
      <c r="V1125" t="s">
        <v>14</v>
      </c>
      <c r="W1125" t="b">
        <v>1</v>
      </c>
      <c r="X1125" t="s">
        <v>4161</v>
      </c>
      <c r="Y1125" t="b">
        <v>0</v>
      </c>
      <c r="Z1125" t="s">
        <v>2053</v>
      </c>
    </row>
    <row r="1126" spans="1:26" x14ac:dyDescent="0.35">
      <c r="A1126" t="s">
        <v>652</v>
      </c>
      <c r="B1126" t="s">
        <v>653</v>
      </c>
      <c r="C1126" t="s">
        <v>3167</v>
      </c>
      <c r="D1126" t="s">
        <v>1963</v>
      </c>
      <c r="E1126" t="s">
        <v>2020</v>
      </c>
      <c r="F1126" t="s">
        <v>2021</v>
      </c>
      <c r="G1126" t="s">
        <v>2022</v>
      </c>
      <c r="H1126" t="s">
        <v>2023</v>
      </c>
      <c r="I1126" t="s">
        <v>4143</v>
      </c>
      <c r="J1126" t="s">
        <v>1963</v>
      </c>
      <c r="K1126" t="s">
        <v>4160</v>
      </c>
      <c r="L1126" t="s">
        <v>2046</v>
      </c>
      <c r="M1126" t="s">
        <v>4122</v>
      </c>
      <c r="N1126" t="s">
        <v>4123</v>
      </c>
      <c r="O1126" t="s">
        <v>3722</v>
      </c>
      <c r="P1126" t="s">
        <v>3723</v>
      </c>
      <c r="Q1126" t="s">
        <v>14</v>
      </c>
      <c r="R1126" t="s">
        <v>14</v>
      </c>
      <c r="S1126" t="s">
        <v>4125</v>
      </c>
      <c r="T1126" t="s">
        <v>4126</v>
      </c>
      <c r="U1126" t="s">
        <v>2233</v>
      </c>
      <c r="V1126" t="s">
        <v>14</v>
      </c>
      <c r="W1126" t="b">
        <v>1</v>
      </c>
      <c r="X1126" t="s">
        <v>4161</v>
      </c>
      <c r="Y1126" t="b">
        <v>0</v>
      </c>
      <c r="Z1126" t="s">
        <v>2081</v>
      </c>
    </row>
    <row r="1127" spans="1:26" x14ac:dyDescent="0.35">
      <c r="A1127" t="s">
        <v>652</v>
      </c>
      <c r="B1127" t="s">
        <v>653</v>
      </c>
      <c r="C1127" t="s">
        <v>3167</v>
      </c>
      <c r="D1127" t="s">
        <v>1963</v>
      </c>
      <c r="E1127" t="s">
        <v>2020</v>
      </c>
      <c r="F1127" t="s">
        <v>2021</v>
      </c>
      <c r="G1127" t="s">
        <v>2022</v>
      </c>
      <c r="H1127" t="s">
        <v>2023</v>
      </c>
      <c r="I1127" t="s">
        <v>4136</v>
      </c>
      <c r="J1127" t="s">
        <v>1963</v>
      </c>
      <c r="K1127" t="s">
        <v>4160</v>
      </c>
      <c r="L1127" t="s">
        <v>2046</v>
      </c>
      <c r="M1127" t="s">
        <v>4137</v>
      </c>
      <c r="N1127" t="s">
        <v>4138</v>
      </c>
      <c r="O1127" t="s">
        <v>3722</v>
      </c>
      <c r="P1127" t="s">
        <v>3723</v>
      </c>
      <c r="Q1127" t="s">
        <v>14</v>
      </c>
      <c r="R1127" t="s">
        <v>14</v>
      </c>
      <c r="S1127" t="s">
        <v>4139</v>
      </c>
      <c r="T1127" t="s">
        <v>4140</v>
      </c>
      <c r="U1127" t="s">
        <v>2233</v>
      </c>
      <c r="V1127" t="s">
        <v>14</v>
      </c>
      <c r="W1127" t="b">
        <v>1</v>
      </c>
      <c r="X1127" t="s">
        <v>4161</v>
      </c>
      <c r="Y1127" t="b">
        <v>0</v>
      </c>
      <c r="Z1127" t="s">
        <v>2081</v>
      </c>
    </row>
    <row r="1128" spans="1:26" x14ac:dyDescent="0.35">
      <c r="A1128" t="s">
        <v>652</v>
      </c>
      <c r="B1128" t="s">
        <v>653</v>
      </c>
      <c r="C1128" t="s">
        <v>3167</v>
      </c>
      <c r="D1128" t="s">
        <v>1963</v>
      </c>
      <c r="E1128" t="s">
        <v>2020</v>
      </c>
      <c r="F1128" t="s">
        <v>2021</v>
      </c>
      <c r="G1128" t="s">
        <v>2022</v>
      </c>
      <c r="H1128" t="s">
        <v>2023</v>
      </c>
      <c r="I1128" t="s">
        <v>4118</v>
      </c>
      <c r="J1128" t="s">
        <v>1963</v>
      </c>
      <c r="K1128" t="s">
        <v>4160</v>
      </c>
      <c r="L1128" t="s">
        <v>2046</v>
      </c>
      <c r="M1128" t="s">
        <v>4113</v>
      </c>
      <c r="N1128" t="s">
        <v>4114</v>
      </c>
      <c r="O1128" t="s">
        <v>3722</v>
      </c>
      <c r="P1128" t="s">
        <v>3723</v>
      </c>
      <c r="Q1128" t="s">
        <v>14</v>
      </c>
      <c r="R1128" t="s">
        <v>14</v>
      </c>
      <c r="S1128" t="s">
        <v>4119</v>
      </c>
      <c r="T1128" t="s">
        <v>4120</v>
      </c>
      <c r="U1128" t="s">
        <v>2233</v>
      </c>
      <c r="V1128" t="s">
        <v>14</v>
      </c>
      <c r="W1128" t="b">
        <v>1</v>
      </c>
      <c r="X1128" t="s">
        <v>4161</v>
      </c>
      <c r="Y1128" t="b">
        <v>0</v>
      </c>
      <c r="Z1128" t="s">
        <v>2081</v>
      </c>
    </row>
    <row r="1129" spans="1:26" x14ac:dyDescent="0.35">
      <c r="A1129" t="s">
        <v>654</v>
      </c>
      <c r="B1129" t="s">
        <v>655</v>
      </c>
      <c r="C1129" t="s">
        <v>3167</v>
      </c>
      <c r="D1129" t="s">
        <v>1963</v>
      </c>
      <c r="E1129" t="s">
        <v>2020</v>
      </c>
      <c r="F1129" t="s">
        <v>2021</v>
      </c>
      <c r="G1129" t="s">
        <v>2022</v>
      </c>
      <c r="H1129" t="s">
        <v>2023</v>
      </c>
      <c r="I1129" t="s">
        <v>4141</v>
      </c>
      <c r="J1129" t="s">
        <v>1963</v>
      </c>
      <c r="K1129" t="s">
        <v>4162</v>
      </c>
      <c r="L1129" t="s">
        <v>2046</v>
      </c>
      <c r="M1129" t="s">
        <v>4122</v>
      </c>
      <c r="N1129" t="s">
        <v>4123</v>
      </c>
      <c r="O1129" t="s">
        <v>3722</v>
      </c>
      <c r="P1129" t="s">
        <v>3723</v>
      </c>
      <c r="Q1129" t="s">
        <v>14</v>
      </c>
      <c r="R1129" t="s">
        <v>14</v>
      </c>
      <c r="S1129" t="s">
        <v>4115</v>
      </c>
      <c r="T1129" t="s">
        <v>4116</v>
      </c>
      <c r="U1129" t="s">
        <v>2233</v>
      </c>
      <c r="V1129" t="s">
        <v>14</v>
      </c>
      <c r="W1129" t="b">
        <v>1</v>
      </c>
      <c r="X1129" t="s">
        <v>4163</v>
      </c>
      <c r="Y1129" t="b">
        <v>0</v>
      </c>
      <c r="Z1129" t="s">
        <v>2032</v>
      </c>
    </row>
    <row r="1130" spans="1:26" x14ac:dyDescent="0.35">
      <c r="A1130" t="s">
        <v>654</v>
      </c>
      <c r="B1130" t="s">
        <v>655</v>
      </c>
      <c r="C1130" t="s">
        <v>3167</v>
      </c>
      <c r="D1130" t="s">
        <v>1963</v>
      </c>
      <c r="E1130" t="s">
        <v>2020</v>
      </c>
      <c r="F1130" t="s">
        <v>2021</v>
      </c>
      <c r="G1130" t="s">
        <v>2022</v>
      </c>
      <c r="H1130" t="s">
        <v>2023</v>
      </c>
      <c r="I1130" t="s">
        <v>4134</v>
      </c>
      <c r="J1130" t="s">
        <v>1963</v>
      </c>
      <c r="K1130" t="s">
        <v>4162</v>
      </c>
      <c r="L1130" t="s">
        <v>2046</v>
      </c>
      <c r="M1130" t="s">
        <v>4122</v>
      </c>
      <c r="N1130" t="s">
        <v>4123</v>
      </c>
      <c r="O1130" t="s">
        <v>3722</v>
      </c>
      <c r="P1130" t="s">
        <v>3723</v>
      </c>
      <c r="Q1130" t="s">
        <v>14</v>
      </c>
      <c r="R1130" t="s">
        <v>14</v>
      </c>
      <c r="S1130" t="s">
        <v>4115</v>
      </c>
      <c r="T1130" t="s">
        <v>4116</v>
      </c>
      <c r="U1130" t="s">
        <v>2233</v>
      </c>
      <c r="V1130" t="s">
        <v>14</v>
      </c>
      <c r="W1130" t="b">
        <v>1</v>
      </c>
      <c r="X1130" t="s">
        <v>4163</v>
      </c>
      <c r="Y1130" t="b">
        <v>0</v>
      </c>
      <c r="Z1130" t="s">
        <v>2081</v>
      </c>
    </row>
    <row r="1131" spans="1:26" x14ac:dyDescent="0.35">
      <c r="A1131" t="s">
        <v>654</v>
      </c>
      <c r="B1131" t="s">
        <v>655</v>
      </c>
      <c r="C1131" t="s">
        <v>3167</v>
      </c>
      <c r="D1131" t="s">
        <v>1963</v>
      </c>
      <c r="E1131" t="s">
        <v>2020</v>
      </c>
      <c r="F1131" t="s">
        <v>2021</v>
      </c>
      <c r="G1131" t="s">
        <v>2022</v>
      </c>
      <c r="H1131" t="s">
        <v>2023</v>
      </c>
      <c r="I1131" t="s">
        <v>4128</v>
      </c>
      <c r="J1131" t="s">
        <v>1963</v>
      </c>
      <c r="K1131" t="s">
        <v>4162</v>
      </c>
      <c r="L1131" t="s">
        <v>2046</v>
      </c>
      <c r="M1131" t="s">
        <v>4129</v>
      </c>
      <c r="N1131" t="s">
        <v>4130</v>
      </c>
      <c r="O1131" t="s">
        <v>3722</v>
      </c>
      <c r="P1131" t="s">
        <v>3723</v>
      </c>
      <c r="Q1131" t="s">
        <v>14</v>
      </c>
      <c r="R1131" t="s">
        <v>14</v>
      </c>
      <c r="S1131" t="s">
        <v>4119</v>
      </c>
      <c r="T1131" t="s">
        <v>4120</v>
      </c>
      <c r="U1131" t="s">
        <v>2233</v>
      </c>
      <c r="V1131" t="s">
        <v>14</v>
      </c>
      <c r="W1131" t="b">
        <v>1</v>
      </c>
      <c r="X1131" t="s">
        <v>4163</v>
      </c>
      <c r="Y1131" t="b">
        <v>0</v>
      </c>
      <c r="Z1131" t="s">
        <v>2053</v>
      </c>
    </row>
    <row r="1132" spans="1:26" x14ac:dyDescent="0.35">
      <c r="A1132" t="s">
        <v>654</v>
      </c>
      <c r="B1132" t="s">
        <v>655</v>
      </c>
      <c r="C1132" t="s">
        <v>3167</v>
      </c>
      <c r="D1132" t="s">
        <v>1963</v>
      </c>
      <c r="E1132" t="s">
        <v>2020</v>
      </c>
      <c r="F1132" t="s">
        <v>2021</v>
      </c>
      <c r="G1132" t="s">
        <v>2022</v>
      </c>
      <c r="H1132" t="s">
        <v>2023</v>
      </c>
      <c r="I1132" t="s">
        <v>4142</v>
      </c>
      <c r="J1132" t="s">
        <v>1963</v>
      </c>
      <c r="K1132" t="s">
        <v>4162</v>
      </c>
      <c r="L1132" t="s">
        <v>2046</v>
      </c>
      <c r="M1132" t="s">
        <v>4122</v>
      </c>
      <c r="N1132" t="s">
        <v>4123</v>
      </c>
      <c r="O1132" t="s">
        <v>3722</v>
      </c>
      <c r="P1132" t="s">
        <v>3723</v>
      </c>
      <c r="Q1132" t="s">
        <v>14</v>
      </c>
      <c r="R1132" t="s">
        <v>14</v>
      </c>
      <c r="S1132" t="s">
        <v>4125</v>
      </c>
      <c r="T1132" t="s">
        <v>4126</v>
      </c>
      <c r="U1132" t="s">
        <v>2233</v>
      </c>
      <c r="V1132" t="s">
        <v>14</v>
      </c>
      <c r="W1132" t="b">
        <v>1</v>
      </c>
      <c r="X1132" t="s">
        <v>4163</v>
      </c>
      <c r="Y1132" t="b">
        <v>0</v>
      </c>
      <c r="Z1132" t="s">
        <v>2032</v>
      </c>
    </row>
    <row r="1133" spans="1:26" x14ac:dyDescent="0.35">
      <c r="A1133" t="s">
        <v>654</v>
      </c>
      <c r="B1133" t="s">
        <v>655</v>
      </c>
      <c r="C1133" t="s">
        <v>3167</v>
      </c>
      <c r="D1133" t="s">
        <v>1963</v>
      </c>
      <c r="E1133" t="s">
        <v>2020</v>
      </c>
      <c r="F1133" t="s">
        <v>2021</v>
      </c>
      <c r="G1133" t="s">
        <v>2022</v>
      </c>
      <c r="H1133" t="s">
        <v>2023</v>
      </c>
      <c r="I1133" t="s">
        <v>4133</v>
      </c>
      <c r="J1133" t="s">
        <v>1963</v>
      </c>
      <c r="K1133" t="s">
        <v>4162</v>
      </c>
      <c r="L1133" t="s">
        <v>2046</v>
      </c>
      <c r="M1133" t="s">
        <v>4122</v>
      </c>
      <c r="N1133" t="s">
        <v>4123</v>
      </c>
      <c r="O1133" t="s">
        <v>3722</v>
      </c>
      <c r="P1133" t="s">
        <v>3723</v>
      </c>
      <c r="Q1133" t="s">
        <v>14</v>
      </c>
      <c r="R1133" t="s">
        <v>14</v>
      </c>
      <c r="S1133" t="s">
        <v>4115</v>
      </c>
      <c r="T1133" t="s">
        <v>4116</v>
      </c>
      <c r="U1133" t="s">
        <v>2233</v>
      </c>
      <c r="V1133" t="s">
        <v>14</v>
      </c>
      <c r="W1133" t="b">
        <v>1</v>
      </c>
      <c r="X1133" t="s">
        <v>4163</v>
      </c>
      <c r="Y1133" t="b">
        <v>0</v>
      </c>
      <c r="Z1133" t="s">
        <v>2081</v>
      </c>
    </row>
    <row r="1134" spans="1:26" x14ac:dyDescent="0.35">
      <c r="A1134" t="s">
        <v>654</v>
      </c>
      <c r="B1134" t="s">
        <v>655</v>
      </c>
      <c r="C1134" t="s">
        <v>3167</v>
      </c>
      <c r="D1134" t="s">
        <v>1963</v>
      </c>
      <c r="E1134" t="s">
        <v>2020</v>
      </c>
      <c r="F1134" t="s">
        <v>2021</v>
      </c>
      <c r="G1134" t="s">
        <v>2022</v>
      </c>
      <c r="H1134" t="s">
        <v>2023</v>
      </c>
      <c r="I1134" t="s">
        <v>4111</v>
      </c>
      <c r="J1134" t="s">
        <v>1963</v>
      </c>
      <c r="K1134" t="s">
        <v>4162</v>
      </c>
      <c r="L1134" t="s">
        <v>2046</v>
      </c>
      <c r="M1134" t="s">
        <v>4113</v>
      </c>
      <c r="N1134" t="s">
        <v>4114</v>
      </c>
      <c r="O1134" t="s">
        <v>3722</v>
      </c>
      <c r="P1134" t="s">
        <v>3723</v>
      </c>
      <c r="Q1134" t="s">
        <v>14</v>
      </c>
      <c r="R1134" t="s">
        <v>14</v>
      </c>
      <c r="S1134" t="s">
        <v>4115</v>
      </c>
      <c r="T1134" t="s">
        <v>4116</v>
      </c>
      <c r="U1134" t="s">
        <v>2233</v>
      </c>
      <c r="V1134" t="s">
        <v>14</v>
      </c>
      <c r="W1134" t="b">
        <v>1</v>
      </c>
      <c r="X1134" t="s">
        <v>4163</v>
      </c>
      <c r="Y1134" t="b">
        <v>0</v>
      </c>
      <c r="Z1134" t="s">
        <v>2032</v>
      </c>
    </row>
    <row r="1135" spans="1:26" x14ac:dyDescent="0.35">
      <c r="A1135" t="s">
        <v>654</v>
      </c>
      <c r="B1135" t="s">
        <v>655</v>
      </c>
      <c r="C1135" t="s">
        <v>3167</v>
      </c>
      <c r="D1135" t="s">
        <v>1963</v>
      </c>
      <c r="E1135" t="s">
        <v>2020</v>
      </c>
      <c r="F1135" t="s">
        <v>2021</v>
      </c>
      <c r="G1135" t="s">
        <v>2022</v>
      </c>
      <c r="H1135" t="s">
        <v>2023</v>
      </c>
      <c r="I1135" t="s">
        <v>4124</v>
      </c>
      <c r="J1135" t="s">
        <v>1963</v>
      </c>
      <c r="K1135" t="s">
        <v>4162</v>
      </c>
      <c r="L1135" t="s">
        <v>2046</v>
      </c>
      <c r="M1135" t="s">
        <v>4122</v>
      </c>
      <c r="N1135" t="s">
        <v>4123</v>
      </c>
      <c r="O1135" t="s">
        <v>3722</v>
      </c>
      <c r="P1135" t="s">
        <v>3723</v>
      </c>
      <c r="Q1135" t="s">
        <v>14</v>
      </c>
      <c r="R1135" t="s">
        <v>14</v>
      </c>
      <c r="S1135" t="s">
        <v>4125</v>
      </c>
      <c r="T1135" t="s">
        <v>4126</v>
      </c>
      <c r="U1135" t="s">
        <v>2233</v>
      </c>
      <c r="V1135" t="s">
        <v>14</v>
      </c>
      <c r="W1135" t="b">
        <v>1</v>
      </c>
      <c r="X1135" t="s">
        <v>4163</v>
      </c>
      <c r="Y1135" t="b">
        <v>0</v>
      </c>
      <c r="Z1135" t="s">
        <v>2081</v>
      </c>
    </row>
    <row r="1136" spans="1:26" x14ac:dyDescent="0.35">
      <c r="A1136" t="s">
        <v>654</v>
      </c>
      <c r="B1136" t="s">
        <v>655</v>
      </c>
      <c r="C1136" t="s">
        <v>3167</v>
      </c>
      <c r="D1136" t="s">
        <v>1963</v>
      </c>
      <c r="E1136" t="s">
        <v>2020</v>
      </c>
      <c r="F1136" t="s">
        <v>2021</v>
      </c>
      <c r="G1136" t="s">
        <v>2022</v>
      </c>
      <c r="H1136" t="s">
        <v>2023</v>
      </c>
      <c r="I1136" t="s">
        <v>4131</v>
      </c>
      <c r="J1136" t="s">
        <v>1963</v>
      </c>
      <c r="K1136" t="s">
        <v>4162</v>
      </c>
      <c r="L1136" t="s">
        <v>2046</v>
      </c>
      <c r="M1136" t="s">
        <v>4122</v>
      </c>
      <c r="N1136" t="s">
        <v>4123</v>
      </c>
      <c r="O1136" t="s">
        <v>3722</v>
      </c>
      <c r="P1136" t="s">
        <v>3723</v>
      </c>
      <c r="Q1136" t="s">
        <v>14</v>
      </c>
      <c r="R1136" t="s">
        <v>14</v>
      </c>
      <c r="S1136" t="s">
        <v>4125</v>
      </c>
      <c r="T1136" t="s">
        <v>4126</v>
      </c>
      <c r="U1136" t="s">
        <v>2233</v>
      </c>
      <c r="V1136" t="s">
        <v>14</v>
      </c>
      <c r="W1136" t="b">
        <v>1</v>
      </c>
      <c r="X1136" t="s">
        <v>4163</v>
      </c>
      <c r="Y1136" t="b">
        <v>0</v>
      </c>
      <c r="Z1136" t="s">
        <v>2053</v>
      </c>
    </row>
    <row r="1137" spans="1:26" x14ac:dyDescent="0.35">
      <c r="A1137" t="s">
        <v>654</v>
      </c>
      <c r="B1137" t="s">
        <v>655</v>
      </c>
      <c r="C1137" t="s">
        <v>3167</v>
      </c>
      <c r="D1137" t="s">
        <v>1963</v>
      </c>
      <c r="E1137" t="s">
        <v>2020</v>
      </c>
      <c r="F1137" t="s">
        <v>2021</v>
      </c>
      <c r="G1137" t="s">
        <v>2022</v>
      </c>
      <c r="H1137" t="s">
        <v>2023</v>
      </c>
      <c r="I1137" t="s">
        <v>4127</v>
      </c>
      <c r="J1137" t="s">
        <v>1963</v>
      </c>
      <c r="K1137" t="s">
        <v>4162</v>
      </c>
      <c r="L1137" t="s">
        <v>2046</v>
      </c>
      <c r="M1137" t="s">
        <v>4113</v>
      </c>
      <c r="N1137" t="s">
        <v>4114</v>
      </c>
      <c r="O1137" t="s">
        <v>3722</v>
      </c>
      <c r="P1137" t="s">
        <v>3723</v>
      </c>
      <c r="Q1137" t="s">
        <v>14</v>
      </c>
      <c r="R1137" t="s">
        <v>14</v>
      </c>
      <c r="S1137" t="s">
        <v>4119</v>
      </c>
      <c r="T1137" t="s">
        <v>4120</v>
      </c>
      <c r="U1137" t="s">
        <v>2233</v>
      </c>
      <c r="V1137" t="s">
        <v>14</v>
      </c>
      <c r="W1137" t="b">
        <v>1</v>
      </c>
      <c r="X1137" t="s">
        <v>4163</v>
      </c>
      <c r="Y1137" t="b">
        <v>0</v>
      </c>
      <c r="Z1137" t="s">
        <v>2081</v>
      </c>
    </row>
    <row r="1138" spans="1:26" x14ac:dyDescent="0.35">
      <c r="A1138" t="s">
        <v>654</v>
      </c>
      <c r="B1138" t="s">
        <v>655</v>
      </c>
      <c r="C1138" t="s">
        <v>3167</v>
      </c>
      <c r="D1138" t="s">
        <v>1963</v>
      </c>
      <c r="E1138" t="s">
        <v>2020</v>
      </c>
      <c r="F1138" t="s">
        <v>2021</v>
      </c>
      <c r="G1138" t="s">
        <v>2022</v>
      </c>
      <c r="H1138" t="s">
        <v>2023</v>
      </c>
      <c r="I1138" t="s">
        <v>4144</v>
      </c>
      <c r="J1138" t="s">
        <v>1963</v>
      </c>
      <c r="K1138" t="s">
        <v>4162</v>
      </c>
      <c r="L1138" t="s">
        <v>2046</v>
      </c>
      <c r="M1138" t="s">
        <v>4122</v>
      </c>
      <c r="N1138" t="s">
        <v>4123</v>
      </c>
      <c r="O1138" t="s">
        <v>3722</v>
      </c>
      <c r="P1138" t="s">
        <v>3723</v>
      </c>
      <c r="Q1138" t="s">
        <v>14</v>
      </c>
      <c r="R1138" t="s">
        <v>14</v>
      </c>
      <c r="S1138" t="s">
        <v>14</v>
      </c>
      <c r="T1138" t="s">
        <v>14</v>
      </c>
      <c r="U1138" t="s">
        <v>2233</v>
      </c>
      <c r="V1138" t="s">
        <v>14</v>
      </c>
      <c r="W1138" t="b">
        <v>1</v>
      </c>
      <c r="X1138" t="s">
        <v>4163</v>
      </c>
      <c r="Y1138" t="b">
        <v>0</v>
      </c>
      <c r="Z1138" t="s">
        <v>2032</v>
      </c>
    </row>
    <row r="1139" spans="1:26" x14ac:dyDescent="0.35">
      <c r="A1139" t="s">
        <v>654</v>
      </c>
      <c r="B1139" t="s">
        <v>655</v>
      </c>
      <c r="C1139" t="s">
        <v>3167</v>
      </c>
      <c r="D1139" t="s">
        <v>1963</v>
      </c>
      <c r="E1139" t="s">
        <v>2020</v>
      </c>
      <c r="F1139" t="s">
        <v>2021</v>
      </c>
      <c r="G1139" t="s">
        <v>2022</v>
      </c>
      <c r="H1139" t="s">
        <v>2023</v>
      </c>
      <c r="I1139" t="s">
        <v>4118</v>
      </c>
      <c r="J1139" t="s">
        <v>1963</v>
      </c>
      <c r="K1139" t="s">
        <v>4162</v>
      </c>
      <c r="L1139" t="s">
        <v>2046</v>
      </c>
      <c r="M1139" t="s">
        <v>4113</v>
      </c>
      <c r="N1139" t="s">
        <v>4114</v>
      </c>
      <c r="O1139" t="s">
        <v>3722</v>
      </c>
      <c r="P1139" t="s">
        <v>3723</v>
      </c>
      <c r="Q1139" t="s">
        <v>14</v>
      </c>
      <c r="R1139" t="s">
        <v>14</v>
      </c>
      <c r="S1139" t="s">
        <v>4119</v>
      </c>
      <c r="T1139" t="s">
        <v>4120</v>
      </c>
      <c r="U1139" t="s">
        <v>2233</v>
      </c>
      <c r="V1139" t="s">
        <v>14</v>
      </c>
      <c r="W1139" t="b">
        <v>1</v>
      </c>
      <c r="X1139" t="s">
        <v>4163</v>
      </c>
      <c r="Y1139" t="b">
        <v>0</v>
      </c>
      <c r="Z1139" t="s">
        <v>2081</v>
      </c>
    </row>
    <row r="1140" spans="1:26" x14ac:dyDescent="0.35">
      <c r="A1140" t="s">
        <v>654</v>
      </c>
      <c r="B1140" t="s">
        <v>655</v>
      </c>
      <c r="C1140" t="s">
        <v>3167</v>
      </c>
      <c r="D1140" t="s">
        <v>1963</v>
      </c>
      <c r="E1140" t="s">
        <v>2020</v>
      </c>
      <c r="F1140" t="s">
        <v>2021</v>
      </c>
      <c r="G1140" t="s">
        <v>2022</v>
      </c>
      <c r="H1140" t="s">
        <v>2023</v>
      </c>
      <c r="I1140" t="s">
        <v>4136</v>
      </c>
      <c r="J1140" t="s">
        <v>1963</v>
      </c>
      <c r="K1140" t="s">
        <v>4162</v>
      </c>
      <c r="L1140" t="s">
        <v>2046</v>
      </c>
      <c r="M1140" t="s">
        <v>4137</v>
      </c>
      <c r="N1140" t="s">
        <v>4138</v>
      </c>
      <c r="O1140" t="s">
        <v>3722</v>
      </c>
      <c r="P1140" t="s">
        <v>3723</v>
      </c>
      <c r="Q1140" t="s">
        <v>14</v>
      </c>
      <c r="R1140" t="s">
        <v>14</v>
      </c>
      <c r="S1140" t="s">
        <v>4139</v>
      </c>
      <c r="T1140" t="s">
        <v>4140</v>
      </c>
      <c r="U1140" t="s">
        <v>2233</v>
      </c>
      <c r="V1140" t="s">
        <v>14</v>
      </c>
      <c r="W1140" t="b">
        <v>1</v>
      </c>
      <c r="X1140" t="s">
        <v>4163</v>
      </c>
      <c r="Y1140" t="b">
        <v>0</v>
      </c>
      <c r="Z1140" t="s">
        <v>2081</v>
      </c>
    </row>
    <row r="1141" spans="1:26" x14ac:dyDescent="0.35">
      <c r="A1141" t="s">
        <v>654</v>
      </c>
      <c r="B1141" t="s">
        <v>655</v>
      </c>
      <c r="C1141" t="s">
        <v>3167</v>
      </c>
      <c r="D1141" t="s">
        <v>1963</v>
      </c>
      <c r="E1141" t="s">
        <v>2020</v>
      </c>
      <c r="F1141" t="s">
        <v>2021</v>
      </c>
      <c r="G1141" t="s">
        <v>2022</v>
      </c>
      <c r="H1141" t="s">
        <v>2023</v>
      </c>
      <c r="I1141" t="s">
        <v>4135</v>
      </c>
      <c r="J1141" t="s">
        <v>1963</v>
      </c>
      <c r="K1141" t="s">
        <v>4162</v>
      </c>
      <c r="L1141" t="s">
        <v>2046</v>
      </c>
      <c r="M1141" t="s">
        <v>4122</v>
      </c>
      <c r="N1141" t="s">
        <v>4123</v>
      </c>
      <c r="O1141" t="s">
        <v>3722</v>
      </c>
      <c r="P1141" t="s">
        <v>3723</v>
      </c>
      <c r="Q1141" t="s">
        <v>14</v>
      </c>
      <c r="R1141" t="s">
        <v>14</v>
      </c>
      <c r="S1141" t="s">
        <v>4119</v>
      </c>
      <c r="T1141" t="s">
        <v>4120</v>
      </c>
      <c r="U1141" t="s">
        <v>2233</v>
      </c>
      <c r="V1141" t="s">
        <v>14</v>
      </c>
      <c r="W1141" t="b">
        <v>1</v>
      </c>
      <c r="X1141" t="s">
        <v>4163</v>
      </c>
      <c r="Y1141" t="b">
        <v>0</v>
      </c>
      <c r="Z1141" t="s">
        <v>2053</v>
      </c>
    </row>
    <row r="1142" spans="1:26" x14ac:dyDescent="0.35">
      <c r="A1142" t="s">
        <v>654</v>
      </c>
      <c r="B1142" t="s">
        <v>655</v>
      </c>
      <c r="C1142" t="s">
        <v>3167</v>
      </c>
      <c r="D1142" t="s">
        <v>1963</v>
      </c>
      <c r="E1142" t="s">
        <v>2020</v>
      </c>
      <c r="F1142" t="s">
        <v>2021</v>
      </c>
      <c r="G1142" t="s">
        <v>2022</v>
      </c>
      <c r="H1142" t="s">
        <v>2023</v>
      </c>
      <c r="I1142" t="s">
        <v>4132</v>
      </c>
      <c r="J1142" t="s">
        <v>1963</v>
      </c>
      <c r="K1142" t="s">
        <v>4162</v>
      </c>
      <c r="L1142" t="s">
        <v>2046</v>
      </c>
      <c r="M1142" t="s">
        <v>4122</v>
      </c>
      <c r="N1142" t="s">
        <v>4123</v>
      </c>
      <c r="O1142" t="s">
        <v>3722</v>
      </c>
      <c r="P1142" t="s">
        <v>3723</v>
      </c>
      <c r="Q1142" t="s">
        <v>14</v>
      </c>
      <c r="R1142" t="s">
        <v>14</v>
      </c>
      <c r="S1142" t="s">
        <v>4119</v>
      </c>
      <c r="T1142" t="s">
        <v>4120</v>
      </c>
      <c r="U1142" t="s">
        <v>2233</v>
      </c>
      <c r="V1142" t="s">
        <v>14</v>
      </c>
      <c r="W1142" t="b">
        <v>1</v>
      </c>
      <c r="X1142" t="s">
        <v>4163</v>
      </c>
      <c r="Y1142" t="b">
        <v>0</v>
      </c>
      <c r="Z1142" t="s">
        <v>2053</v>
      </c>
    </row>
    <row r="1143" spans="1:26" x14ac:dyDescent="0.35">
      <c r="A1143" t="s">
        <v>654</v>
      </c>
      <c r="B1143" t="s">
        <v>655</v>
      </c>
      <c r="C1143" t="s">
        <v>3167</v>
      </c>
      <c r="D1143" t="s">
        <v>1963</v>
      </c>
      <c r="E1143" t="s">
        <v>2020</v>
      </c>
      <c r="F1143" t="s">
        <v>2021</v>
      </c>
      <c r="G1143" t="s">
        <v>2022</v>
      </c>
      <c r="H1143" t="s">
        <v>2023</v>
      </c>
      <c r="I1143" t="s">
        <v>4143</v>
      </c>
      <c r="J1143" t="s">
        <v>1963</v>
      </c>
      <c r="K1143" t="s">
        <v>4162</v>
      </c>
      <c r="L1143" t="s">
        <v>2046</v>
      </c>
      <c r="M1143" t="s">
        <v>4122</v>
      </c>
      <c r="N1143" t="s">
        <v>4123</v>
      </c>
      <c r="O1143" t="s">
        <v>3722</v>
      </c>
      <c r="P1143" t="s">
        <v>3723</v>
      </c>
      <c r="Q1143" t="s">
        <v>14</v>
      </c>
      <c r="R1143" t="s">
        <v>14</v>
      </c>
      <c r="S1143" t="s">
        <v>4125</v>
      </c>
      <c r="T1143" t="s">
        <v>4126</v>
      </c>
      <c r="U1143" t="s">
        <v>2233</v>
      </c>
      <c r="V1143" t="s">
        <v>14</v>
      </c>
      <c r="W1143" t="b">
        <v>1</v>
      </c>
      <c r="X1143" t="s">
        <v>4163</v>
      </c>
      <c r="Y1143" t="b">
        <v>0</v>
      </c>
      <c r="Z1143" t="s">
        <v>2081</v>
      </c>
    </row>
    <row r="1144" spans="1:26" x14ac:dyDescent="0.35">
      <c r="A1144" t="s">
        <v>654</v>
      </c>
      <c r="B1144" t="s">
        <v>655</v>
      </c>
      <c r="C1144" t="s">
        <v>3167</v>
      </c>
      <c r="D1144" t="s">
        <v>1963</v>
      </c>
      <c r="E1144" t="s">
        <v>2020</v>
      </c>
      <c r="F1144" t="s">
        <v>2021</v>
      </c>
      <c r="G1144" t="s">
        <v>2022</v>
      </c>
      <c r="H1144" t="s">
        <v>2023</v>
      </c>
      <c r="I1144" t="s">
        <v>4121</v>
      </c>
      <c r="J1144" t="s">
        <v>1963</v>
      </c>
      <c r="K1144" t="s">
        <v>4162</v>
      </c>
      <c r="L1144" t="s">
        <v>2046</v>
      </c>
      <c r="M1144" t="s">
        <v>4122</v>
      </c>
      <c r="N1144" t="s">
        <v>4123</v>
      </c>
      <c r="O1144" t="s">
        <v>3722</v>
      </c>
      <c r="P1144" t="s">
        <v>3723</v>
      </c>
      <c r="Q1144" t="s">
        <v>14</v>
      </c>
      <c r="R1144" t="s">
        <v>14</v>
      </c>
      <c r="S1144" t="s">
        <v>4115</v>
      </c>
      <c r="T1144" t="s">
        <v>4116</v>
      </c>
      <c r="U1144" t="s">
        <v>2233</v>
      </c>
      <c r="V1144" t="s">
        <v>14</v>
      </c>
      <c r="W1144" t="b">
        <v>1</v>
      </c>
      <c r="X1144" t="s">
        <v>4163</v>
      </c>
      <c r="Y1144" t="b">
        <v>0</v>
      </c>
      <c r="Z1144" t="s">
        <v>2081</v>
      </c>
    </row>
    <row r="1145" spans="1:26" x14ac:dyDescent="0.35">
      <c r="A1145" t="s">
        <v>654</v>
      </c>
      <c r="B1145" t="s">
        <v>655</v>
      </c>
      <c r="C1145" t="s">
        <v>3167</v>
      </c>
      <c r="D1145" t="s">
        <v>1963</v>
      </c>
      <c r="E1145" t="s">
        <v>2020</v>
      </c>
      <c r="F1145" t="s">
        <v>2021</v>
      </c>
      <c r="G1145" t="s">
        <v>2022</v>
      </c>
      <c r="H1145" t="s">
        <v>2023</v>
      </c>
      <c r="I1145" t="s">
        <v>69</v>
      </c>
      <c r="J1145" t="s">
        <v>1963</v>
      </c>
      <c r="K1145" t="s">
        <v>4162</v>
      </c>
      <c r="L1145" t="s">
        <v>2046</v>
      </c>
      <c r="M1145" t="s">
        <v>4101</v>
      </c>
      <c r="N1145" t="s">
        <v>4102</v>
      </c>
      <c r="O1145" t="s">
        <v>4103</v>
      </c>
      <c r="P1145" t="s">
        <v>4104</v>
      </c>
      <c r="Q1145" t="s">
        <v>14</v>
      </c>
      <c r="R1145" t="s">
        <v>14</v>
      </c>
      <c r="S1145" t="s">
        <v>14</v>
      </c>
      <c r="T1145" t="s">
        <v>14</v>
      </c>
      <c r="U1145" t="s">
        <v>2030</v>
      </c>
      <c r="V1145" t="s">
        <v>14</v>
      </c>
      <c r="W1145" t="b">
        <v>1</v>
      </c>
      <c r="X1145" t="s">
        <v>4163</v>
      </c>
      <c r="Y1145" t="b">
        <v>1</v>
      </c>
      <c r="Z1145" t="s">
        <v>2032</v>
      </c>
    </row>
    <row r="1146" spans="1:26" x14ac:dyDescent="0.35">
      <c r="A1146" t="s">
        <v>656</v>
      </c>
      <c r="B1146" t="s">
        <v>4164</v>
      </c>
      <c r="C1146" t="s">
        <v>3167</v>
      </c>
      <c r="D1146" t="s">
        <v>1963</v>
      </c>
      <c r="E1146" t="s">
        <v>2020</v>
      </c>
      <c r="F1146" t="s">
        <v>2021</v>
      </c>
      <c r="G1146" t="s">
        <v>2022</v>
      </c>
      <c r="H1146" t="s">
        <v>2023</v>
      </c>
      <c r="I1146" t="s">
        <v>4132</v>
      </c>
      <c r="J1146" t="s">
        <v>1963</v>
      </c>
      <c r="K1146" t="s">
        <v>4165</v>
      </c>
      <c r="L1146" t="s">
        <v>2046</v>
      </c>
      <c r="M1146" t="s">
        <v>4122</v>
      </c>
      <c r="N1146" t="s">
        <v>4123</v>
      </c>
      <c r="O1146" t="s">
        <v>3722</v>
      </c>
      <c r="P1146" t="s">
        <v>3723</v>
      </c>
      <c r="Q1146" t="s">
        <v>14</v>
      </c>
      <c r="R1146" t="s">
        <v>14</v>
      </c>
      <c r="S1146" t="s">
        <v>4119</v>
      </c>
      <c r="T1146" t="s">
        <v>4120</v>
      </c>
      <c r="U1146" t="s">
        <v>2233</v>
      </c>
      <c r="V1146" t="s">
        <v>14</v>
      </c>
      <c r="W1146" t="b">
        <v>1</v>
      </c>
      <c r="X1146" t="s">
        <v>4166</v>
      </c>
      <c r="Y1146" t="b">
        <v>0</v>
      </c>
      <c r="Z1146" t="s">
        <v>2053</v>
      </c>
    </row>
    <row r="1147" spans="1:26" x14ac:dyDescent="0.35">
      <c r="A1147" t="s">
        <v>656</v>
      </c>
      <c r="B1147" t="s">
        <v>4164</v>
      </c>
      <c r="C1147" t="s">
        <v>3167</v>
      </c>
      <c r="D1147" t="s">
        <v>1963</v>
      </c>
      <c r="E1147" t="s">
        <v>2020</v>
      </c>
      <c r="F1147" t="s">
        <v>2021</v>
      </c>
      <c r="G1147" t="s">
        <v>2022</v>
      </c>
      <c r="H1147" t="s">
        <v>2023</v>
      </c>
      <c r="I1147" t="s">
        <v>4144</v>
      </c>
      <c r="J1147" t="s">
        <v>1963</v>
      </c>
      <c r="K1147" t="s">
        <v>4165</v>
      </c>
      <c r="L1147" t="s">
        <v>2046</v>
      </c>
      <c r="M1147" t="s">
        <v>4122</v>
      </c>
      <c r="N1147" t="s">
        <v>4123</v>
      </c>
      <c r="O1147" t="s">
        <v>3722</v>
      </c>
      <c r="P1147" t="s">
        <v>3723</v>
      </c>
      <c r="Q1147" t="s">
        <v>14</v>
      </c>
      <c r="R1147" t="s">
        <v>14</v>
      </c>
      <c r="S1147" t="s">
        <v>14</v>
      </c>
      <c r="T1147" t="s">
        <v>14</v>
      </c>
      <c r="U1147" t="s">
        <v>2233</v>
      </c>
      <c r="V1147" t="s">
        <v>14</v>
      </c>
      <c r="W1147" t="b">
        <v>1</v>
      </c>
      <c r="X1147" t="s">
        <v>4166</v>
      </c>
      <c r="Y1147" t="b">
        <v>0</v>
      </c>
      <c r="Z1147" t="s">
        <v>2032</v>
      </c>
    </row>
    <row r="1148" spans="1:26" x14ac:dyDescent="0.35">
      <c r="A1148" t="s">
        <v>656</v>
      </c>
      <c r="B1148" t="s">
        <v>4164</v>
      </c>
      <c r="C1148" t="s">
        <v>3167</v>
      </c>
      <c r="D1148" t="s">
        <v>1963</v>
      </c>
      <c r="E1148" t="s">
        <v>2020</v>
      </c>
      <c r="F1148" t="s">
        <v>2021</v>
      </c>
      <c r="G1148" t="s">
        <v>2022</v>
      </c>
      <c r="H1148" t="s">
        <v>2023</v>
      </c>
      <c r="I1148" t="s">
        <v>4111</v>
      </c>
      <c r="J1148" t="s">
        <v>1963</v>
      </c>
      <c r="K1148" t="s">
        <v>4165</v>
      </c>
      <c r="L1148" t="s">
        <v>2046</v>
      </c>
      <c r="M1148" t="s">
        <v>4113</v>
      </c>
      <c r="N1148" t="s">
        <v>4114</v>
      </c>
      <c r="O1148" t="s">
        <v>3722</v>
      </c>
      <c r="P1148" t="s">
        <v>3723</v>
      </c>
      <c r="Q1148" t="s">
        <v>14</v>
      </c>
      <c r="R1148" t="s">
        <v>14</v>
      </c>
      <c r="S1148" t="s">
        <v>4115</v>
      </c>
      <c r="T1148" t="s">
        <v>4116</v>
      </c>
      <c r="U1148" t="s">
        <v>2233</v>
      </c>
      <c r="V1148" t="s">
        <v>14</v>
      </c>
      <c r="W1148" t="b">
        <v>1</v>
      </c>
      <c r="X1148" t="s">
        <v>4166</v>
      </c>
      <c r="Y1148" t="b">
        <v>0</v>
      </c>
      <c r="Z1148" t="s">
        <v>2032</v>
      </c>
    </row>
    <row r="1149" spans="1:26" x14ac:dyDescent="0.35">
      <c r="A1149" t="s">
        <v>656</v>
      </c>
      <c r="B1149" t="s">
        <v>4164</v>
      </c>
      <c r="C1149" t="s">
        <v>3167</v>
      </c>
      <c r="D1149" t="s">
        <v>1963</v>
      </c>
      <c r="E1149" t="s">
        <v>2020</v>
      </c>
      <c r="F1149" t="s">
        <v>2021</v>
      </c>
      <c r="G1149" t="s">
        <v>2022</v>
      </c>
      <c r="H1149" t="s">
        <v>2023</v>
      </c>
      <c r="I1149" t="s">
        <v>4121</v>
      </c>
      <c r="J1149" t="s">
        <v>1963</v>
      </c>
      <c r="K1149" t="s">
        <v>4165</v>
      </c>
      <c r="L1149" t="s">
        <v>2046</v>
      </c>
      <c r="M1149" t="s">
        <v>4122</v>
      </c>
      <c r="N1149" t="s">
        <v>4123</v>
      </c>
      <c r="O1149" t="s">
        <v>3722</v>
      </c>
      <c r="P1149" t="s">
        <v>3723</v>
      </c>
      <c r="Q1149" t="s">
        <v>14</v>
      </c>
      <c r="R1149" t="s">
        <v>14</v>
      </c>
      <c r="S1149" t="s">
        <v>4115</v>
      </c>
      <c r="T1149" t="s">
        <v>4116</v>
      </c>
      <c r="U1149" t="s">
        <v>2233</v>
      </c>
      <c r="V1149" t="s">
        <v>14</v>
      </c>
      <c r="W1149" t="b">
        <v>1</v>
      </c>
      <c r="X1149" t="s">
        <v>4166</v>
      </c>
      <c r="Y1149" t="b">
        <v>0</v>
      </c>
      <c r="Z1149" t="s">
        <v>2081</v>
      </c>
    </row>
    <row r="1150" spans="1:26" x14ac:dyDescent="0.35">
      <c r="A1150" t="s">
        <v>656</v>
      </c>
      <c r="B1150" t="s">
        <v>4164</v>
      </c>
      <c r="C1150" t="s">
        <v>3167</v>
      </c>
      <c r="D1150" t="s">
        <v>1963</v>
      </c>
      <c r="E1150" t="s">
        <v>2020</v>
      </c>
      <c r="F1150" t="s">
        <v>2021</v>
      </c>
      <c r="G1150" t="s">
        <v>2022</v>
      </c>
      <c r="H1150" t="s">
        <v>2023</v>
      </c>
      <c r="I1150" t="s">
        <v>4143</v>
      </c>
      <c r="J1150" t="s">
        <v>1963</v>
      </c>
      <c r="K1150" t="s">
        <v>4165</v>
      </c>
      <c r="L1150" t="s">
        <v>2046</v>
      </c>
      <c r="M1150" t="s">
        <v>4122</v>
      </c>
      <c r="N1150" t="s">
        <v>4123</v>
      </c>
      <c r="O1150" t="s">
        <v>3722</v>
      </c>
      <c r="P1150" t="s">
        <v>3723</v>
      </c>
      <c r="Q1150" t="s">
        <v>14</v>
      </c>
      <c r="R1150" t="s">
        <v>14</v>
      </c>
      <c r="S1150" t="s">
        <v>4125</v>
      </c>
      <c r="T1150" t="s">
        <v>4126</v>
      </c>
      <c r="U1150" t="s">
        <v>2233</v>
      </c>
      <c r="V1150" t="s">
        <v>14</v>
      </c>
      <c r="W1150" t="b">
        <v>1</v>
      </c>
      <c r="X1150" t="s">
        <v>4166</v>
      </c>
      <c r="Y1150" t="b">
        <v>0</v>
      </c>
      <c r="Z1150" t="s">
        <v>2081</v>
      </c>
    </row>
    <row r="1151" spans="1:26" x14ac:dyDescent="0.35">
      <c r="A1151" t="s">
        <v>656</v>
      </c>
      <c r="B1151" t="s">
        <v>4164</v>
      </c>
      <c r="C1151" t="s">
        <v>3167</v>
      </c>
      <c r="D1151" t="s">
        <v>1963</v>
      </c>
      <c r="E1151" t="s">
        <v>2020</v>
      </c>
      <c r="F1151" t="s">
        <v>2021</v>
      </c>
      <c r="G1151" t="s">
        <v>2022</v>
      </c>
      <c r="H1151" t="s">
        <v>2023</v>
      </c>
      <c r="I1151" t="s">
        <v>4136</v>
      </c>
      <c r="J1151" t="s">
        <v>1963</v>
      </c>
      <c r="K1151" t="s">
        <v>4165</v>
      </c>
      <c r="L1151" t="s">
        <v>2046</v>
      </c>
      <c r="M1151" t="s">
        <v>4137</v>
      </c>
      <c r="N1151" t="s">
        <v>4138</v>
      </c>
      <c r="O1151" t="s">
        <v>3722</v>
      </c>
      <c r="P1151" t="s">
        <v>3723</v>
      </c>
      <c r="Q1151" t="s">
        <v>14</v>
      </c>
      <c r="R1151" t="s">
        <v>14</v>
      </c>
      <c r="S1151" t="s">
        <v>4139</v>
      </c>
      <c r="T1151" t="s">
        <v>4140</v>
      </c>
      <c r="U1151" t="s">
        <v>2233</v>
      </c>
      <c r="V1151" t="s">
        <v>14</v>
      </c>
      <c r="W1151" t="b">
        <v>1</v>
      </c>
      <c r="X1151" t="s">
        <v>4166</v>
      </c>
      <c r="Y1151" t="b">
        <v>0</v>
      </c>
      <c r="Z1151" t="s">
        <v>2081</v>
      </c>
    </row>
    <row r="1152" spans="1:26" x14ac:dyDescent="0.35">
      <c r="A1152" t="s">
        <v>656</v>
      </c>
      <c r="B1152" t="s">
        <v>4164</v>
      </c>
      <c r="C1152" t="s">
        <v>3167</v>
      </c>
      <c r="D1152" t="s">
        <v>1963</v>
      </c>
      <c r="E1152" t="s">
        <v>2020</v>
      </c>
      <c r="F1152" t="s">
        <v>2021</v>
      </c>
      <c r="G1152" t="s">
        <v>2022</v>
      </c>
      <c r="H1152" t="s">
        <v>2023</v>
      </c>
      <c r="I1152" t="s">
        <v>4135</v>
      </c>
      <c r="J1152" t="s">
        <v>1963</v>
      </c>
      <c r="K1152" t="s">
        <v>4165</v>
      </c>
      <c r="L1152" t="s">
        <v>2046</v>
      </c>
      <c r="M1152" t="s">
        <v>4122</v>
      </c>
      <c r="N1152" t="s">
        <v>4123</v>
      </c>
      <c r="O1152" t="s">
        <v>3722</v>
      </c>
      <c r="P1152" t="s">
        <v>3723</v>
      </c>
      <c r="Q1152" t="s">
        <v>14</v>
      </c>
      <c r="R1152" t="s">
        <v>14</v>
      </c>
      <c r="S1152" t="s">
        <v>4119</v>
      </c>
      <c r="T1152" t="s">
        <v>4120</v>
      </c>
      <c r="U1152" t="s">
        <v>2233</v>
      </c>
      <c r="V1152" t="s">
        <v>14</v>
      </c>
      <c r="W1152" t="b">
        <v>1</v>
      </c>
      <c r="X1152" t="s">
        <v>4166</v>
      </c>
      <c r="Y1152" t="b">
        <v>0</v>
      </c>
      <c r="Z1152" t="s">
        <v>2053</v>
      </c>
    </row>
    <row r="1153" spans="1:26" x14ac:dyDescent="0.35">
      <c r="A1153" t="s">
        <v>656</v>
      </c>
      <c r="B1153" t="s">
        <v>4164</v>
      </c>
      <c r="C1153" t="s">
        <v>3167</v>
      </c>
      <c r="D1153" t="s">
        <v>1963</v>
      </c>
      <c r="E1153" t="s">
        <v>2020</v>
      </c>
      <c r="F1153" t="s">
        <v>2021</v>
      </c>
      <c r="G1153" t="s">
        <v>2022</v>
      </c>
      <c r="H1153" t="s">
        <v>2023</v>
      </c>
      <c r="I1153" t="s">
        <v>4131</v>
      </c>
      <c r="J1153" t="s">
        <v>1963</v>
      </c>
      <c r="K1153" t="s">
        <v>4165</v>
      </c>
      <c r="L1153" t="s">
        <v>2046</v>
      </c>
      <c r="M1153" t="s">
        <v>4122</v>
      </c>
      <c r="N1153" t="s">
        <v>4123</v>
      </c>
      <c r="O1153" t="s">
        <v>3722</v>
      </c>
      <c r="P1153" t="s">
        <v>3723</v>
      </c>
      <c r="Q1153" t="s">
        <v>14</v>
      </c>
      <c r="R1153" t="s">
        <v>14</v>
      </c>
      <c r="S1153" t="s">
        <v>4125</v>
      </c>
      <c r="T1153" t="s">
        <v>4126</v>
      </c>
      <c r="U1153" t="s">
        <v>2233</v>
      </c>
      <c r="V1153" t="s">
        <v>14</v>
      </c>
      <c r="W1153" t="b">
        <v>1</v>
      </c>
      <c r="X1153" t="s">
        <v>4166</v>
      </c>
      <c r="Y1153" t="b">
        <v>0</v>
      </c>
      <c r="Z1153" t="s">
        <v>2053</v>
      </c>
    </row>
    <row r="1154" spans="1:26" x14ac:dyDescent="0.35">
      <c r="A1154" t="s">
        <v>656</v>
      </c>
      <c r="B1154" t="s">
        <v>4164</v>
      </c>
      <c r="C1154" t="s">
        <v>3167</v>
      </c>
      <c r="D1154" t="s">
        <v>1963</v>
      </c>
      <c r="E1154" t="s">
        <v>2020</v>
      </c>
      <c r="F1154" t="s">
        <v>2021</v>
      </c>
      <c r="G1154" t="s">
        <v>2022</v>
      </c>
      <c r="H1154" t="s">
        <v>2023</v>
      </c>
      <c r="I1154" t="s">
        <v>4127</v>
      </c>
      <c r="J1154" t="s">
        <v>1963</v>
      </c>
      <c r="K1154" t="s">
        <v>4165</v>
      </c>
      <c r="L1154" t="s">
        <v>2046</v>
      </c>
      <c r="M1154" t="s">
        <v>4113</v>
      </c>
      <c r="N1154" t="s">
        <v>4114</v>
      </c>
      <c r="O1154" t="s">
        <v>3722</v>
      </c>
      <c r="P1154" t="s">
        <v>3723</v>
      </c>
      <c r="Q1154" t="s">
        <v>14</v>
      </c>
      <c r="R1154" t="s">
        <v>14</v>
      </c>
      <c r="S1154" t="s">
        <v>4119</v>
      </c>
      <c r="T1154" t="s">
        <v>4120</v>
      </c>
      <c r="U1154" t="s">
        <v>2233</v>
      </c>
      <c r="V1154" t="s">
        <v>14</v>
      </c>
      <c r="W1154" t="b">
        <v>1</v>
      </c>
      <c r="X1154" t="s">
        <v>4166</v>
      </c>
      <c r="Y1154" t="b">
        <v>0</v>
      </c>
      <c r="Z1154" t="s">
        <v>2081</v>
      </c>
    </row>
    <row r="1155" spans="1:26" x14ac:dyDescent="0.35">
      <c r="A1155" t="s">
        <v>656</v>
      </c>
      <c r="B1155" t="s">
        <v>4164</v>
      </c>
      <c r="C1155" t="s">
        <v>3167</v>
      </c>
      <c r="D1155" t="s">
        <v>1963</v>
      </c>
      <c r="E1155" t="s">
        <v>2020</v>
      </c>
      <c r="F1155" t="s">
        <v>2021</v>
      </c>
      <c r="G1155" t="s">
        <v>2022</v>
      </c>
      <c r="H1155" t="s">
        <v>2023</v>
      </c>
      <c r="I1155" t="s">
        <v>69</v>
      </c>
      <c r="J1155" t="s">
        <v>1963</v>
      </c>
      <c r="K1155" t="s">
        <v>4165</v>
      </c>
      <c r="L1155" t="s">
        <v>2046</v>
      </c>
      <c r="M1155" t="s">
        <v>4101</v>
      </c>
      <c r="N1155" t="s">
        <v>4102</v>
      </c>
      <c r="O1155" t="s">
        <v>4103</v>
      </c>
      <c r="P1155" t="s">
        <v>4104</v>
      </c>
      <c r="Q1155" t="s">
        <v>14</v>
      </c>
      <c r="R1155" t="s">
        <v>14</v>
      </c>
      <c r="S1155" t="s">
        <v>14</v>
      </c>
      <c r="T1155" t="s">
        <v>14</v>
      </c>
      <c r="U1155" t="s">
        <v>2030</v>
      </c>
      <c r="V1155" t="s">
        <v>14</v>
      </c>
      <c r="W1155" t="b">
        <v>1</v>
      </c>
      <c r="X1155" t="s">
        <v>4166</v>
      </c>
      <c r="Y1155" t="b">
        <v>1</v>
      </c>
      <c r="Z1155" t="s">
        <v>2032</v>
      </c>
    </row>
    <row r="1156" spans="1:26" x14ac:dyDescent="0.35">
      <c r="A1156" t="s">
        <v>656</v>
      </c>
      <c r="B1156" t="s">
        <v>4164</v>
      </c>
      <c r="C1156" t="s">
        <v>3167</v>
      </c>
      <c r="D1156" t="s">
        <v>1963</v>
      </c>
      <c r="E1156" t="s">
        <v>2020</v>
      </c>
      <c r="F1156" t="s">
        <v>2021</v>
      </c>
      <c r="G1156" t="s">
        <v>2022</v>
      </c>
      <c r="H1156" t="s">
        <v>2023</v>
      </c>
      <c r="I1156" t="s">
        <v>4133</v>
      </c>
      <c r="J1156" t="s">
        <v>1963</v>
      </c>
      <c r="K1156" t="s">
        <v>4165</v>
      </c>
      <c r="L1156" t="s">
        <v>2046</v>
      </c>
      <c r="M1156" t="s">
        <v>4122</v>
      </c>
      <c r="N1156" t="s">
        <v>4123</v>
      </c>
      <c r="O1156" t="s">
        <v>3722</v>
      </c>
      <c r="P1156" t="s">
        <v>3723</v>
      </c>
      <c r="Q1156" t="s">
        <v>14</v>
      </c>
      <c r="R1156" t="s">
        <v>14</v>
      </c>
      <c r="S1156" t="s">
        <v>4115</v>
      </c>
      <c r="T1156" t="s">
        <v>4116</v>
      </c>
      <c r="U1156" t="s">
        <v>2233</v>
      </c>
      <c r="V1156" t="s">
        <v>14</v>
      </c>
      <c r="W1156" t="b">
        <v>1</v>
      </c>
      <c r="X1156" t="s">
        <v>4166</v>
      </c>
      <c r="Y1156" t="b">
        <v>0</v>
      </c>
      <c r="Z1156" t="s">
        <v>2081</v>
      </c>
    </row>
    <row r="1157" spans="1:26" x14ac:dyDescent="0.35">
      <c r="A1157" t="s">
        <v>656</v>
      </c>
      <c r="B1157" t="s">
        <v>4164</v>
      </c>
      <c r="C1157" t="s">
        <v>3167</v>
      </c>
      <c r="D1157" t="s">
        <v>1963</v>
      </c>
      <c r="E1157" t="s">
        <v>2020</v>
      </c>
      <c r="F1157" t="s">
        <v>2021</v>
      </c>
      <c r="G1157" t="s">
        <v>2022</v>
      </c>
      <c r="H1157" t="s">
        <v>2023</v>
      </c>
      <c r="I1157" t="s">
        <v>4134</v>
      </c>
      <c r="J1157" t="s">
        <v>1963</v>
      </c>
      <c r="K1157" t="s">
        <v>4165</v>
      </c>
      <c r="L1157" t="s">
        <v>2046</v>
      </c>
      <c r="M1157" t="s">
        <v>4122</v>
      </c>
      <c r="N1157" t="s">
        <v>4123</v>
      </c>
      <c r="O1157" t="s">
        <v>3722</v>
      </c>
      <c r="P1157" t="s">
        <v>3723</v>
      </c>
      <c r="Q1157" t="s">
        <v>14</v>
      </c>
      <c r="R1157" t="s">
        <v>14</v>
      </c>
      <c r="S1157" t="s">
        <v>4115</v>
      </c>
      <c r="T1157" t="s">
        <v>4116</v>
      </c>
      <c r="U1157" t="s">
        <v>2233</v>
      </c>
      <c r="V1157" t="s">
        <v>14</v>
      </c>
      <c r="W1157" t="b">
        <v>1</v>
      </c>
      <c r="X1157" t="s">
        <v>4166</v>
      </c>
      <c r="Y1157" t="b">
        <v>0</v>
      </c>
      <c r="Z1157" t="s">
        <v>2081</v>
      </c>
    </row>
    <row r="1158" spans="1:26" x14ac:dyDescent="0.35">
      <c r="A1158" t="s">
        <v>656</v>
      </c>
      <c r="B1158" t="s">
        <v>4164</v>
      </c>
      <c r="C1158" t="s">
        <v>3167</v>
      </c>
      <c r="D1158" t="s">
        <v>1963</v>
      </c>
      <c r="E1158" t="s">
        <v>2020</v>
      </c>
      <c r="F1158" t="s">
        <v>2021</v>
      </c>
      <c r="G1158" t="s">
        <v>2022</v>
      </c>
      <c r="H1158" t="s">
        <v>2023</v>
      </c>
      <c r="I1158" t="s">
        <v>4128</v>
      </c>
      <c r="J1158" t="s">
        <v>1963</v>
      </c>
      <c r="K1158" t="s">
        <v>4165</v>
      </c>
      <c r="L1158" t="s">
        <v>2046</v>
      </c>
      <c r="M1158" t="s">
        <v>4129</v>
      </c>
      <c r="N1158" t="s">
        <v>4130</v>
      </c>
      <c r="O1158" t="s">
        <v>3722</v>
      </c>
      <c r="P1158" t="s">
        <v>3723</v>
      </c>
      <c r="Q1158" t="s">
        <v>14</v>
      </c>
      <c r="R1158" t="s">
        <v>14</v>
      </c>
      <c r="S1158" t="s">
        <v>4119</v>
      </c>
      <c r="T1158" t="s">
        <v>4120</v>
      </c>
      <c r="U1158" t="s">
        <v>2233</v>
      </c>
      <c r="V1158" t="s">
        <v>14</v>
      </c>
      <c r="W1158" t="b">
        <v>1</v>
      </c>
      <c r="X1158" t="s">
        <v>4166</v>
      </c>
      <c r="Y1158" t="b">
        <v>0</v>
      </c>
      <c r="Z1158" t="s">
        <v>2053</v>
      </c>
    </row>
    <row r="1159" spans="1:26" x14ac:dyDescent="0.35">
      <c r="A1159" t="s">
        <v>656</v>
      </c>
      <c r="B1159" t="s">
        <v>4164</v>
      </c>
      <c r="C1159" t="s">
        <v>3167</v>
      </c>
      <c r="D1159" t="s">
        <v>1963</v>
      </c>
      <c r="E1159" t="s">
        <v>2020</v>
      </c>
      <c r="F1159" t="s">
        <v>2021</v>
      </c>
      <c r="G1159" t="s">
        <v>2022</v>
      </c>
      <c r="H1159" t="s">
        <v>2023</v>
      </c>
      <c r="I1159" t="s">
        <v>4141</v>
      </c>
      <c r="J1159" t="s">
        <v>1963</v>
      </c>
      <c r="K1159" t="s">
        <v>4165</v>
      </c>
      <c r="L1159" t="s">
        <v>2046</v>
      </c>
      <c r="M1159" t="s">
        <v>4122</v>
      </c>
      <c r="N1159" t="s">
        <v>4123</v>
      </c>
      <c r="O1159" t="s">
        <v>3722</v>
      </c>
      <c r="P1159" t="s">
        <v>3723</v>
      </c>
      <c r="Q1159" t="s">
        <v>14</v>
      </c>
      <c r="R1159" t="s">
        <v>14</v>
      </c>
      <c r="S1159" t="s">
        <v>4115</v>
      </c>
      <c r="T1159" t="s">
        <v>4116</v>
      </c>
      <c r="U1159" t="s">
        <v>2233</v>
      </c>
      <c r="V1159" t="s">
        <v>14</v>
      </c>
      <c r="W1159" t="b">
        <v>1</v>
      </c>
      <c r="X1159" t="s">
        <v>4166</v>
      </c>
      <c r="Y1159" t="b">
        <v>0</v>
      </c>
      <c r="Z1159" t="s">
        <v>2032</v>
      </c>
    </row>
    <row r="1160" spans="1:26" x14ac:dyDescent="0.35">
      <c r="A1160" t="s">
        <v>656</v>
      </c>
      <c r="B1160" t="s">
        <v>4164</v>
      </c>
      <c r="C1160" t="s">
        <v>3167</v>
      </c>
      <c r="D1160" t="s">
        <v>1963</v>
      </c>
      <c r="E1160" t="s">
        <v>2020</v>
      </c>
      <c r="F1160" t="s">
        <v>2021</v>
      </c>
      <c r="G1160" t="s">
        <v>2022</v>
      </c>
      <c r="H1160" t="s">
        <v>2023</v>
      </c>
      <c r="I1160" t="s">
        <v>4118</v>
      </c>
      <c r="J1160" t="s">
        <v>1963</v>
      </c>
      <c r="K1160" t="s">
        <v>4165</v>
      </c>
      <c r="L1160" t="s">
        <v>2046</v>
      </c>
      <c r="M1160" t="s">
        <v>4113</v>
      </c>
      <c r="N1160" t="s">
        <v>4114</v>
      </c>
      <c r="O1160" t="s">
        <v>3722</v>
      </c>
      <c r="P1160" t="s">
        <v>3723</v>
      </c>
      <c r="Q1160" t="s">
        <v>14</v>
      </c>
      <c r="R1160" t="s">
        <v>14</v>
      </c>
      <c r="S1160" t="s">
        <v>4119</v>
      </c>
      <c r="T1160" t="s">
        <v>4120</v>
      </c>
      <c r="U1160" t="s">
        <v>2233</v>
      </c>
      <c r="V1160" t="s">
        <v>14</v>
      </c>
      <c r="W1160" t="b">
        <v>1</v>
      </c>
      <c r="X1160" t="s">
        <v>4166</v>
      </c>
      <c r="Y1160" t="b">
        <v>0</v>
      </c>
      <c r="Z1160" t="s">
        <v>2081</v>
      </c>
    </row>
    <row r="1161" spans="1:26" x14ac:dyDescent="0.35">
      <c r="A1161" t="s">
        <v>656</v>
      </c>
      <c r="B1161" t="s">
        <v>4164</v>
      </c>
      <c r="C1161" t="s">
        <v>3167</v>
      </c>
      <c r="D1161" t="s">
        <v>1963</v>
      </c>
      <c r="E1161" t="s">
        <v>2020</v>
      </c>
      <c r="F1161" t="s">
        <v>2021</v>
      </c>
      <c r="G1161" t="s">
        <v>2022</v>
      </c>
      <c r="H1161" t="s">
        <v>2023</v>
      </c>
      <c r="I1161" t="s">
        <v>4142</v>
      </c>
      <c r="J1161" t="s">
        <v>1963</v>
      </c>
      <c r="K1161" t="s">
        <v>4165</v>
      </c>
      <c r="L1161" t="s">
        <v>2046</v>
      </c>
      <c r="M1161" t="s">
        <v>4122</v>
      </c>
      <c r="N1161" t="s">
        <v>4123</v>
      </c>
      <c r="O1161" t="s">
        <v>3722</v>
      </c>
      <c r="P1161" t="s">
        <v>3723</v>
      </c>
      <c r="Q1161" t="s">
        <v>14</v>
      </c>
      <c r="R1161" t="s">
        <v>14</v>
      </c>
      <c r="S1161" t="s">
        <v>4125</v>
      </c>
      <c r="T1161" t="s">
        <v>4126</v>
      </c>
      <c r="U1161" t="s">
        <v>2233</v>
      </c>
      <c r="V1161" t="s">
        <v>14</v>
      </c>
      <c r="W1161" t="b">
        <v>1</v>
      </c>
      <c r="X1161" t="s">
        <v>4166</v>
      </c>
      <c r="Y1161" t="b">
        <v>0</v>
      </c>
      <c r="Z1161" t="s">
        <v>2032</v>
      </c>
    </row>
    <row r="1162" spans="1:26" x14ac:dyDescent="0.35">
      <c r="A1162" t="s">
        <v>656</v>
      </c>
      <c r="B1162" t="s">
        <v>4164</v>
      </c>
      <c r="C1162" t="s">
        <v>3167</v>
      </c>
      <c r="D1162" t="s">
        <v>1963</v>
      </c>
      <c r="E1162" t="s">
        <v>2020</v>
      </c>
      <c r="F1162" t="s">
        <v>2021</v>
      </c>
      <c r="G1162" t="s">
        <v>2022</v>
      </c>
      <c r="H1162" t="s">
        <v>2023</v>
      </c>
      <c r="I1162" t="s">
        <v>4124</v>
      </c>
      <c r="J1162" t="s">
        <v>1963</v>
      </c>
      <c r="K1162" t="s">
        <v>4165</v>
      </c>
      <c r="L1162" t="s">
        <v>2046</v>
      </c>
      <c r="M1162" t="s">
        <v>4122</v>
      </c>
      <c r="N1162" t="s">
        <v>4123</v>
      </c>
      <c r="O1162" t="s">
        <v>3722</v>
      </c>
      <c r="P1162" t="s">
        <v>3723</v>
      </c>
      <c r="Q1162" t="s">
        <v>14</v>
      </c>
      <c r="R1162" t="s">
        <v>14</v>
      </c>
      <c r="S1162" t="s">
        <v>4125</v>
      </c>
      <c r="T1162" t="s">
        <v>4126</v>
      </c>
      <c r="U1162" t="s">
        <v>2233</v>
      </c>
      <c r="V1162" t="s">
        <v>14</v>
      </c>
      <c r="W1162" t="b">
        <v>1</v>
      </c>
      <c r="X1162" t="s">
        <v>4166</v>
      </c>
      <c r="Y1162" t="b">
        <v>0</v>
      </c>
      <c r="Z1162" t="s">
        <v>2081</v>
      </c>
    </row>
    <row r="1163" spans="1:26" x14ac:dyDescent="0.35">
      <c r="A1163" t="s">
        <v>657</v>
      </c>
      <c r="B1163" t="s">
        <v>658</v>
      </c>
      <c r="C1163" t="s">
        <v>3167</v>
      </c>
      <c r="D1163" t="s">
        <v>1963</v>
      </c>
      <c r="E1163" t="s">
        <v>2020</v>
      </c>
      <c r="F1163" t="s">
        <v>2055</v>
      </c>
      <c r="G1163" t="s">
        <v>2056</v>
      </c>
      <c r="H1163" t="s">
        <v>2023</v>
      </c>
      <c r="I1163" t="s">
        <v>4167</v>
      </c>
      <c r="J1163" t="s">
        <v>1963</v>
      </c>
      <c r="K1163" t="s">
        <v>4168</v>
      </c>
      <c r="L1163" t="s">
        <v>2046</v>
      </c>
      <c r="M1163" t="s">
        <v>3587</v>
      </c>
      <c r="N1163" t="s">
        <v>3588</v>
      </c>
      <c r="O1163" t="s">
        <v>4169</v>
      </c>
      <c r="P1163" t="s">
        <v>4170</v>
      </c>
      <c r="Q1163" t="s">
        <v>14</v>
      </c>
      <c r="R1163" t="s">
        <v>14</v>
      </c>
      <c r="S1163" t="s">
        <v>14</v>
      </c>
      <c r="T1163" t="s">
        <v>14</v>
      </c>
      <c r="U1163" t="s">
        <v>2390</v>
      </c>
      <c r="V1163" t="s">
        <v>14</v>
      </c>
      <c r="W1163" t="b">
        <v>1</v>
      </c>
      <c r="X1163" t="s">
        <v>4171</v>
      </c>
      <c r="Y1163" t="b">
        <v>1</v>
      </c>
      <c r="Z1163" t="s">
        <v>2032</v>
      </c>
    </row>
    <row r="1164" spans="1:26" x14ac:dyDescent="0.35">
      <c r="A1164" t="s">
        <v>657</v>
      </c>
      <c r="B1164" t="s">
        <v>658</v>
      </c>
      <c r="C1164" t="s">
        <v>3167</v>
      </c>
      <c r="D1164" t="s">
        <v>1963</v>
      </c>
      <c r="E1164" t="s">
        <v>2020</v>
      </c>
      <c r="F1164" t="s">
        <v>2055</v>
      </c>
      <c r="G1164" t="s">
        <v>2056</v>
      </c>
      <c r="H1164" t="s">
        <v>2023</v>
      </c>
      <c r="I1164" t="s">
        <v>4172</v>
      </c>
      <c r="J1164" t="s">
        <v>1963</v>
      </c>
      <c r="K1164" t="s">
        <v>4168</v>
      </c>
      <c r="L1164" t="s">
        <v>2046</v>
      </c>
      <c r="M1164" t="s">
        <v>3587</v>
      </c>
      <c r="N1164" t="s">
        <v>3588</v>
      </c>
      <c r="O1164" t="s">
        <v>4169</v>
      </c>
      <c r="P1164" t="s">
        <v>4170</v>
      </c>
      <c r="Q1164" t="s">
        <v>4173</v>
      </c>
      <c r="R1164" t="s">
        <v>14</v>
      </c>
      <c r="S1164" t="s">
        <v>4174</v>
      </c>
      <c r="T1164" t="s">
        <v>4175</v>
      </c>
      <c r="U1164" t="s">
        <v>2390</v>
      </c>
      <c r="V1164" t="s">
        <v>14</v>
      </c>
      <c r="W1164" t="b">
        <v>1</v>
      </c>
      <c r="X1164" t="s">
        <v>4171</v>
      </c>
      <c r="Y1164" t="b">
        <v>1</v>
      </c>
      <c r="Z1164" t="s">
        <v>2032</v>
      </c>
    </row>
    <row r="1165" spans="1:26" x14ac:dyDescent="0.35">
      <c r="A1165" t="s">
        <v>657</v>
      </c>
      <c r="B1165" t="s">
        <v>658</v>
      </c>
      <c r="C1165" t="s">
        <v>3167</v>
      </c>
      <c r="D1165" t="s">
        <v>1963</v>
      </c>
      <c r="E1165" t="s">
        <v>2020</v>
      </c>
      <c r="F1165" t="s">
        <v>2055</v>
      </c>
      <c r="G1165" t="s">
        <v>2056</v>
      </c>
      <c r="H1165" t="s">
        <v>2023</v>
      </c>
      <c r="I1165" t="s">
        <v>4176</v>
      </c>
      <c r="J1165" t="s">
        <v>1963</v>
      </c>
      <c r="K1165" t="s">
        <v>4168</v>
      </c>
      <c r="L1165" t="s">
        <v>2046</v>
      </c>
      <c r="M1165" t="s">
        <v>2399</v>
      </c>
      <c r="N1165" t="s">
        <v>2400</v>
      </c>
      <c r="O1165" t="s">
        <v>4177</v>
      </c>
      <c r="P1165" t="s">
        <v>4178</v>
      </c>
      <c r="Q1165" t="s">
        <v>4179</v>
      </c>
      <c r="R1165" t="s">
        <v>14</v>
      </c>
      <c r="S1165" t="s">
        <v>4174</v>
      </c>
      <c r="T1165" t="s">
        <v>4175</v>
      </c>
      <c r="U1165" t="s">
        <v>2390</v>
      </c>
      <c r="V1165" t="s">
        <v>14</v>
      </c>
      <c r="W1165" t="b">
        <v>1</v>
      </c>
      <c r="X1165" t="s">
        <v>4171</v>
      </c>
      <c r="Y1165" t="b">
        <v>1</v>
      </c>
      <c r="Z1165" t="s">
        <v>2032</v>
      </c>
    </row>
    <row r="1166" spans="1:26" x14ac:dyDescent="0.35">
      <c r="A1166" t="s">
        <v>657</v>
      </c>
      <c r="B1166" t="s">
        <v>658</v>
      </c>
      <c r="C1166" t="s">
        <v>3167</v>
      </c>
      <c r="D1166" t="s">
        <v>1963</v>
      </c>
      <c r="E1166" t="s">
        <v>2020</v>
      </c>
      <c r="F1166" t="s">
        <v>2055</v>
      </c>
      <c r="G1166" t="s">
        <v>2056</v>
      </c>
      <c r="H1166" t="s">
        <v>2023</v>
      </c>
      <c r="I1166" t="s">
        <v>69</v>
      </c>
      <c r="J1166" t="s">
        <v>1963</v>
      </c>
      <c r="K1166" t="s">
        <v>4168</v>
      </c>
      <c r="L1166" t="s">
        <v>2046</v>
      </c>
      <c r="M1166" t="s">
        <v>4101</v>
      </c>
      <c r="N1166" t="s">
        <v>4102</v>
      </c>
      <c r="O1166" t="s">
        <v>4103</v>
      </c>
      <c r="P1166" t="s">
        <v>4104</v>
      </c>
      <c r="Q1166" t="s">
        <v>14</v>
      </c>
      <c r="R1166" t="s">
        <v>14</v>
      </c>
      <c r="S1166" t="s">
        <v>14</v>
      </c>
      <c r="T1166" t="s">
        <v>14</v>
      </c>
      <c r="U1166" t="s">
        <v>2030</v>
      </c>
      <c r="V1166" t="s">
        <v>14</v>
      </c>
      <c r="W1166" t="b">
        <v>1</v>
      </c>
      <c r="X1166" t="s">
        <v>4171</v>
      </c>
      <c r="Y1166" t="b">
        <v>1</v>
      </c>
      <c r="Z1166" t="s">
        <v>2032</v>
      </c>
    </row>
    <row r="1167" spans="1:26" x14ac:dyDescent="0.35">
      <c r="A1167" t="s">
        <v>657</v>
      </c>
      <c r="B1167" t="s">
        <v>658</v>
      </c>
      <c r="C1167" t="s">
        <v>3167</v>
      </c>
      <c r="D1167" t="s">
        <v>1963</v>
      </c>
      <c r="E1167" t="s">
        <v>2020</v>
      </c>
      <c r="F1167" t="s">
        <v>2055</v>
      </c>
      <c r="G1167" t="s">
        <v>2056</v>
      </c>
      <c r="H1167" t="s">
        <v>2023</v>
      </c>
      <c r="I1167" t="s">
        <v>4172</v>
      </c>
      <c r="J1167" t="s">
        <v>1963</v>
      </c>
      <c r="K1167" t="s">
        <v>4168</v>
      </c>
      <c r="L1167" t="s">
        <v>2046</v>
      </c>
      <c r="M1167" t="s">
        <v>3587</v>
      </c>
      <c r="N1167" t="s">
        <v>3588</v>
      </c>
      <c r="O1167" t="s">
        <v>4169</v>
      </c>
      <c r="P1167" t="s">
        <v>4170</v>
      </c>
      <c r="Q1167" t="s">
        <v>4173</v>
      </c>
      <c r="R1167" t="s">
        <v>14</v>
      </c>
      <c r="S1167" t="s">
        <v>4174</v>
      </c>
      <c r="T1167" t="s">
        <v>4175</v>
      </c>
      <c r="U1167" t="s">
        <v>2390</v>
      </c>
      <c r="V1167" t="s">
        <v>14</v>
      </c>
      <c r="W1167" t="b">
        <v>1</v>
      </c>
      <c r="X1167" t="s">
        <v>4171</v>
      </c>
      <c r="Y1167" t="b">
        <v>1</v>
      </c>
      <c r="Z1167" t="s">
        <v>2032</v>
      </c>
    </row>
    <row r="1168" spans="1:26" x14ac:dyDescent="0.35">
      <c r="A1168" t="s">
        <v>657</v>
      </c>
      <c r="B1168" t="s">
        <v>658</v>
      </c>
      <c r="C1168" t="s">
        <v>3167</v>
      </c>
      <c r="D1168" t="s">
        <v>1963</v>
      </c>
      <c r="E1168" t="s">
        <v>2020</v>
      </c>
      <c r="F1168" t="s">
        <v>2055</v>
      </c>
      <c r="G1168" t="s">
        <v>2056</v>
      </c>
      <c r="H1168" t="s">
        <v>2023</v>
      </c>
      <c r="I1168" t="s">
        <v>4180</v>
      </c>
      <c r="J1168" t="s">
        <v>1963</v>
      </c>
      <c r="K1168" t="s">
        <v>4168</v>
      </c>
      <c r="L1168" t="s">
        <v>2046</v>
      </c>
      <c r="M1168" t="s">
        <v>4181</v>
      </c>
      <c r="N1168" t="s">
        <v>4182</v>
      </c>
      <c r="O1168" t="s">
        <v>4177</v>
      </c>
      <c r="P1168" t="s">
        <v>4178</v>
      </c>
      <c r="Q1168" t="s">
        <v>4179</v>
      </c>
      <c r="R1168" t="s">
        <v>14</v>
      </c>
      <c r="S1168" t="s">
        <v>4181</v>
      </c>
      <c r="T1168" t="s">
        <v>4182</v>
      </c>
      <c r="U1168" t="s">
        <v>2390</v>
      </c>
      <c r="V1168" t="s">
        <v>14</v>
      </c>
      <c r="W1168" t="b">
        <v>1</v>
      </c>
      <c r="X1168" t="s">
        <v>4171</v>
      </c>
      <c r="Y1168" t="b">
        <v>1</v>
      </c>
      <c r="Z1168" t="s">
        <v>2032</v>
      </c>
    </row>
    <row r="1169" spans="1:26" x14ac:dyDescent="0.35">
      <c r="A1169" t="s">
        <v>657</v>
      </c>
      <c r="B1169" t="s">
        <v>658</v>
      </c>
      <c r="C1169" t="s">
        <v>3167</v>
      </c>
      <c r="D1169" t="s">
        <v>1963</v>
      </c>
      <c r="E1169" t="s">
        <v>2020</v>
      </c>
      <c r="F1169" t="s">
        <v>2055</v>
      </c>
      <c r="G1169" t="s">
        <v>2056</v>
      </c>
      <c r="H1169" t="s">
        <v>2023</v>
      </c>
      <c r="I1169" t="s">
        <v>4183</v>
      </c>
      <c r="J1169" t="s">
        <v>1963</v>
      </c>
      <c r="K1169" t="s">
        <v>4168</v>
      </c>
      <c r="L1169" t="s">
        <v>2046</v>
      </c>
      <c r="M1169" t="s">
        <v>3591</v>
      </c>
      <c r="N1169" t="s">
        <v>3592</v>
      </c>
      <c r="O1169" t="s">
        <v>4177</v>
      </c>
      <c r="P1169" t="s">
        <v>4178</v>
      </c>
      <c r="Q1169" t="s">
        <v>4179</v>
      </c>
      <c r="R1169" t="s">
        <v>14</v>
      </c>
      <c r="S1169" t="s">
        <v>4174</v>
      </c>
      <c r="T1169" t="s">
        <v>4175</v>
      </c>
      <c r="U1169" t="s">
        <v>2390</v>
      </c>
      <c r="V1169" t="s">
        <v>14</v>
      </c>
      <c r="W1169" t="b">
        <v>1</v>
      </c>
      <c r="X1169" t="s">
        <v>4171</v>
      </c>
      <c r="Y1169" t="b">
        <v>1</v>
      </c>
      <c r="Z1169" t="s">
        <v>2032</v>
      </c>
    </row>
    <row r="1170" spans="1:26" x14ac:dyDescent="0.35">
      <c r="A1170" t="s">
        <v>657</v>
      </c>
      <c r="B1170" t="s">
        <v>658</v>
      </c>
      <c r="C1170" t="s">
        <v>3167</v>
      </c>
      <c r="D1170" t="s">
        <v>1963</v>
      </c>
      <c r="E1170" t="s">
        <v>2020</v>
      </c>
      <c r="F1170" t="s">
        <v>2055</v>
      </c>
      <c r="G1170" t="s">
        <v>2056</v>
      </c>
      <c r="H1170" t="s">
        <v>2023</v>
      </c>
      <c r="I1170" t="s">
        <v>4180</v>
      </c>
      <c r="J1170" t="s">
        <v>1963</v>
      </c>
      <c r="K1170" t="s">
        <v>4168</v>
      </c>
      <c r="L1170" t="s">
        <v>2046</v>
      </c>
      <c r="M1170" t="s">
        <v>4181</v>
      </c>
      <c r="N1170" t="s">
        <v>4182</v>
      </c>
      <c r="O1170" t="s">
        <v>4177</v>
      </c>
      <c r="P1170" t="s">
        <v>4178</v>
      </c>
      <c r="Q1170" t="s">
        <v>4179</v>
      </c>
      <c r="R1170" t="s">
        <v>14</v>
      </c>
      <c r="S1170" t="s">
        <v>4181</v>
      </c>
      <c r="T1170" t="s">
        <v>4182</v>
      </c>
      <c r="U1170" t="s">
        <v>2390</v>
      </c>
      <c r="V1170" t="s">
        <v>14</v>
      </c>
      <c r="W1170" t="b">
        <v>1</v>
      </c>
      <c r="X1170" t="s">
        <v>4171</v>
      </c>
      <c r="Y1170" t="b">
        <v>1</v>
      </c>
      <c r="Z1170" t="s">
        <v>2032</v>
      </c>
    </row>
    <row r="1171" spans="1:26" x14ac:dyDescent="0.35">
      <c r="A1171" t="s">
        <v>657</v>
      </c>
      <c r="B1171" t="s">
        <v>658</v>
      </c>
      <c r="C1171" t="s">
        <v>3167</v>
      </c>
      <c r="D1171" t="s">
        <v>1963</v>
      </c>
      <c r="E1171" t="s">
        <v>2020</v>
      </c>
      <c r="F1171" t="s">
        <v>2055</v>
      </c>
      <c r="G1171" t="s">
        <v>2056</v>
      </c>
      <c r="H1171" t="s">
        <v>2023</v>
      </c>
      <c r="I1171" t="s">
        <v>4176</v>
      </c>
      <c r="J1171" t="s">
        <v>1963</v>
      </c>
      <c r="K1171" t="s">
        <v>4168</v>
      </c>
      <c r="L1171" t="s">
        <v>2046</v>
      </c>
      <c r="M1171" t="s">
        <v>2399</v>
      </c>
      <c r="N1171" t="s">
        <v>2400</v>
      </c>
      <c r="O1171" t="s">
        <v>4177</v>
      </c>
      <c r="P1171" t="s">
        <v>4178</v>
      </c>
      <c r="Q1171" t="s">
        <v>4179</v>
      </c>
      <c r="R1171" t="s">
        <v>14</v>
      </c>
      <c r="S1171" t="s">
        <v>4174</v>
      </c>
      <c r="T1171" t="s">
        <v>4175</v>
      </c>
      <c r="U1171" t="s">
        <v>2390</v>
      </c>
      <c r="V1171" t="s">
        <v>14</v>
      </c>
      <c r="W1171" t="b">
        <v>1</v>
      </c>
      <c r="X1171" t="s">
        <v>4171</v>
      </c>
      <c r="Y1171" t="b">
        <v>1</v>
      </c>
      <c r="Z1171" t="s">
        <v>2032</v>
      </c>
    </row>
    <row r="1172" spans="1:26" x14ac:dyDescent="0.35">
      <c r="A1172" t="s">
        <v>659</v>
      </c>
      <c r="B1172" t="s">
        <v>660</v>
      </c>
      <c r="C1172" t="s">
        <v>3167</v>
      </c>
      <c r="D1172" t="s">
        <v>1963</v>
      </c>
      <c r="E1172" t="s">
        <v>2020</v>
      </c>
      <c r="F1172" t="s">
        <v>2055</v>
      </c>
      <c r="G1172" t="s">
        <v>2056</v>
      </c>
      <c r="H1172" t="s">
        <v>2023</v>
      </c>
      <c r="I1172" t="s">
        <v>4180</v>
      </c>
      <c r="J1172" t="s">
        <v>1963</v>
      </c>
      <c r="K1172" t="s">
        <v>4184</v>
      </c>
      <c r="L1172" t="s">
        <v>2046</v>
      </c>
      <c r="M1172" t="s">
        <v>4181</v>
      </c>
      <c r="N1172" t="s">
        <v>4182</v>
      </c>
      <c r="O1172" t="s">
        <v>4177</v>
      </c>
      <c r="P1172" t="s">
        <v>4178</v>
      </c>
      <c r="Q1172" t="s">
        <v>4179</v>
      </c>
      <c r="R1172" t="s">
        <v>14</v>
      </c>
      <c r="S1172" t="s">
        <v>4181</v>
      </c>
      <c r="T1172" t="s">
        <v>4182</v>
      </c>
      <c r="U1172" t="s">
        <v>2390</v>
      </c>
      <c r="V1172" t="s">
        <v>14</v>
      </c>
      <c r="W1172" t="b">
        <v>1</v>
      </c>
      <c r="X1172" t="s">
        <v>4185</v>
      </c>
      <c r="Y1172" t="b">
        <v>1</v>
      </c>
      <c r="Z1172" t="s">
        <v>2032</v>
      </c>
    </row>
    <row r="1173" spans="1:26" x14ac:dyDescent="0.35">
      <c r="A1173" t="s">
        <v>659</v>
      </c>
      <c r="B1173" t="s">
        <v>660</v>
      </c>
      <c r="C1173" t="s">
        <v>3167</v>
      </c>
      <c r="D1173" t="s">
        <v>1963</v>
      </c>
      <c r="E1173" t="s">
        <v>2020</v>
      </c>
      <c r="F1173" t="s">
        <v>2055</v>
      </c>
      <c r="G1173" t="s">
        <v>2056</v>
      </c>
      <c r="H1173" t="s">
        <v>2023</v>
      </c>
      <c r="I1173" t="s">
        <v>4180</v>
      </c>
      <c r="J1173" t="s">
        <v>1963</v>
      </c>
      <c r="K1173" t="s">
        <v>4184</v>
      </c>
      <c r="L1173" t="s">
        <v>2046</v>
      </c>
      <c r="M1173" t="s">
        <v>4181</v>
      </c>
      <c r="N1173" t="s">
        <v>4182</v>
      </c>
      <c r="O1173" t="s">
        <v>4177</v>
      </c>
      <c r="P1173" t="s">
        <v>4178</v>
      </c>
      <c r="Q1173" t="s">
        <v>4179</v>
      </c>
      <c r="R1173" t="s">
        <v>14</v>
      </c>
      <c r="S1173" t="s">
        <v>4181</v>
      </c>
      <c r="T1173" t="s">
        <v>4182</v>
      </c>
      <c r="U1173" t="s">
        <v>2390</v>
      </c>
      <c r="V1173" t="s">
        <v>14</v>
      </c>
      <c r="W1173" t="b">
        <v>1</v>
      </c>
      <c r="X1173" t="s">
        <v>4185</v>
      </c>
      <c r="Y1173" t="b">
        <v>1</v>
      </c>
      <c r="Z1173" t="s">
        <v>2032</v>
      </c>
    </row>
    <row r="1174" spans="1:26" x14ac:dyDescent="0.35">
      <c r="A1174" t="s">
        <v>659</v>
      </c>
      <c r="B1174" t="s">
        <v>660</v>
      </c>
      <c r="C1174" t="s">
        <v>3167</v>
      </c>
      <c r="D1174" t="s">
        <v>1963</v>
      </c>
      <c r="E1174" t="s">
        <v>2020</v>
      </c>
      <c r="F1174" t="s">
        <v>2055</v>
      </c>
      <c r="G1174" t="s">
        <v>2056</v>
      </c>
      <c r="H1174" t="s">
        <v>2023</v>
      </c>
      <c r="I1174" t="s">
        <v>4176</v>
      </c>
      <c r="J1174" t="s">
        <v>1963</v>
      </c>
      <c r="K1174" t="s">
        <v>4184</v>
      </c>
      <c r="L1174" t="s">
        <v>2046</v>
      </c>
      <c r="M1174" t="s">
        <v>2399</v>
      </c>
      <c r="N1174" t="s">
        <v>2400</v>
      </c>
      <c r="O1174" t="s">
        <v>4177</v>
      </c>
      <c r="P1174" t="s">
        <v>4178</v>
      </c>
      <c r="Q1174" t="s">
        <v>4179</v>
      </c>
      <c r="R1174" t="s">
        <v>14</v>
      </c>
      <c r="S1174" t="s">
        <v>4174</v>
      </c>
      <c r="T1174" t="s">
        <v>4175</v>
      </c>
      <c r="U1174" t="s">
        <v>2390</v>
      </c>
      <c r="V1174" t="s">
        <v>14</v>
      </c>
      <c r="W1174" t="b">
        <v>1</v>
      </c>
      <c r="X1174" t="s">
        <v>4185</v>
      </c>
      <c r="Y1174" t="b">
        <v>1</v>
      </c>
      <c r="Z1174" t="s">
        <v>2032</v>
      </c>
    </row>
    <row r="1175" spans="1:26" x14ac:dyDescent="0.35">
      <c r="A1175" t="s">
        <v>659</v>
      </c>
      <c r="B1175" t="s">
        <v>660</v>
      </c>
      <c r="C1175" t="s">
        <v>3167</v>
      </c>
      <c r="D1175" t="s">
        <v>1963</v>
      </c>
      <c r="E1175" t="s">
        <v>2020</v>
      </c>
      <c r="F1175" t="s">
        <v>2055</v>
      </c>
      <c r="G1175" t="s">
        <v>2056</v>
      </c>
      <c r="H1175" t="s">
        <v>2023</v>
      </c>
      <c r="I1175" t="s">
        <v>4183</v>
      </c>
      <c r="J1175" t="s">
        <v>1963</v>
      </c>
      <c r="K1175" t="s">
        <v>4184</v>
      </c>
      <c r="L1175" t="s">
        <v>2046</v>
      </c>
      <c r="M1175" t="s">
        <v>3591</v>
      </c>
      <c r="N1175" t="s">
        <v>3592</v>
      </c>
      <c r="O1175" t="s">
        <v>4177</v>
      </c>
      <c r="P1175" t="s">
        <v>4178</v>
      </c>
      <c r="Q1175" t="s">
        <v>4179</v>
      </c>
      <c r="R1175" t="s">
        <v>14</v>
      </c>
      <c r="S1175" t="s">
        <v>4174</v>
      </c>
      <c r="T1175" t="s">
        <v>4175</v>
      </c>
      <c r="U1175" t="s">
        <v>2390</v>
      </c>
      <c r="V1175" t="s">
        <v>14</v>
      </c>
      <c r="W1175" t="b">
        <v>1</v>
      </c>
      <c r="X1175" t="s">
        <v>4185</v>
      </c>
      <c r="Y1175" t="b">
        <v>1</v>
      </c>
      <c r="Z1175" t="s">
        <v>2032</v>
      </c>
    </row>
    <row r="1176" spans="1:26" x14ac:dyDescent="0.35">
      <c r="A1176" t="s">
        <v>659</v>
      </c>
      <c r="B1176" t="s">
        <v>660</v>
      </c>
      <c r="C1176" t="s">
        <v>3167</v>
      </c>
      <c r="D1176" t="s">
        <v>1963</v>
      </c>
      <c r="E1176" t="s">
        <v>2020</v>
      </c>
      <c r="F1176" t="s">
        <v>2055</v>
      </c>
      <c r="G1176" t="s">
        <v>2056</v>
      </c>
      <c r="H1176" t="s">
        <v>2023</v>
      </c>
      <c r="I1176" t="s">
        <v>4176</v>
      </c>
      <c r="J1176" t="s">
        <v>1963</v>
      </c>
      <c r="K1176" t="s">
        <v>4184</v>
      </c>
      <c r="L1176" t="s">
        <v>2046</v>
      </c>
      <c r="M1176" t="s">
        <v>2399</v>
      </c>
      <c r="N1176" t="s">
        <v>2400</v>
      </c>
      <c r="O1176" t="s">
        <v>4177</v>
      </c>
      <c r="P1176" t="s">
        <v>4178</v>
      </c>
      <c r="Q1176" t="s">
        <v>4179</v>
      </c>
      <c r="R1176" t="s">
        <v>14</v>
      </c>
      <c r="S1176" t="s">
        <v>4174</v>
      </c>
      <c r="T1176" t="s">
        <v>4175</v>
      </c>
      <c r="U1176" t="s">
        <v>2390</v>
      </c>
      <c r="V1176" t="s">
        <v>14</v>
      </c>
      <c r="W1176" t="b">
        <v>1</v>
      </c>
      <c r="X1176" t="s">
        <v>4185</v>
      </c>
      <c r="Y1176" t="b">
        <v>1</v>
      </c>
      <c r="Z1176" t="s">
        <v>2032</v>
      </c>
    </row>
    <row r="1177" spans="1:26" x14ac:dyDescent="0.35">
      <c r="A1177" t="s">
        <v>659</v>
      </c>
      <c r="B1177" t="s">
        <v>660</v>
      </c>
      <c r="C1177" t="s">
        <v>3167</v>
      </c>
      <c r="D1177" t="s">
        <v>1963</v>
      </c>
      <c r="E1177" t="s">
        <v>2020</v>
      </c>
      <c r="F1177" t="s">
        <v>2055</v>
      </c>
      <c r="G1177" t="s">
        <v>2056</v>
      </c>
      <c r="H1177" t="s">
        <v>2023</v>
      </c>
      <c r="I1177" t="s">
        <v>4172</v>
      </c>
      <c r="J1177" t="s">
        <v>1963</v>
      </c>
      <c r="K1177" t="s">
        <v>4184</v>
      </c>
      <c r="L1177" t="s">
        <v>2046</v>
      </c>
      <c r="M1177" t="s">
        <v>3587</v>
      </c>
      <c r="N1177" t="s">
        <v>3588</v>
      </c>
      <c r="O1177" t="s">
        <v>4169</v>
      </c>
      <c r="P1177" t="s">
        <v>4170</v>
      </c>
      <c r="Q1177" t="s">
        <v>4173</v>
      </c>
      <c r="R1177" t="s">
        <v>14</v>
      </c>
      <c r="S1177" t="s">
        <v>4174</v>
      </c>
      <c r="T1177" t="s">
        <v>4175</v>
      </c>
      <c r="U1177" t="s">
        <v>2390</v>
      </c>
      <c r="V1177" t="s">
        <v>14</v>
      </c>
      <c r="W1177" t="b">
        <v>1</v>
      </c>
      <c r="X1177" t="s">
        <v>4185</v>
      </c>
      <c r="Y1177" t="b">
        <v>1</v>
      </c>
      <c r="Z1177" t="s">
        <v>2032</v>
      </c>
    </row>
    <row r="1178" spans="1:26" x14ac:dyDescent="0.35">
      <c r="A1178" t="s">
        <v>659</v>
      </c>
      <c r="B1178" t="s">
        <v>660</v>
      </c>
      <c r="C1178" t="s">
        <v>3167</v>
      </c>
      <c r="D1178" t="s">
        <v>1963</v>
      </c>
      <c r="E1178" t="s">
        <v>2020</v>
      </c>
      <c r="F1178" t="s">
        <v>2055</v>
      </c>
      <c r="G1178" t="s">
        <v>2056</v>
      </c>
      <c r="H1178" t="s">
        <v>2023</v>
      </c>
      <c r="I1178" t="s">
        <v>4167</v>
      </c>
      <c r="J1178" t="s">
        <v>1963</v>
      </c>
      <c r="K1178" t="s">
        <v>4184</v>
      </c>
      <c r="L1178" t="s">
        <v>2046</v>
      </c>
      <c r="M1178" t="s">
        <v>3587</v>
      </c>
      <c r="N1178" t="s">
        <v>3588</v>
      </c>
      <c r="O1178" t="s">
        <v>4169</v>
      </c>
      <c r="P1178" t="s">
        <v>4170</v>
      </c>
      <c r="Q1178" t="s">
        <v>14</v>
      </c>
      <c r="R1178" t="s">
        <v>14</v>
      </c>
      <c r="S1178" t="s">
        <v>14</v>
      </c>
      <c r="T1178" t="s">
        <v>14</v>
      </c>
      <c r="U1178" t="s">
        <v>2390</v>
      </c>
      <c r="V1178" t="s">
        <v>14</v>
      </c>
      <c r="W1178" t="b">
        <v>1</v>
      </c>
      <c r="X1178" t="s">
        <v>4185</v>
      </c>
      <c r="Y1178" t="b">
        <v>1</v>
      </c>
      <c r="Z1178" t="s">
        <v>2032</v>
      </c>
    </row>
    <row r="1179" spans="1:26" x14ac:dyDescent="0.35">
      <c r="A1179" t="s">
        <v>659</v>
      </c>
      <c r="B1179" t="s">
        <v>660</v>
      </c>
      <c r="C1179" t="s">
        <v>3167</v>
      </c>
      <c r="D1179" t="s">
        <v>1963</v>
      </c>
      <c r="E1179" t="s">
        <v>2020</v>
      </c>
      <c r="F1179" t="s">
        <v>2055</v>
      </c>
      <c r="G1179" t="s">
        <v>2056</v>
      </c>
      <c r="H1179" t="s">
        <v>2023</v>
      </c>
      <c r="I1179" t="s">
        <v>4172</v>
      </c>
      <c r="J1179" t="s">
        <v>1963</v>
      </c>
      <c r="K1179" t="s">
        <v>4184</v>
      </c>
      <c r="L1179" t="s">
        <v>2046</v>
      </c>
      <c r="M1179" t="s">
        <v>3587</v>
      </c>
      <c r="N1179" t="s">
        <v>3588</v>
      </c>
      <c r="O1179" t="s">
        <v>4169</v>
      </c>
      <c r="P1179" t="s">
        <v>4170</v>
      </c>
      <c r="Q1179" t="s">
        <v>4173</v>
      </c>
      <c r="R1179" t="s">
        <v>14</v>
      </c>
      <c r="S1179" t="s">
        <v>4174</v>
      </c>
      <c r="T1179" t="s">
        <v>4175</v>
      </c>
      <c r="U1179" t="s">
        <v>2390</v>
      </c>
      <c r="V1179" t="s">
        <v>14</v>
      </c>
      <c r="W1179" t="b">
        <v>1</v>
      </c>
      <c r="X1179" t="s">
        <v>4185</v>
      </c>
      <c r="Y1179" t="b">
        <v>1</v>
      </c>
      <c r="Z1179" t="s">
        <v>2032</v>
      </c>
    </row>
    <row r="1180" spans="1:26" x14ac:dyDescent="0.35">
      <c r="A1180" t="s">
        <v>659</v>
      </c>
      <c r="B1180" t="s">
        <v>660</v>
      </c>
      <c r="C1180" t="s">
        <v>3167</v>
      </c>
      <c r="D1180" t="s">
        <v>1963</v>
      </c>
      <c r="E1180" t="s">
        <v>2020</v>
      </c>
      <c r="F1180" t="s">
        <v>2055</v>
      </c>
      <c r="G1180" t="s">
        <v>2056</v>
      </c>
      <c r="H1180" t="s">
        <v>2023</v>
      </c>
      <c r="I1180" t="s">
        <v>69</v>
      </c>
      <c r="J1180" t="s">
        <v>1963</v>
      </c>
      <c r="K1180" t="s">
        <v>4184</v>
      </c>
      <c r="L1180" t="s">
        <v>2046</v>
      </c>
      <c r="M1180" t="s">
        <v>4101</v>
      </c>
      <c r="N1180" t="s">
        <v>4102</v>
      </c>
      <c r="O1180" t="s">
        <v>4103</v>
      </c>
      <c r="P1180" t="s">
        <v>4104</v>
      </c>
      <c r="Q1180" t="s">
        <v>14</v>
      </c>
      <c r="R1180" t="s">
        <v>14</v>
      </c>
      <c r="S1180" t="s">
        <v>14</v>
      </c>
      <c r="T1180" t="s">
        <v>14</v>
      </c>
      <c r="U1180" t="s">
        <v>2030</v>
      </c>
      <c r="V1180" t="s">
        <v>14</v>
      </c>
      <c r="W1180" t="b">
        <v>1</v>
      </c>
      <c r="X1180" t="s">
        <v>4185</v>
      </c>
      <c r="Y1180" t="b">
        <v>1</v>
      </c>
      <c r="Z1180" t="s">
        <v>2032</v>
      </c>
    </row>
    <row r="1181" spans="1:26" x14ac:dyDescent="0.35">
      <c r="A1181" t="s">
        <v>661</v>
      </c>
      <c r="B1181" t="s">
        <v>662</v>
      </c>
      <c r="C1181" t="s">
        <v>3167</v>
      </c>
      <c r="D1181" t="s">
        <v>1963</v>
      </c>
      <c r="E1181" t="s">
        <v>2020</v>
      </c>
      <c r="F1181" t="s">
        <v>2055</v>
      </c>
      <c r="G1181" t="s">
        <v>2056</v>
      </c>
      <c r="H1181" t="s">
        <v>2023</v>
      </c>
      <c r="I1181" t="s">
        <v>4183</v>
      </c>
      <c r="J1181" t="s">
        <v>1963</v>
      </c>
      <c r="K1181" t="s">
        <v>4186</v>
      </c>
      <c r="L1181" t="s">
        <v>2046</v>
      </c>
      <c r="M1181" t="s">
        <v>3591</v>
      </c>
      <c r="N1181" t="s">
        <v>3592</v>
      </c>
      <c r="O1181" t="s">
        <v>4177</v>
      </c>
      <c r="P1181" t="s">
        <v>4178</v>
      </c>
      <c r="Q1181" t="s">
        <v>4179</v>
      </c>
      <c r="R1181" t="s">
        <v>14</v>
      </c>
      <c r="S1181" t="s">
        <v>4174</v>
      </c>
      <c r="T1181" t="s">
        <v>4175</v>
      </c>
      <c r="U1181" t="s">
        <v>2390</v>
      </c>
      <c r="V1181" t="s">
        <v>14</v>
      </c>
      <c r="W1181" t="b">
        <v>1</v>
      </c>
      <c r="X1181" t="s">
        <v>4187</v>
      </c>
      <c r="Y1181" t="b">
        <v>1</v>
      </c>
      <c r="Z1181" t="s">
        <v>2032</v>
      </c>
    </row>
    <row r="1182" spans="1:26" x14ac:dyDescent="0.35">
      <c r="A1182" t="s">
        <v>661</v>
      </c>
      <c r="B1182" t="s">
        <v>662</v>
      </c>
      <c r="C1182" t="s">
        <v>3167</v>
      </c>
      <c r="D1182" t="s">
        <v>1963</v>
      </c>
      <c r="E1182" t="s">
        <v>2020</v>
      </c>
      <c r="F1182" t="s">
        <v>2055</v>
      </c>
      <c r="G1182" t="s">
        <v>2056</v>
      </c>
      <c r="H1182" t="s">
        <v>2023</v>
      </c>
      <c r="I1182" t="s">
        <v>4180</v>
      </c>
      <c r="J1182" t="s">
        <v>1963</v>
      </c>
      <c r="K1182" t="s">
        <v>4186</v>
      </c>
      <c r="L1182" t="s">
        <v>2046</v>
      </c>
      <c r="M1182" t="s">
        <v>4181</v>
      </c>
      <c r="N1182" t="s">
        <v>4182</v>
      </c>
      <c r="O1182" t="s">
        <v>4177</v>
      </c>
      <c r="P1182" t="s">
        <v>4178</v>
      </c>
      <c r="Q1182" t="s">
        <v>4179</v>
      </c>
      <c r="R1182" t="s">
        <v>14</v>
      </c>
      <c r="S1182" t="s">
        <v>4181</v>
      </c>
      <c r="T1182" t="s">
        <v>4182</v>
      </c>
      <c r="U1182" t="s">
        <v>2390</v>
      </c>
      <c r="V1182" t="s">
        <v>14</v>
      </c>
      <c r="W1182" t="b">
        <v>1</v>
      </c>
      <c r="X1182" t="s">
        <v>4187</v>
      </c>
      <c r="Y1182" t="b">
        <v>1</v>
      </c>
      <c r="Z1182" t="s">
        <v>2032</v>
      </c>
    </row>
    <row r="1183" spans="1:26" x14ac:dyDescent="0.35">
      <c r="A1183" t="s">
        <v>661</v>
      </c>
      <c r="B1183" t="s">
        <v>662</v>
      </c>
      <c r="C1183" t="s">
        <v>3167</v>
      </c>
      <c r="D1183" t="s">
        <v>1963</v>
      </c>
      <c r="E1183" t="s">
        <v>2020</v>
      </c>
      <c r="F1183" t="s">
        <v>2055</v>
      </c>
      <c r="G1183" t="s">
        <v>2056</v>
      </c>
      <c r="H1183" t="s">
        <v>2023</v>
      </c>
      <c r="I1183" t="s">
        <v>4176</v>
      </c>
      <c r="J1183" t="s">
        <v>1963</v>
      </c>
      <c r="K1183" t="s">
        <v>4186</v>
      </c>
      <c r="L1183" t="s">
        <v>2046</v>
      </c>
      <c r="M1183" t="s">
        <v>2399</v>
      </c>
      <c r="N1183" t="s">
        <v>2400</v>
      </c>
      <c r="O1183" t="s">
        <v>4177</v>
      </c>
      <c r="P1183" t="s">
        <v>4178</v>
      </c>
      <c r="Q1183" t="s">
        <v>4179</v>
      </c>
      <c r="R1183" t="s">
        <v>14</v>
      </c>
      <c r="S1183" t="s">
        <v>4174</v>
      </c>
      <c r="T1183" t="s">
        <v>4175</v>
      </c>
      <c r="U1183" t="s">
        <v>2390</v>
      </c>
      <c r="V1183" t="s">
        <v>14</v>
      </c>
      <c r="W1183" t="b">
        <v>1</v>
      </c>
      <c r="X1183" t="s">
        <v>4187</v>
      </c>
      <c r="Y1183" t="b">
        <v>1</v>
      </c>
      <c r="Z1183" t="s">
        <v>2032</v>
      </c>
    </row>
    <row r="1184" spans="1:26" x14ac:dyDescent="0.35">
      <c r="A1184" t="s">
        <v>661</v>
      </c>
      <c r="B1184" t="s">
        <v>662</v>
      </c>
      <c r="C1184" t="s">
        <v>3167</v>
      </c>
      <c r="D1184" t="s">
        <v>1963</v>
      </c>
      <c r="E1184" t="s">
        <v>2020</v>
      </c>
      <c r="F1184" t="s">
        <v>2055</v>
      </c>
      <c r="G1184" t="s">
        <v>2056</v>
      </c>
      <c r="H1184" t="s">
        <v>2023</v>
      </c>
      <c r="I1184" t="s">
        <v>69</v>
      </c>
      <c r="J1184" t="s">
        <v>1963</v>
      </c>
      <c r="K1184" t="s">
        <v>4186</v>
      </c>
      <c r="L1184" t="s">
        <v>2046</v>
      </c>
      <c r="M1184" t="s">
        <v>4101</v>
      </c>
      <c r="N1184" t="s">
        <v>4102</v>
      </c>
      <c r="O1184" t="s">
        <v>4103</v>
      </c>
      <c r="P1184" t="s">
        <v>4104</v>
      </c>
      <c r="Q1184" t="s">
        <v>14</v>
      </c>
      <c r="R1184" t="s">
        <v>14</v>
      </c>
      <c r="S1184" t="s">
        <v>14</v>
      </c>
      <c r="T1184" t="s">
        <v>14</v>
      </c>
      <c r="U1184" t="s">
        <v>2030</v>
      </c>
      <c r="V1184" t="s">
        <v>14</v>
      </c>
      <c r="W1184" t="b">
        <v>1</v>
      </c>
      <c r="X1184" t="s">
        <v>4187</v>
      </c>
      <c r="Y1184" t="b">
        <v>1</v>
      </c>
      <c r="Z1184" t="s">
        <v>2032</v>
      </c>
    </row>
    <row r="1185" spans="1:26" x14ac:dyDescent="0.35">
      <c r="A1185" t="s">
        <v>661</v>
      </c>
      <c r="B1185" t="s">
        <v>662</v>
      </c>
      <c r="C1185" t="s">
        <v>3167</v>
      </c>
      <c r="D1185" t="s">
        <v>1963</v>
      </c>
      <c r="E1185" t="s">
        <v>2020</v>
      </c>
      <c r="F1185" t="s">
        <v>2055</v>
      </c>
      <c r="G1185" t="s">
        <v>2056</v>
      </c>
      <c r="H1185" t="s">
        <v>2023</v>
      </c>
      <c r="I1185" t="s">
        <v>4172</v>
      </c>
      <c r="J1185" t="s">
        <v>1963</v>
      </c>
      <c r="K1185" t="s">
        <v>4186</v>
      </c>
      <c r="L1185" t="s">
        <v>2046</v>
      </c>
      <c r="M1185" t="s">
        <v>3587</v>
      </c>
      <c r="N1185" t="s">
        <v>3588</v>
      </c>
      <c r="O1185" t="s">
        <v>4169</v>
      </c>
      <c r="P1185" t="s">
        <v>4170</v>
      </c>
      <c r="Q1185" t="s">
        <v>4173</v>
      </c>
      <c r="R1185" t="s">
        <v>14</v>
      </c>
      <c r="S1185" t="s">
        <v>4174</v>
      </c>
      <c r="T1185" t="s">
        <v>4175</v>
      </c>
      <c r="U1185" t="s">
        <v>2390</v>
      </c>
      <c r="V1185" t="s">
        <v>14</v>
      </c>
      <c r="W1185" t="b">
        <v>1</v>
      </c>
      <c r="X1185" t="s">
        <v>4187</v>
      </c>
      <c r="Y1185" t="b">
        <v>1</v>
      </c>
      <c r="Z1185" t="s">
        <v>2032</v>
      </c>
    </row>
    <row r="1186" spans="1:26" x14ac:dyDescent="0.35">
      <c r="A1186" t="s">
        <v>661</v>
      </c>
      <c r="B1186" t="s">
        <v>662</v>
      </c>
      <c r="C1186" t="s">
        <v>3167</v>
      </c>
      <c r="D1186" t="s">
        <v>1963</v>
      </c>
      <c r="E1186" t="s">
        <v>2020</v>
      </c>
      <c r="F1186" t="s">
        <v>2055</v>
      </c>
      <c r="G1186" t="s">
        <v>2056</v>
      </c>
      <c r="H1186" t="s">
        <v>2023</v>
      </c>
      <c r="I1186" t="s">
        <v>4167</v>
      </c>
      <c r="J1186" t="s">
        <v>1963</v>
      </c>
      <c r="K1186" t="s">
        <v>4186</v>
      </c>
      <c r="L1186" t="s">
        <v>2046</v>
      </c>
      <c r="M1186" t="s">
        <v>3587</v>
      </c>
      <c r="N1186" t="s">
        <v>3588</v>
      </c>
      <c r="O1186" t="s">
        <v>4169</v>
      </c>
      <c r="P1186" t="s">
        <v>4170</v>
      </c>
      <c r="Q1186" t="s">
        <v>14</v>
      </c>
      <c r="R1186" t="s">
        <v>14</v>
      </c>
      <c r="S1186" t="s">
        <v>14</v>
      </c>
      <c r="T1186" t="s">
        <v>14</v>
      </c>
      <c r="U1186" t="s">
        <v>2390</v>
      </c>
      <c r="V1186" t="s">
        <v>14</v>
      </c>
      <c r="W1186" t="b">
        <v>1</v>
      </c>
      <c r="X1186" t="s">
        <v>4187</v>
      </c>
      <c r="Y1186" t="b">
        <v>1</v>
      </c>
      <c r="Z1186" t="s">
        <v>2032</v>
      </c>
    </row>
    <row r="1187" spans="1:26" x14ac:dyDescent="0.35">
      <c r="A1187" t="s">
        <v>661</v>
      </c>
      <c r="B1187" t="s">
        <v>662</v>
      </c>
      <c r="C1187" t="s">
        <v>3167</v>
      </c>
      <c r="D1187" t="s">
        <v>1963</v>
      </c>
      <c r="E1187" t="s">
        <v>2020</v>
      </c>
      <c r="F1187" t="s">
        <v>2055</v>
      </c>
      <c r="G1187" t="s">
        <v>2056</v>
      </c>
      <c r="H1187" t="s">
        <v>2023</v>
      </c>
      <c r="I1187" t="s">
        <v>4180</v>
      </c>
      <c r="J1187" t="s">
        <v>1963</v>
      </c>
      <c r="K1187" t="s">
        <v>4186</v>
      </c>
      <c r="L1187" t="s">
        <v>2046</v>
      </c>
      <c r="M1187" t="s">
        <v>4181</v>
      </c>
      <c r="N1187" t="s">
        <v>4182</v>
      </c>
      <c r="O1187" t="s">
        <v>4177</v>
      </c>
      <c r="P1187" t="s">
        <v>4178</v>
      </c>
      <c r="Q1187" t="s">
        <v>4179</v>
      </c>
      <c r="R1187" t="s">
        <v>14</v>
      </c>
      <c r="S1187" t="s">
        <v>4181</v>
      </c>
      <c r="T1187" t="s">
        <v>4182</v>
      </c>
      <c r="U1187" t="s">
        <v>2390</v>
      </c>
      <c r="V1187" t="s">
        <v>14</v>
      </c>
      <c r="W1187" t="b">
        <v>1</v>
      </c>
      <c r="X1187" t="s">
        <v>4187</v>
      </c>
      <c r="Y1187" t="b">
        <v>1</v>
      </c>
      <c r="Z1187" t="s">
        <v>2032</v>
      </c>
    </row>
    <row r="1188" spans="1:26" x14ac:dyDescent="0.35">
      <c r="A1188" t="s">
        <v>661</v>
      </c>
      <c r="B1188" t="s">
        <v>662</v>
      </c>
      <c r="C1188" t="s">
        <v>3167</v>
      </c>
      <c r="D1188" t="s">
        <v>1963</v>
      </c>
      <c r="E1188" t="s">
        <v>2020</v>
      </c>
      <c r="F1188" t="s">
        <v>2055</v>
      </c>
      <c r="G1188" t="s">
        <v>2056</v>
      </c>
      <c r="H1188" t="s">
        <v>2023</v>
      </c>
      <c r="I1188" t="s">
        <v>4172</v>
      </c>
      <c r="J1188" t="s">
        <v>1963</v>
      </c>
      <c r="K1188" t="s">
        <v>4186</v>
      </c>
      <c r="L1188" t="s">
        <v>2046</v>
      </c>
      <c r="M1188" t="s">
        <v>3587</v>
      </c>
      <c r="N1188" t="s">
        <v>3588</v>
      </c>
      <c r="O1188" t="s">
        <v>4169</v>
      </c>
      <c r="P1188" t="s">
        <v>4170</v>
      </c>
      <c r="Q1188" t="s">
        <v>4173</v>
      </c>
      <c r="R1188" t="s">
        <v>14</v>
      </c>
      <c r="S1188" t="s">
        <v>4174</v>
      </c>
      <c r="T1188" t="s">
        <v>4175</v>
      </c>
      <c r="U1188" t="s">
        <v>2390</v>
      </c>
      <c r="V1188" t="s">
        <v>14</v>
      </c>
      <c r="W1188" t="b">
        <v>1</v>
      </c>
      <c r="X1188" t="s">
        <v>4187</v>
      </c>
      <c r="Y1188" t="b">
        <v>1</v>
      </c>
      <c r="Z1188" t="s">
        <v>2032</v>
      </c>
    </row>
    <row r="1189" spans="1:26" x14ac:dyDescent="0.35">
      <c r="A1189" t="s">
        <v>661</v>
      </c>
      <c r="B1189" t="s">
        <v>662</v>
      </c>
      <c r="C1189" t="s">
        <v>3167</v>
      </c>
      <c r="D1189" t="s">
        <v>1963</v>
      </c>
      <c r="E1189" t="s">
        <v>2020</v>
      </c>
      <c r="F1189" t="s">
        <v>2055</v>
      </c>
      <c r="G1189" t="s">
        <v>2056</v>
      </c>
      <c r="H1189" t="s">
        <v>2023</v>
      </c>
      <c r="I1189" t="s">
        <v>4176</v>
      </c>
      <c r="J1189" t="s">
        <v>1963</v>
      </c>
      <c r="K1189" t="s">
        <v>4186</v>
      </c>
      <c r="L1189" t="s">
        <v>2046</v>
      </c>
      <c r="M1189" t="s">
        <v>2399</v>
      </c>
      <c r="N1189" t="s">
        <v>2400</v>
      </c>
      <c r="O1189" t="s">
        <v>4177</v>
      </c>
      <c r="P1189" t="s">
        <v>4178</v>
      </c>
      <c r="Q1189" t="s">
        <v>4179</v>
      </c>
      <c r="R1189" t="s">
        <v>14</v>
      </c>
      <c r="S1189" t="s">
        <v>4174</v>
      </c>
      <c r="T1189" t="s">
        <v>4175</v>
      </c>
      <c r="U1189" t="s">
        <v>2390</v>
      </c>
      <c r="V1189" t="s">
        <v>14</v>
      </c>
      <c r="W1189" t="b">
        <v>1</v>
      </c>
      <c r="X1189" t="s">
        <v>4187</v>
      </c>
      <c r="Y1189" t="b">
        <v>1</v>
      </c>
      <c r="Z1189" t="s">
        <v>2032</v>
      </c>
    </row>
    <row r="1190" spans="1:26" x14ac:dyDescent="0.35">
      <c r="A1190" t="s">
        <v>663</v>
      </c>
      <c r="B1190" t="s">
        <v>664</v>
      </c>
      <c r="C1190" t="s">
        <v>3167</v>
      </c>
      <c r="D1190" t="s">
        <v>1963</v>
      </c>
      <c r="E1190" t="s">
        <v>2020</v>
      </c>
      <c r="F1190" t="s">
        <v>2055</v>
      </c>
      <c r="G1190" t="s">
        <v>2056</v>
      </c>
      <c r="H1190" t="s">
        <v>2023</v>
      </c>
      <c r="I1190" t="s">
        <v>4176</v>
      </c>
      <c r="J1190" t="s">
        <v>1963</v>
      </c>
      <c r="K1190" t="s">
        <v>4188</v>
      </c>
      <c r="L1190" t="s">
        <v>2046</v>
      </c>
      <c r="M1190" t="s">
        <v>2399</v>
      </c>
      <c r="N1190" t="s">
        <v>2400</v>
      </c>
      <c r="O1190" t="s">
        <v>4177</v>
      </c>
      <c r="P1190" t="s">
        <v>4178</v>
      </c>
      <c r="Q1190" t="s">
        <v>4179</v>
      </c>
      <c r="R1190" t="s">
        <v>14</v>
      </c>
      <c r="S1190" t="s">
        <v>4174</v>
      </c>
      <c r="T1190" t="s">
        <v>4175</v>
      </c>
      <c r="U1190" t="s">
        <v>2390</v>
      </c>
      <c r="V1190" t="s">
        <v>14</v>
      </c>
      <c r="W1190" t="b">
        <v>1</v>
      </c>
      <c r="X1190" t="s">
        <v>4189</v>
      </c>
      <c r="Y1190" t="b">
        <v>1</v>
      </c>
      <c r="Z1190" t="s">
        <v>2032</v>
      </c>
    </row>
    <row r="1191" spans="1:26" x14ac:dyDescent="0.35">
      <c r="A1191" t="s">
        <v>663</v>
      </c>
      <c r="B1191" t="s">
        <v>664</v>
      </c>
      <c r="C1191" t="s">
        <v>3167</v>
      </c>
      <c r="D1191" t="s">
        <v>1963</v>
      </c>
      <c r="E1191" t="s">
        <v>2020</v>
      </c>
      <c r="F1191" t="s">
        <v>2055</v>
      </c>
      <c r="G1191" t="s">
        <v>2056</v>
      </c>
      <c r="H1191" t="s">
        <v>2023</v>
      </c>
      <c r="I1191" t="s">
        <v>4167</v>
      </c>
      <c r="J1191" t="s">
        <v>1963</v>
      </c>
      <c r="K1191" t="s">
        <v>4188</v>
      </c>
      <c r="L1191" t="s">
        <v>2046</v>
      </c>
      <c r="M1191" t="s">
        <v>3587</v>
      </c>
      <c r="N1191" t="s">
        <v>3588</v>
      </c>
      <c r="O1191" t="s">
        <v>4169</v>
      </c>
      <c r="P1191" t="s">
        <v>4170</v>
      </c>
      <c r="Q1191" t="s">
        <v>14</v>
      </c>
      <c r="R1191" t="s">
        <v>14</v>
      </c>
      <c r="S1191" t="s">
        <v>14</v>
      </c>
      <c r="T1191" t="s">
        <v>14</v>
      </c>
      <c r="U1191" t="s">
        <v>2390</v>
      </c>
      <c r="V1191" t="s">
        <v>14</v>
      </c>
      <c r="W1191" t="b">
        <v>1</v>
      </c>
      <c r="X1191" t="s">
        <v>4189</v>
      </c>
      <c r="Y1191" t="b">
        <v>1</v>
      </c>
      <c r="Z1191" t="s">
        <v>2032</v>
      </c>
    </row>
    <row r="1192" spans="1:26" x14ac:dyDescent="0.35">
      <c r="A1192" t="s">
        <v>663</v>
      </c>
      <c r="B1192" t="s">
        <v>664</v>
      </c>
      <c r="C1192" t="s">
        <v>3167</v>
      </c>
      <c r="D1192" t="s">
        <v>1963</v>
      </c>
      <c r="E1192" t="s">
        <v>2020</v>
      </c>
      <c r="F1192" t="s">
        <v>2055</v>
      </c>
      <c r="G1192" t="s">
        <v>2056</v>
      </c>
      <c r="H1192" t="s">
        <v>2023</v>
      </c>
      <c r="I1192" t="s">
        <v>4183</v>
      </c>
      <c r="J1192" t="s">
        <v>1963</v>
      </c>
      <c r="K1192" t="s">
        <v>4188</v>
      </c>
      <c r="L1192" t="s">
        <v>2046</v>
      </c>
      <c r="M1192" t="s">
        <v>3591</v>
      </c>
      <c r="N1192" t="s">
        <v>3592</v>
      </c>
      <c r="O1192" t="s">
        <v>4177</v>
      </c>
      <c r="P1192" t="s">
        <v>4178</v>
      </c>
      <c r="Q1192" t="s">
        <v>4179</v>
      </c>
      <c r="R1192" t="s">
        <v>14</v>
      </c>
      <c r="S1192" t="s">
        <v>4174</v>
      </c>
      <c r="T1192" t="s">
        <v>4175</v>
      </c>
      <c r="U1192" t="s">
        <v>2390</v>
      </c>
      <c r="V1192" t="s">
        <v>14</v>
      </c>
      <c r="W1192" t="b">
        <v>1</v>
      </c>
      <c r="X1192" t="s">
        <v>4189</v>
      </c>
      <c r="Y1192" t="b">
        <v>1</v>
      </c>
      <c r="Z1192" t="s">
        <v>2032</v>
      </c>
    </row>
    <row r="1193" spans="1:26" x14ac:dyDescent="0.35">
      <c r="A1193" t="s">
        <v>663</v>
      </c>
      <c r="B1193" t="s">
        <v>664</v>
      </c>
      <c r="C1193" t="s">
        <v>3167</v>
      </c>
      <c r="D1193" t="s">
        <v>1963</v>
      </c>
      <c r="E1193" t="s">
        <v>2020</v>
      </c>
      <c r="F1193" t="s">
        <v>2055</v>
      </c>
      <c r="G1193" t="s">
        <v>2056</v>
      </c>
      <c r="H1193" t="s">
        <v>2023</v>
      </c>
      <c r="I1193" t="s">
        <v>4172</v>
      </c>
      <c r="J1193" t="s">
        <v>1963</v>
      </c>
      <c r="K1193" t="s">
        <v>4188</v>
      </c>
      <c r="L1193" t="s">
        <v>2046</v>
      </c>
      <c r="M1193" t="s">
        <v>3587</v>
      </c>
      <c r="N1193" t="s">
        <v>3588</v>
      </c>
      <c r="O1193" t="s">
        <v>4169</v>
      </c>
      <c r="P1193" t="s">
        <v>4170</v>
      </c>
      <c r="Q1193" t="s">
        <v>4173</v>
      </c>
      <c r="R1193" t="s">
        <v>14</v>
      </c>
      <c r="S1193" t="s">
        <v>4174</v>
      </c>
      <c r="T1193" t="s">
        <v>4175</v>
      </c>
      <c r="U1193" t="s">
        <v>2390</v>
      </c>
      <c r="V1193" t="s">
        <v>14</v>
      </c>
      <c r="W1193" t="b">
        <v>1</v>
      </c>
      <c r="X1193" t="s">
        <v>4189</v>
      </c>
      <c r="Y1193" t="b">
        <v>1</v>
      </c>
      <c r="Z1193" t="s">
        <v>2032</v>
      </c>
    </row>
    <row r="1194" spans="1:26" x14ac:dyDescent="0.35">
      <c r="A1194" t="s">
        <v>663</v>
      </c>
      <c r="B1194" t="s">
        <v>664</v>
      </c>
      <c r="C1194" t="s">
        <v>3167</v>
      </c>
      <c r="D1194" t="s">
        <v>1963</v>
      </c>
      <c r="E1194" t="s">
        <v>2020</v>
      </c>
      <c r="F1194" t="s">
        <v>2055</v>
      </c>
      <c r="G1194" t="s">
        <v>2056</v>
      </c>
      <c r="H1194" t="s">
        <v>2023</v>
      </c>
      <c r="I1194" t="s">
        <v>69</v>
      </c>
      <c r="J1194" t="s">
        <v>1963</v>
      </c>
      <c r="K1194" t="s">
        <v>4188</v>
      </c>
      <c r="L1194" t="s">
        <v>2046</v>
      </c>
      <c r="M1194" t="s">
        <v>4101</v>
      </c>
      <c r="N1194" t="s">
        <v>4102</v>
      </c>
      <c r="O1194" t="s">
        <v>4103</v>
      </c>
      <c r="P1194" t="s">
        <v>4104</v>
      </c>
      <c r="Q1194" t="s">
        <v>14</v>
      </c>
      <c r="R1194" t="s">
        <v>14</v>
      </c>
      <c r="S1194" t="s">
        <v>14</v>
      </c>
      <c r="T1194" t="s">
        <v>14</v>
      </c>
      <c r="U1194" t="s">
        <v>2030</v>
      </c>
      <c r="V1194" t="s">
        <v>14</v>
      </c>
      <c r="W1194" t="b">
        <v>1</v>
      </c>
      <c r="X1194" t="s">
        <v>4189</v>
      </c>
      <c r="Y1194" t="b">
        <v>1</v>
      </c>
      <c r="Z1194" t="s">
        <v>2032</v>
      </c>
    </row>
    <row r="1195" spans="1:26" x14ac:dyDescent="0.35">
      <c r="A1195" t="s">
        <v>663</v>
      </c>
      <c r="B1195" t="s">
        <v>664</v>
      </c>
      <c r="C1195" t="s">
        <v>3167</v>
      </c>
      <c r="D1195" t="s">
        <v>1963</v>
      </c>
      <c r="E1195" t="s">
        <v>2020</v>
      </c>
      <c r="F1195" t="s">
        <v>2055</v>
      </c>
      <c r="G1195" t="s">
        <v>2056</v>
      </c>
      <c r="H1195" t="s">
        <v>2023</v>
      </c>
      <c r="I1195" t="s">
        <v>4180</v>
      </c>
      <c r="J1195" t="s">
        <v>1963</v>
      </c>
      <c r="K1195" t="s">
        <v>4188</v>
      </c>
      <c r="L1195" t="s">
        <v>2046</v>
      </c>
      <c r="M1195" t="s">
        <v>4181</v>
      </c>
      <c r="N1195" t="s">
        <v>4182</v>
      </c>
      <c r="O1195" t="s">
        <v>4177</v>
      </c>
      <c r="P1195" t="s">
        <v>4178</v>
      </c>
      <c r="Q1195" t="s">
        <v>4179</v>
      </c>
      <c r="R1195" t="s">
        <v>14</v>
      </c>
      <c r="S1195" t="s">
        <v>4181</v>
      </c>
      <c r="T1195" t="s">
        <v>4182</v>
      </c>
      <c r="U1195" t="s">
        <v>2390</v>
      </c>
      <c r="V1195" t="s">
        <v>14</v>
      </c>
      <c r="W1195" t="b">
        <v>1</v>
      </c>
      <c r="X1195" t="s">
        <v>4189</v>
      </c>
      <c r="Y1195" t="b">
        <v>1</v>
      </c>
      <c r="Z1195" t="s">
        <v>2032</v>
      </c>
    </row>
    <row r="1196" spans="1:26" x14ac:dyDescent="0.35">
      <c r="A1196" t="s">
        <v>663</v>
      </c>
      <c r="B1196" t="s">
        <v>664</v>
      </c>
      <c r="C1196" t="s">
        <v>3167</v>
      </c>
      <c r="D1196" t="s">
        <v>1963</v>
      </c>
      <c r="E1196" t="s">
        <v>2020</v>
      </c>
      <c r="F1196" t="s">
        <v>2055</v>
      </c>
      <c r="G1196" t="s">
        <v>2056</v>
      </c>
      <c r="H1196" t="s">
        <v>2023</v>
      </c>
      <c r="I1196" t="s">
        <v>4180</v>
      </c>
      <c r="J1196" t="s">
        <v>1963</v>
      </c>
      <c r="K1196" t="s">
        <v>4188</v>
      </c>
      <c r="L1196" t="s">
        <v>2046</v>
      </c>
      <c r="M1196" t="s">
        <v>4181</v>
      </c>
      <c r="N1196" t="s">
        <v>4182</v>
      </c>
      <c r="O1196" t="s">
        <v>4177</v>
      </c>
      <c r="P1196" t="s">
        <v>4178</v>
      </c>
      <c r="Q1196" t="s">
        <v>4179</v>
      </c>
      <c r="R1196" t="s">
        <v>14</v>
      </c>
      <c r="S1196" t="s">
        <v>4181</v>
      </c>
      <c r="T1196" t="s">
        <v>4182</v>
      </c>
      <c r="U1196" t="s">
        <v>2390</v>
      </c>
      <c r="V1196" t="s">
        <v>14</v>
      </c>
      <c r="W1196" t="b">
        <v>1</v>
      </c>
      <c r="X1196" t="s">
        <v>4189</v>
      </c>
      <c r="Y1196" t="b">
        <v>1</v>
      </c>
      <c r="Z1196" t="s">
        <v>2032</v>
      </c>
    </row>
    <row r="1197" spans="1:26" x14ac:dyDescent="0.35">
      <c r="A1197" t="s">
        <v>663</v>
      </c>
      <c r="B1197" t="s">
        <v>664</v>
      </c>
      <c r="C1197" t="s">
        <v>3167</v>
      </c>
      <c r="D1197" t="s">
        <v>1963</v>
      </c>
      <c r="E1197" t="s">
        <v>2020</v>
      </c>
      <c r="F1197" t="s">
        <v>2055</v>
      </c>
      <c r="G1197" t="s">
        <v>2056</v>
      </c>
      <c r="H1197" t="s">
        <v>2023</v>
      </c>
      <c r="I1197" t="s">
        <v>4176</v>
      </c>
      <c r="J1197" t="s">
        <v>1963</v>
      </c>
      <c r="K1197" t="s">
        <v>4188</v>
      </c>
      <c r="L1197" t="s">
        <v>2046</v>
      </c>
      <c r="M1197" t="s">
        <v>2399</v>
      </c>
      <c r="N1197" t="s">
        <v>2400</v>
      </c>
      <c r="O1197" t="s">
        <v>4177</v>
      </c>
      <c r="P1197" t="s">
        <v>4178</v>
      </c>
      <c r="Q1197" t="s">
        <v>4179</v>
      </c>
      <c r="R1197" t="s">
        <v>14</v>
      </c>
      <c r="S1197" t="s">
        <v>4174</v>
      </c>
      <c r="T1197" t="s">
        <v>4175</v>
      </c>
      <c r="U1197" t="s">
        <v>2390</v>
      </c>
      <c r="V1197" t="s">
        <v>14</v>
      </c>
      <c r="W1197" t="b">
        <v>1</v>
      </c>
      <c r="X1197" t="s">
        <v>4189</v>
      </c>
      <c r="Y1197" t="b">
        <v>1</v>
      </c>
      <c r="Z1197" t="s">
        <v>2032</v>
      </c>
    </row>
    <row r="1198" spans="1:26" x14ac:dyDescent="0.35">
      <c r="A1198" t="s">
        <v>663</v>
      </c>
      <c r="B1198" t="s">
        <v>664</v>
      </c>
      <c r="C1198" t="s">
        <v>3167</v>
      </c>
      <c r="D1198" t="s">
        <v>1963</v>
      </c>
      <c r="E1198" t="s">
        <v>2020</v>
      </c>
      <c r="F1198" t="s">
        <v>2055</v>
      </c>
      <c r="G1198" t="s">
        <v>2056</v>
      </c>
      <c r="H1198" t="s">
        <v>2023</v>
      </c>
      <c r="I1198" t="s">
        <v>4172</v>
      </c>
      <c r="J1198" t="s">
        <v>1963</v>
      </c>
      <c r="K1198" t="s">
        <v>4188</v>
      </c>
      <c r="L1198" t="s">
        <v>2046</v>
      </c>
      <c r="M1198" t="s">
        <v>3587</v>
      </c>
      <c r="N1198" t="s">
        <v>3588</v>
      </c>
      <c r="O1198" t="s">
        <v>4169</v>
      </c>
      <c r="P1198" t="s">
        <v>4170</v>
      </c>
      <c r="Q1198" t="s">
        <v>4173</v>
      </c>
      <c r="R1198" t="s">
        <v>14</v>
      </c>
      <c r="S1198" t="s">
        <v>4174</v>
      </c>
      <c r="T1198" t="s">
        <v>4175</v>
      </c>
      <c r="U1198" t="s">
        <v>2390</v>
      </c>
      <c r="V1198" t="s">
        <v>14</v>
      </c>
      <c r="W1198" t="b">
        <v>1</v>
      </c>
      <c r="X1198" t="s">
        <v>4189</v>
      </c>
      <c r="Y1198" t="b">
        <v>1</v>
      </c>
      <c r="Z1198" t="s">
        <v>2032</v>
      </c>
    </row>
    <row r="1199" spans="1:26" x14ac:dyDescent="0.35">
      <c r="A1199" t="s">
        <v>665</v>
      </c>
      <c r="B1199" t="s">
        <v>4190</v>
      </c>
      <c r="C1199" t="s">
        <v>3167</v>
      </c>
      <c r="D1199" t="s">
        <v>1963</v>
      </c>
      <c r="E1199" t="s">
        <v>2020</v>
      </c>
      <c r="F1199" t="s">
        <v>2021</v>
      </c>
      <c r="G1199" t="s">
        <v>2022</v>
      </c>
      <c r="H1199" t="s">
        <v>2023</v>
      </c>
      <c r="I1199" t="s">
        <v>70</v>
      </c>
      <c r="J1199" t="s">
        <v>1963</v>
      </c>
      <c r="K1199" t="s">
        <v>4191</v>
      </c>
      <c r="L1199" t="s">
        <v>2046</v>
      </c>
      <c r="M1199" t="s">
        <v>2348</v>
      </c>
      <c r="N1199" t="s">
        <v>2349</v>
      </c>
      <c r="O1199" t="s">
        <v>2348</v>
      </c>
      <c r="P1199" t="s">
        <v>2349</v>
      </c>
      <c r="Q1199" t="s">
        <v>2350</v>
      </c>
      <c r="R1199" t="s">
        <v>14</v>
      </c>
      <c r="S1199" t="s">
        <v>4192</v>
      </c>
      <c r="T1199" t="s">
        <v>4193</v>
      </c>
      <c r="U1199" t="s">
        <v>2030</v>
      </c>
      <c r="V1199" t="s">
        <v>14</v>
      </c>
      <c r="W1199" t="b">
        <v>1</v>
      </c>
      <c r="X1199" t="s">
        <v>4194</v>
      </c>
      <c r="Y1199" t="b">
        <v>0</v>
      </c>
      <c r="Z1199" t="s">
        <v>2053</v>
      </c>
    </row>
    <row r="1200" spans="1:26" x14ac:dyDescent="0.35">
      <c r="A1200" t="s">
        <v>665</v>
      </c>
      <c r="B1200" t="s">
        <v>4190</v>
      </c>
      <c r="C1200" t="s">
        <v>3167</v>
      </c>
      <c r="D1200" t="s">
        <v>1963</v>
      </c>
      <c r="E1200" t="s">
        <v>2020</v>
      </c>
      <c r="F1200" t="s">
        <v>2021</v>
      </c>
      <c r="G1200" t="s">
        <v>2022</v>
      </c>
      <c r="H1200" t="s">
        <v>2023</v>
      </c>
      <c r="I1200" t="s">
        <v>4195</v>
      </c>
      <c r="J1200" t="s">
        <v>1963</v>
      </c>
      <c r="K1200" t="s">
        <v>4191</v>
      </c>
      <c r="L1200" t="s">
        <v>2046</v>
      </c>
      <c r="M1200" t="s">
        <v>4196</v>
      </c>
      <c r="N1200" t="s">
        <v>4197</v>
      </c>
      <c r="O1200" t="s">
        <v>2401</v>
      </c>
      <c r="P1200" t="s">
        <v>2402</v>
      </c>
      <c r="Q1200" t="s">
        <v>14</v>
      </c>
      <c r="R1200" t="s">
        <v>14</v>
      </c>
      <c r="S1200" t="s">
        <v>14</v>
      </c>
      <c r="T1200" t="s">
        <v>14</v>
      </c>
      <c r="U1200" t="s">
        <v>2390</v>
      </c>
      <c r="V1200" t="s">
        <v>14</v>
      </c>
      <c r="W1200" t="b">
        <v>1</v>
      </c>
      <c r="X1200" t="s">
        <v>4194</v>
      </c>
      <c r="Y1200" t="b">
        <v>0</v>
      </c>
      <c r="Z1200" t="s">
        <v>2032</v>
      </c>
    </row>
    <row r="1201" spans="1:26" x14ac:dyDescent="0.35">
      <c r="A1201" t="s">
        <v>665</v>
      </c>
      <c r="B1201" t="s">
        <v>4190</v>
      </c>
      <c r="C1201" t="s">
        <v>3167</v>
      </c>
      <c r="D1201" t="s">
        <v>1963</v>
      </c>
      <c r="E1201" t="s">
        <v>2020</v>
      </c>
      <c r="F1201" t="s">
        <v>2021</v>
      </c>
      <c r="G1201" t="s">
        <v>2022</v>
      </c>
      <c r="H1201" t="s">
        <v>2023</v>
      </c>
      <c r="I1201" t="s">
        <v>4198</v>
      </c>
      <c r="J1201" t="s">
        <v>1963</v>
      </c>
      <c r="K1201" t="s">
        <v>4191</v>
      </c>
      <c r="L1201" t="s">
        <v>2046</v>
      </c>
      <c r="M1201" t="s">
        <v>2348</v>
      </c>
      <c r="N1201" t="s">
        <v>2349</v>
      </c>
      <c r="O1201" t="s">
        <v>2348</v>
      </c>
      <c r="P1201" t="s">
        <v>2349</v>
      </c>
      <c r="Q1201" t="s">
        <v>2350</v>
      </c>
      <c r="R1201" t="s">
        <v>14</v>
      </c>
      <c r="S1201" t="s">
        <v>4192</v>
      </c>
      <c r="T1201" t="s">
        <v>4193</v>
      </c>
      <c r="U1201" t="s">
        <v>2030</v>
      </c>
      <c r="V1201" t="s">
        <v>14</v>
      </c>
      <c r="W1201" t="b">
        <v>1</v>
      </c>
      <c r="X1201" t="s">
        <v>4194</v>
      </c>
      <c r="Y1201" t="b">
        <v>0</v>
      </c>
      <c r="Z1201" t="s">
        <v>2053</v>
      </c>
    </row>
    <row r="1202" spans="1:26" x14ac:dyDescent="0.35">
      <c r="A1202" t="s">
        <v>665</v>
      </c>
      <c r="B1202" t="s">
        <v>4190</v>
      </c>
      <c r="C1202" t="s">
        <v>3167</v>
      </c>
      <c r="D1202" t="s">
        <v>1963</v>
      </c>
      <c r="E1202" t="s">
        <v>2020</v>
      </c>
      <c r="F1202" t="s">
        <v>2021</v>
      </c>
      <c r="G1202" t="s">
        <v>2022</v>
      </c>
      <c r="H1202" t="s">
        <v>2023</v>
      </c>
      <c r="I1202" t="s">
        <v>4199</v>
      </c>
      <c r="J1202" t="s">
        <v>1963</v>
      </c>
      <c r="K1202" t="s">
        <v>4191</v>
      </c>
      <c r="L1202" t="s">
        <v>2046</v>
      </c>
      <c r="M1202" t="s">
        <v>2348</v>
      </c>
      <c r="N1202" t="s">
        <v>2349</v>
      </c>
      <c r="O1202" t="s">
        <v>2348</v>
      </c>
      <c r="P1202" t="s">
        <v>2349</v>
      </c>
      <c r="Q1202" t="s">
        <v>2350</v>
      </c>
      <c r="R1202" t="s">
        <v>14</v>
      </c>
      <c r="S1202" t="s">
        <v>4192</v>
      </c>
      <c r="T1202" t="s">
        <v>4193</v>
      </c>
      <c r="U1202" t="s">
        <v>2030</v>
      </c>
      <c r="V1202" t="s">
        <v>14</v>
      </c>
      <c r="W1202" t="b">
        <v>1</v>
      </c>
      <c r="X1202" t="s">
        <v>4194</v>
      </c>
      <c r="Y1202" t="b">
        <v>0</v>
      </c>
      <c r="Z1202" t="s">
        <v>2053</v>
      </c>
    </row>
    <row r="1203" spans="1:26" x14ac:dyDescent="0.35">
      <c r="A1203" t="s">
        <v>666</v>
      </c>
      <c r="B1203" t="s">
        <v>4200</v>
      </c>
      <c r="C1203" t="s">
        <v>3167</v>
      </c>
      <c r="D1203" t="s">
        <v>1963</v>
      </c>
      <c r="E1203" t="s">
        <v>2020</v>
      </c>
      <c r="F1203" t="s">
        <v>2021</v>
      </c>
      <c r="G1203" t="s">
        <v>2022</v>
      </c>
      <c r="H1203" t="s">
        <v>2023</v>
      </c>
      <c r="I1203" t="s">
        <v>4199</v>
      </c>
      <c r="J1203" t="s">
        <v>1963</v>
      </c>
      <c r="K1203" t="s">
        <v>4201</v>
      </c>
      <c r="L1203" t="s">
        <v>2046</v>
      </c>
      <c r="M1203" t="s">
        <v>2348</v>
      </c>
      <c r="N1203" t="s">
        <v>2349</v>
      </c>
      <c r="O1203" t="s">
        <v>2348</v>
      </c>
      <c r="P1203" t="s">
        <v>2349</v>
      </c>
      <c r="Q1203" t="s">
        <v>2350</v>
      </c>
      <c r="R1203" t="s">
        <v>14</v>
      </c>
      <c r="S1203" t="s">
        <v>4192</v>
      </c>
      <c r="T1203" t="s">
        <v>4193</v>
      </c>
      <c r="U1203" t="s">
        <v>2030</v>
      </c>
      <c r="V1203" t="s">
        <v>14</v>
      </c>
      <c r="W1203" t="b">
        <v>1</v>
      </c>
      <c r="X1203" t="s">
        <v>4202</v>
      </c>
      <c r="Y1203" t="b">
        <v>0</v>
      </c>
      <c r="Z1203" t="s">
        <v>2053</v>
      </c>
    </row>
    <row r="1204" spans="1:26" x14ac:dyDescent="0.35">
      <c r="A1204" t="s">
        <v>666</v>
      </c>
      <c r="B1204" t="s">
        <v>4200</v>
      </c>
      <c r="C1204" t="s">
        <v>3167</v>
      </c>
      <c r="D1204" t="s">
        <v>1963</v>
      </c>
      <c r="E1204" t="s">
        <v>2020</v>
      </c>
      <c r="F1204" t="s">
        <v>2021</v>
      </c>
      <c r="G1204" t="s">
        <v>2022</v>
      </c>
      <c r="H1204" t="s">
        <v>2023</v>
      </c>
      <c r="I1204" t="s">
        <v>4195</v>
      </c>
      <c r="J1204" t="s">
        <v>1963</v>
      </c>
      <c r="K1204" t="s">
        <v>4201</v>
      </c>
      <c r="L1204" t="s">
        <v>2046</v>
      </c>
      <c r="M1204" t="s">
        <v>4196</v>
      </c>
      <c r="N1204" t="s">
        <v>4197</v>
      </c>
      <c r="O1204" t="s">
        <v>2401</v>
      </c>
      <c r="P1204" t="s">
        <v>2402</v>
      </c>
      <c r="Q1204" t="s">
        <v>14</v>
      </c>
      <c r="R1204" t="s">
        <v>14</v>
      </c>
      <c r="S1204" t="s">
        <v>14</v>
      </c>
      <c r="T1204" t="s">
        <v>14</v>
      </c>
      <c r="U1204" t="s">
        <v>2390</v>
      </c>
      <c r="V1204" t="s">
        <v>14</v>
      </c>
      <c r="W1204" t="b">
        <v>1</v>
      </c>
      <c r="X1204" t="s">
        <v>4202</v>
      </c>
      <c r="Y1204" t="b">
        <v>0</v>
      </c>
      <c r="Z1204" t="s">
        <v>2032</v>
      </c>
    </row>
    <row r="1205" spans="1:26" x14ac:dyDescent="0.35">
      <c r="A1205" t="s">
        <v>666</v>
      </c>
      <c r="B1205" t="s">
        <v>4200</v>
      </c>
      <c r="C1205" t="s">
        <v>3167</v>
      </c>
      <c r="D1205" t="s">
        <v>1963</v>
      </c>
      <c r="E1205" t="s">
        <v>2020</v>
      </c>
      <c r="F1205" t="s">
        <v>2021</v>
      </c>
      <c r="G1205" t="s">
        <v>2022</v>
      </c>
      <c r="H1205" t="s">
        <v>2023</v>
      </c>
      <c r="I1205" t="s">
        <v>70</v>
      </c>
      <c r="J1205" t="s">
        <v>1963</v>
      </c>
      <c r="K1205" t="s">
        <v>4201</v>
      </c>
      <c r="L1205" t="s">
        <v>2046</v>
      </c>
      <c r="M1205" t="s">
        <v>2348</v>
      </c>
      <c r="N1205" t="s">
        <v>2349</v>
      </c>
      <c r="O1205" t="s">
        <v>2348</v>
      </c>
      <c r="P1205" t="s">
        <v>2349</v>
      </c>
      <c r="Q1205" t="s">
        <v>2350</v>
      </c>
      <c r="R1205" t="s">
        <v>14</v>
      </c>
      <c r="S1205" t="s">
        <v>4192</v>
      </c>
      <c r="T1205" t="s">
        <v>4193</v>
      </c>
      <c r="U1205" t="s">
        <v>2030</v>
      </c>
      <c r="V1205" t="s">
        <v>14</v>
      </c>
      <c r="W1205" t="b">
        <v>1</v>
      </c>
      <c r="X1205" t="s">
        <v>4202</v>
      </c>
      <c r="Y1205" t="b">
        <v>0</v>
      </c>
      <c r="Z1205" t="s">
        <v>2053</v>
      </c>
    </row>
    <row r="1206" spans="1:26" x14ac:dyDescent="0.35">
      <c r="A1206" t="s">
        <v>666</v>
      </c>
      <c r="B1206" t="s">
        <v>4200</v>
      </c>
      <c r="C1206" t="s">
        <v>3167</v>
      </c>
      <c r="D1206" t="s">
        <v>1963</v>
      </c>
      <c r="E1206" t="s">
        <v>2020</v>
      </c>
      <c r="F1206" t="s">
        <v>2021</v>
      </c>
      <c r="G1206" t="s">
        <v>2022</v>
      </c>
      <c r="H1206" t="s">
        <v>2023</v>
      </c>
      <c r="I1206" t="s">
        <v>4198</v>
      </c>
      <c r="J1206" t="s">
        <v>1963</v>
      </c>
      <c r="K1206" t="s">
        <v>4201</v>
      </c>
      <c r="L1206" t="s">
        <v>2046</v>
      </c>
      <c r="M1206" t="s">
        <v>2348</v>
      </c>
      <c r="N1206" t="s">
        <v>2349</v>
      </c>
      <c r="O1206" t="s">
        <v>2348</v>
      </c>
      <c r="P1206" t="s">
        <v>2349</v>
      </c>
      <c r="Q1206" t="s">
        <v>2350</v>
      </c>
      <c r="R1206" t="s">
        <v>14</v>
      </c>
      <c r="S1206" t="s">
        <v>4192</v>
      </c>
      <c r="T1206" t="s">
        <v>4193</v>
      </c>
      <c r="U1206" t="s">
        <v>2030</v>
      </c>
      <c r="V1206" t="s">
        <v>14</v>
      </c>
      <c r="W1206" t="b">
        <v>1</v>
      </c>
      <c r="X1206" t="s">
        <v>4202</v>
      </c>
      <c r="Y1206" t="b">
        <v>0</v>
      </c>
      <c r="Z1206" t="s">
        <v>2053</v>
      </c>
    </row>
    <row r="1207" spans="1:26" x14ac:dyDescent="0.35">
      <c r="A1207" t="s">
        <v>667</v>
      </c>
      <c r="B1207" t="s">
        <v>4203</v>
      </c>
      <c r="C1207" t="s">
        <v>3167</v>
      </c>
      <c r="D1207" t="s">
        <v>1963</v>
      </c>
      <c r="E1207" t="s">
        <v>2020</v>
      </c>
      <c r="F1207" t="s">
        <v>2021</v>
      </c>
      <c r="G1207" t="s">
        <v>2022</v>
      </c>
      <c r="H1207" t="s">
        <v>2023</v>
      </c>
      <c r="I1207" t="s">
        <v>4199</v>
      </c>
      <c r="J1207" t="s">
        <v>1963</v>
      </c>
      <c r="K1207" t="s">
        <v>4204</v>
      </c>
      <c r="L1207" t="s">
        <v>2046</v>
      </c>
      <c r="M1207" t="s">
        <v>2348</v>
      </c>
      <c r="N1207" t="s">
        <v>2349</v>
      </c>
      <c r="O1207" t="s">
        <v>2348</v>
      </c>
      <c r="P1207" t="s">
        <v>2349</v>
      </c>
      <c r="Q1207" t="s">
        <v>2350</v>
      </c>
      <c r="R1207" t="s">
        <v>14</v>
      </c>
      <c r="S1207" t="s">
        <v>4192</v>
      </c>
      <c r="T1207" t="s">
        <v>4193</v>
      </c>
      <c r="U1207" t="s">
        <v>2030</v>
      </c>
      <c r="V1207" t="s">
        <v>14</v>
      </c>
      <c r="W1207" t="b">
        <v>1</v>
      </c>
      <c r="X1207" t="s">
        <v>4205</v>
      </c>
      <c r="Y1207" t="b">
        <v>0</v>
      </c>
      <c r="Z1207" t="s">
        <v>2053</v>
      </c>
    </row>
    <row r="1208" spans="1:26" x14ac:dyDescent="0.35">
      <c r="A1208" t="s">
        <v>667</v>
      </c>
      <c r="B1208" t="s">
        <v>4203</v>
      </c>
      <c r="C1208" t="s">
        <v>3167</v>
      </c>
      <c r="D1208" t="s">
        <v>1963</v>
      </c>
      <c r="E1208" t="s">
        <v>2020</v>
      </c>
      <c r="F1208" t="s">
        <v>2021</v>
      </c>
      <c r="G1208" t="s">
        <v>2022</v>
      </c>
      <c r="H1208" t="s">
        <v>2023</v>
      </c>
      <c r="I1208" t="s">
        <v>4198</v>
      </c>
      <c r="J1208" t="s">
        <v>1963</v>
      </c>
      <c r="K1208" t="s">
        <v>4204</v>
      </c>
      <c r="L1208" t="s">
        <v>2046</v>
      </c>
      <c r="M1208" t="s">
        <v>2348</v>
      </c>
      <c r="N1208" t="s">
        <v>2349</v>
      </c>
      <c r="O1208" t="s">
        <v>2348</v>
      </c>
      <c r="P1208" t="s">
        <v>2349</v>
      </c>
      <c r="Q1208" t="s">
        <v>2350</v>
      </c>
      <c r="R1208" t="s">
        <v>14</v>
      </c>
      <c r="S1208" t="s">
        <v>4192</v>
      </c>
      <c r="T1208" t="s">
        <v>4193</v>
      </c>
      <c r="U1208" t="s">
        <v>2030</v>
      </c>
      <c r="V1208" t="s">
        <v>14</v>
      </c>
      <c r="W1208" t="b">
        <v>1</v>
      </c>
      <c r="X1208" t="s">
        <v>4205</v>
      </c>
      <c r="Y1208" t="b">
        <v>0</v>
      </c>
      <c r="Z1208" t="s">
        <v>2053</v>
      </c>
    </row>
    <row r="1209" spans="1:26" x14ac:dyDescent="0.35">
      <c r="A1209" t="s">
        <v>667</v>
      </c>
      <c r="B1209" t="s">
        <v>4203</v>
      </c>
      <c r="C1209" t="s">
        <v>3167</v>
      </c>
      <c r="D1209" t="s">
        <v>1963</v>
      </c>
      <c r="E1209" t="s">
        <v>2020</v>
      </c>
      <c r="F1209" t="s">
        <v>2021</v>
      </c>
      <c r="G1209" t="s">
        <v>2022</v>
      </c>
      <c r="H1209" t="s">
        <v>2023</v>
      </c>
      <c r="I1209" t="s">
        <v>4195</v>
      </c>
      <c r="J1209" t="s">
        <v>1963</v>
      </c>
      <c r="K1209" t="s">
        <v>4204</v>
      </c>
      <c r="L1209" t="s">
        <v>2046</v>
      </c>
      <c r="M1209" t="s">
        <v>4196</v>
      </c>
      <c r="N1209" t="s">
        <v>4197</v>
      </c>
      <c r="O1209" t="s">
        <v>2401</v>
      </c>
      <c r="P1209" t="s">
        <v>2402</v>
      </c>
      <c r="Q1209" t="s">
        <v>14</v>
      </c>
      <c r="R1209" t="s">
        <v>14</v>
      </c>
      <c r="S1209" t="s">
        <v>14</v>
      </c>
      <c r="T1209" t="s">
        <v>14</v>
      </c>
      <c r="U1209" t="s">
        <v>2390</v>
      </c>
      <c r="V1209" t="s">
        <v>14</v>
      </c>
      <c r="W1209" t="b">
        <v>1</v>
      </c>
      <c r="X1209" t="s">
        <v>4205</v>
      </c>
      <c r="Y1209" t="b">
        <v>0</v>
      </c>
      <c r="Z1209" t="s">
        <v>2032</v>
      </c>
    </row>
    <row r="1210" spans="1:26" x14ac:dyDescent="0.35">
      <c r="A1210" t="s">
        <v>667</v>
      </c>
      <c r="B1210" t="s">
        <v>4203</v>
      </c>
      <c r="C1210" t="s">
        <v>3167</v>
      </c>
      <c r="D1210" t="s">
        <v>1963</v>
      </c>
      <c r="E1210" t="s">
        <v>2020</v>
      </c>
      <c r="F1210" t="s">
        <v>2021</v>
      </c>
      <c r="G1210" t="s">
        <v>2022</v>
      </c>
      <c r="H1210" t="s">
        <v>2023</v>
      </c>
      <c r="I1210" t="s">
        <v>70</v>
      </c>
      <c r="J1210" t="s">
        <v>1963</v>
      </c>
      <c r="K1210" t="s">
        <v>4204</v>
      </c>
      <c r="L1210" t="s">
        <v>2046</v>
      </c>
      <c r="M1210" t="s">
        <v>2348</v>
      </c>
      <c r="N1210" t="s">
        <v>2349</v>
      </c>
      <c r="O1210" t="s">
        <v>2348</v>
      </c>
      <c r="P1210" t="s">
        <v>2349</v>
      </c>
      <c r="Q1210" t="s">
        <v>2350</v>
      </c>
      <c r="R1210" t="s">
        <v>14</v>
      </c>
      <c r="S1210" t="s">
        <v>4192</v>
      </c>
      <c r="T1210" t="s">
        <v>4193</v>
      </c>
      <c r="U1210" t="s">
        <v>2030</v>
      </c>
      <c r="V1210" t="s">
        <v>14</v>
      </c>
      <c r="W1210" t="b">
        <v>1</v>
      </c>
      <c r="X1210" t="s">
        <v>4205</v>
      </c>
      <c r="Y1210" t="b">
        <v>0</v>
      </c>
      <c r="Z1210" t="s">
        <v>2053</v>
      </c>
    </row>
    <row r="1211" spans="1:26" x14ac:dyDescent="0.35">
      <c r="A1211" t="s">
        <v>668</v>
      </c>
      <c r="B1211" t="s">
        <v>669</v>
      </c>
      <c r="C1211" t="s">
        <v>3167</v>
      </c>
      <c r="D1211" t="s">
        <v>1963</v>
      </c>
      <c r="E1211" t="s">
        <v>2020</v>
      </c>
      <c r="F1211" t="s">
        <v>2021</v>
      </c>
      <c r="G1211" t="s">
        <v>2022</v>
      </c>
      <c r="H1211" t="s">
        <v>2023</v>
      </c>
      <c r="I1211" t="s">
        <v>70</v>
      </c>
      <c r="J1211" t="s">
        <v>1963</v>
      </c>
      <c r="K1211" t="s">
        <v>4206</v>
      </c>
      <c r="L1211" t="s">
        <v>2046</v>
      </c>
      <c r="M1211" t="s">
        <v>2348</v>
      </c>
      <c r="N1211" t="s">
        <v>2349</v>
      </c>
      <c r="O1211" t="s">
        <v>2348</v>
      </c>
      <c r="P1211" t="s">
        <v>2349</v>
      </c>
      <c r="Q1211" t="s">
        <v>2350</v>
      </c>
      <c r="R1211" t="s">
        <v>14</v>
      </c>
      <c r="S1211" t="s">
        <v>4192</v>
      </c>
      <c r="T1211" t="s">
        <v>4193</v>
      </c>
      <c r="U1211" t="s">
        <v>2030</v>
      </c>
      <c r="V1211" t="s">
        <v>14</v>
      </c>
      <c r="W1211" t="b">
        <v>1</v>
      </c>
      <c r="X1211" t="s">
        <v>4207</v>
      </c>
      <c r="Y1211" t="b">
        <v>0</v>
      </c>
      <c r="Z1211" t="s">
        <v>2053</v>
      </c>
    </row>
    <row r="1212" spans="1:26" x14ac:dyDescent="0.35">
      <c r="A1212" t="s">
        <v>668</v>
      </c>
      <c r="B1212" t="s">
        <v>669</v>
      </c>
      <c r="C1212" t="s">
        <v>3167</v>
      </c>
      <c r="D1212" t="s">
        <v>1963</v>
      </c>
      <c r="E1212" t="s">
        <v>2020</v>
      </c>
      <c r="F1212" t="s">
        <v>2021</v>
      </c>
      <c r="G1212" t="s">
        <v>2022</v>
      </c>
      <c r="H1212" t="s">
        <v>2023</v>
      </c>
      <c r="I1212" t="s">
        <v>4198</v>
      </c>
      <c r="J1212" t="s">
        <v>1963</v>
      </c>
      <c r="K1212" t="s">
        <v>4206</v>
      </c>
      <c r="L1212" t="s">
        <v>2046</v>
      </c>
      <c r="M1212" t="s">
        <v>2348</v>
      </c>
      <c r="N1212" t="s">
        <v>2349</v>
      </c>
      <c r="O1212" t="s">
        <v>2348</v>
      </c>
      <c r="P1212" t="s">
        <v>2349</v>
      </c>
      <c r="Q1212" t="s">
        <v>2350</v>
      </c>
      <c r="R1212" t="s">
        <v>14</v>
      </c>
      <c r="S1212" t="s">
        <v>4192</v>
      </c>
      <c r="T1212" t="s">
        <v>4193</v>
      </c>
      <c r="U1212" t="s">
        <v>2030</v>
      </c>
      <c r="V1212" t="s">
        <v>14</v>
      </c>
      <c r="W1212" t="b">
        <v>1</v>
      </c>
      <c r="X1212" t="s">
        <v>4207</v>
      </c>
      <c r="Y1212" t="b">
        <v>0</v>
      </c>
      <c r="Z1212" t="s">
        <v>2053</v>
      </c>
    </row>
    <row r="1213" spans="1:26" x14ac:dyDescent="0.35">
      <c r="A1213" t="s">
        <v>668</v>
      </c>
      <c r="B1213" t="s">
        <v>669</v>
      </c>
      <c r="C1213" t="s">
        <v>3167</v>
      </c>
      <c r="D1213" t="s">
        <v>1963</v>
      </c>
      <c r="E1213" t="s">
        <v>2020</v>
      </c>
      <c r="F1213" t="s">
        <v>2021</v>
      </c>
      <c r="G1213" t="s">
        <v>2022</v>
      </c>
      <c r="H1213" t="s">
        <v>2023</v>
      </c>
      <c r="I1213" t="s">
        <v>4199</v>
      </c>
      <c r="J1213" t="s">
        <v>1963</v>
      </c>
      <c r="K1213" t="s">
        <v>4206</v>
      </c>
      <c r="L1213" t="s">
        <v>2046</v>
      </c>
      <c r="M1213" t="s">
        <v>2348</v>
      </c>
      <c r="N1213" t="s">
        <v>2349</v>
      </c>
      <c r="O1213" t="s">
        <v>2348</v>
      </c>
      <c r="P1213" t="s">
        <v>2349</v>
      </c>
      <c r="Q1213" t="s">
        <v>2350</v>
      </c>
      <c r="R1213" t="s">
        <v>14</v>
      </c>
      <c r="S1213" t="s">
        <v>4192</v>
      </c>
      <c r="T1213" t="s">
        <v>4193</v>
      </c>
      <c r="U1213" t="s">
        <v>2030</v>
      </c>
      <c r="V1213" t="s">
        <v>14</v>
      </c>
      <c r="W1213" t="b">
        <v>1</v>
      </c>
      <c r="X1213" t="s">
        <v>4207</v>
      </c>
      <c r="Y1213" t="b">
        <v>0</v>
      </c>
      <c r="Z1213" t="s">
        <v>2053</v>
      </c>
    </row>
    <row r="1214" spans="1:26" x14ac:dyDescent="0.35">
      <c r="A1214" t="s">
        <v>668</v>
      </c>
      <c r="B1214" t="s">
        <v>669</v>
      </c>
      <c r="C1214" t="s">
        <v>3167</v>
      </c>
      <c r="D1214" t="s">
        <v>1963</v>
      </c>
      <c r="E1214" t="s">
        <v>2020</v>
      </c>
      <c r="F1214" t="s">
        <v>2021</v>
      </c>
      <c r="G1214" t="s">
        <v>2022</v>
      </c>
      <c r="H1214" t="s">
        <v>2023</v>
      </c>
      <c r="I1214" t="s">
        <v>4195</v>
      </c>
      <c r="J1214" t="s">
        <v>1963</v>
      </c>
      <c r="K1214" t="s">
        <v>4206</v>
      </c>
      <c r="L1214" t="s">
        <v>2046</v>
      </c>
      <c r="M1214" t="s">
        <v>4196</v>
      </c>
      <c r="N1214" t="s">
        <v>4197</v>
      </c>
      <c r="O1214" t="s">
        <v>2401</v>
      </c>
      <c r="P1214" t="s">
        <v>2402</v>
      </c>
      <c r="Q1214" t="s">
        <v>14</v>
      </c>
      <c r="R1214" t="s">
        <v>14</v>
      </c>
      <c r="S1214" t="s">
        <v>14</v>
      </c>
      <c r="T1214" t="s">
        <v>14</v>
      </c>
      <c r="U1214" t="s">
        <v>2390</v>
      </c>
      <c r="V1214" t="s">
        <v>14</v>
      </c>
      <c r="W1214" t="b">
        <v>1</v>
      </c>
      <c r="X1214" t="s">
        <v>4207</v>
      </c>
      <c r="Y1214" t="b">
        <v>0</v>
      </c>
      <c r="Z1214" t="s">
        <v>2032</v>
      </c>
    </row>
    <row r="1215" spans="1:26" x14ac:dyDescent="0.35">
      <c r="A1215" t="s">
        <v>670</v>
      </c>
      <c r="B1215" t="s">
        <v>4208</v>
      </c>
      <c r="C1215" t="s">
        <v>3167</v>
      </c>
      <c r="D1215" t="s">
        <v>1963</v>
      </c>
      <c r="E1215" t="s">
        <v>2020</v>
      </c>
      <c r="F1215" t="s">
        <v>2021</v>
      </c>
      <c r="G1215" t="s">
        <v>2022</v>
      </c>
      <c r="H1215" t="s">
        <v>2023</v>
      </c>
      <c r="I1215" t="s">
        <v>4195</v>
      </c>
      <c r="J1215" t="s">
        <v>1963</v>
      </c>
      <c r="K1215" t="s">
        <v>4209</v>
      </c>
      <c r="L1215" t="s">
        <v>2046</v>
      </c>
      <c r="M1215" t="s">
        <v>4196</v>
      </c>
      <c r="N1215" t="s">
        <v>4197</v>
      </c>
      <c r="O1215" t="s">
        <v>2401</v>
      </c>
      <c r="P1215" t="s">
        <v>2402</v>
      </c>
      <c r="Q1215" t="s">
        <v>14</v>
      </c>
      <c r="R1215" t="s">
        <v>14</v>
      </c>
      <c r="S1215" t="s">
        <v>14</v>
      </c>
      <c r="T1215" t="s">
        <v>14</v>
      </c>
      <c r="U1215" t="s">
        <v>2390</v>
      </c>
      <c r="V1215" t="s">
        <v>14</v>
      </c>
      <c r="W1215" t="b">
        <v>1</v>
      </c>
      <c r="X1215" t="s">
        <v>4210</v>
      </c>
      <c r="Y1215" t="b">
        <v>0</v>
      </c>
      <c r="Z1215" t="s">
        <v>2032</v>
      </c>
    </row>
    <row r="1216" spans="1:26" x14ac:dyDescent="0.35">
      <c r="A1216" t="s">
        <v>670</v>
      </c>
      <c r="B1216" t="s">
        <v>4208</v>
      </c>
      <c r="C1216" t="s">
        <v>3167</v>
      </c>
      <c r="D1216" t="s">
        <v>1963</v>
      </c>
      <c r="E1216" t="s">
        <v>2020</v>
      </c>
      <c r="F1216" t="s">
        <v>2021</v>
      </c>
      <c r="G1216" t="s">
        <v>2022</v>
      </c>
      <c r="H1216" t="s">
        <v>2023</v>
      </c>
      <c r="I1216" t="s">
        <v>70</v>
      </c>
      <c r="J1216" t="s">
        <v>1963</v>
      </c>
      <c r="K1216" t="s">
        <v>4209</v>
      </c>
      <c r="L1216" t="s">
        <v>2046</v>
      </c>
      <c r="M1216" t="s">
        <v>2348</v>
      </c>
      <c r="N1216" t="s">
        <v>2349</v>
      </c>
      <c r="O1216" t="s">
        <v>2348</v>
      </c>
      <c r="P1216" t="s">
        <v>2349</v>
      </c>
      <c r="Q1216" t="s">
        <v>2350</v>
      </c>
      <c r="R1216" t="s">
        <v>14</v>
      </c>
      <c r="S1216" t="s">
        <v>4192</v>
      </c>
      <c r="T1216" t="s">
        <v>4193</v>
      </c>
      <c r="U1216" t="s">
        <v>2030</v>
      </c>
      <c r="V1216" t="s">
        <v>14</v>
      </c>
      <c r="W1216" t="b">
        <v>1</v>
      </c>
      <c r="X1216" t="s">
        <v>4210</v>
      </c>
      <c r="Y1216" t="b">
        <v>0</v>
      </c>
      <c r="Z1216" t="s">
        <v>2053</v>
      </c>
    </row>
    <row r="1217" spans="1:26" x14ac:dyDescent="0.35">
      <c r="A1217" t="s">
        <v>670</v>
      </c>
      <c r="B1217" t="s">
        <v>4208</v>
      </c>
      <c r="C1217" t="s">
        <v>3167</v>
      </c>
      <c r="D1217" t="s">
        <v>1963</v>
      </c>
      <c r="E1217" t="s">
        <v>2020</v>
      </c>
      <c r="F1217" t="s">
        <v>2021</v>
      </c>
      <c r="G1217" t="s">
        <v>2022</v>
      </c>
      <c r="H1217" t="s">
        <v>2023</v>
      </c>
      <c r="I1217" t="s">
        <v>4198</v>
      </c>
      <c r="J1217" t="s">
        <v>1963</v>
      </c>
      <c r="K1217" t="s">
        <v>4209</v>
      </c>
      <c r="L1217" t="s">
        <v>2046</v>
      </c>
      <c r="M1217" t="s">
        <v>2348</v>
      </c>
      <c r="N1217" t="s">
        <v>2349</v>
      </c>
      <c r="O1217" t="s">
        <v>2348</v>
      </c>
      <c r="P1217" t="s">
        <v>2349</v>
      </c>
      <c r="Q1217" t="s">
        <v>2350</v>
      </c>
      <c r="R1217" t="s">
        <v>14</v>
      </c>
      <c r="S1217" t="s">
        <v>4192</v>
      </c>
      <c r="T1217" t="s">
        <v>4193</v>
      </c>
      <c r="U1217" t="s">
        <v>2030</v>
      </c>
      <c r="V1217" t="s">
        <v>14</v>
      </c>
      <c r="W1217" t="b">
        <v>1</v>
      </c>
      <c r="X1217" t="s">
        <v>4210</v>
      </c>
      <c r="Y1217" t="b">
        <v>0</v>
      </c>
      <c r="Z1217" t="s">
        <v>2053</v>
      </c>
    </row>
    <row r="1218" spans="1:26" x14ac:dyDescent="0.35">
      <c r="A1218" t="s">
        <v>670</v>
      </c>
      <c r="B1218" t="s">
        <v>4208</v>
      </c>
      <c r="C1218" t="s">
        <v>3167</v>
      </c>
      <c r="D1218" t="s">
        <v>1963</v>
      </c>
      <c r="E1218" t="s">
        <v>2020</v>
      </c>
      <c r="F1218" t="s">
        <v>2021</v>
      </c>
      <c r="G1218" t="s">
        <v>2022</v>
      </c>
      <c r="H1218" t="s">
        <v>2023</v>
      </c>
      <c r="I1218" t="s">
        <v>4199</v>
      </c>
      <c r="J1218" t="s">
        <v>1963</v>
      </c>
      <c r="K1218" t="s">
        <v>4209</v>
      </c>
      <c r="L1218" t="s">
        <v>2046</v>
      </c>
      <c r="M1218" t="s">
        <v>2348</v>
      </c>
      <c r="N1218" t="s">
        <v>2349</v>
      </c>
      <c r="O1218" t="s">
        <v>2348</v>
      </c>
      <c r="P1218" t="s">
        <v>2349</v>
      </c>
      <c r="Q1218" t="s">
        <v>2350</v>
      </c>
      <c r="R1218" t="s">
        <v>14</v>
      </c>
      <c r="S1218" t="s">
        <v>4192</v>
      </c>
      <c r="T1218" t="s">
        <v>4193</v>
      </c>
      <c r="U1218" t="s">
        <v>2030</v>
      </c>
      <c r="V1218" t="s">
        <v>14</v>
      </c>
      <c r="W1218" t="b">
        <v>1</v>
      </c>
      <c r="X1218" t="s">
        <v>4210</v>
      </c>
      <c r="Y1218" t="b">
        <v>0</v>
      </c>
      <c r="Z1218" t="s">
        <v>2053</v>
      </c>
    </row>
    <row r="1219" spans="1:26" x14ac:dyDescent="0.35">
      <c r="A1219" t="s">
        <v>671</v>
      </c>
      <c r="B1219" t="s">
        <v>4211</v>
      </c>
      <c r="C1219" t="s">
        <v>3167</v>
      </c>
      <c r="D1219" t="s">
        <v>1963</v>
      </c>
      <c r="E1219" t="s">
        <v>2020</v>
      </c>
      <c r="F1219" t="s">
        <v>2021</v>
      </c>
      <c r="G1219" t="s">
        <v>2022</v>
      </c>
      <c r="H1219" t="s">
        <v>2023</v>
      </c>
      <c r="I1219" t="s">
        <v>70</v>
      </c>
      <c r="J1219" t="s">
        <v>1963</v>
      </c>
      <c r="K1219" t="s">
        <v>4212</v>
      </c>
      <c r="L1219" t="s">
        <v>2046</v>
      </c>
      <c r="M1219" t="s">
        <v>2348</v>
      </c>
      <c r="N1219" t="s">
        <v>2349</v>
      </c>
      <c r="O1219" t="s">
        <v>2348</v>
      </c>
      <c r="P1219" t="s">
        <v>2349</v>
      </c>
      <c r="Q1219" t="s">
        <v>2350</v>
      </c>
      <c r="R1219" t="s">
        <v>14</v>
      </c>
      <c r="S1219" t="s">
        <v>4192</v>
      </c>
      <c r="T1219" t="s">
        <v>4193</v>
      </c>
      <c r="U1219" t="s">
        <v>2030</v>
      </c>
      <c r="V1219" t="s">
        <v>14</v>
      </c>
      <c r="W1219" t="b">
        <v>1</v>
      </c>
      <c r="X1219" t="s">
        <v>4213</v>
      </c>
      <c r="Y1219" t="b">
        <v>0</v>
      </c>
      <c r="Z1219" t="s">
        <v>2053</v>
      </c>
    </row>
    <row r="1220" spans="1:26" x14ac:dyDescent="0.35">
      <c r="A1220" t="s">
        <v>671</v>
      </c>
      <c r="B1220" t="s">
        <v>4211</v>
      </c>
      <c r="C1220" t="s">
        <v>3167</v>
      </c>
      <c r="D1220" t="s">
        <v>1963</v>
      </c>
      <c r="E1220" t="s">
        <v>2020</v>
      </c>
      <c r="F1220" t="s">
        <v>2021</v>
      </c>
      <c r="G1220" t="s">
        <v>2022</v>
      </c>
      <c r="H1220" t="s">
        <v>2023</v>
      </c>
      <c r="I1220" t="s">
        <v>4198</v>
      </c>
      <c r="J1220" t="s">
        <v>1963</v>
      </c>
      <c r="K1220" t="s">
        <v>4212</v>
      </c>
      <c r="L1220" t="s">
        <v>2046</v>
      </c>
      <c r="M1220" t="s">
        <v>2348</v>
      </c>
      <c r="N1220" t="s">
        <v>2349</v>
      </c>
      <c r="O1220" t="s">
        <v>2348</v>
      </c>
      <c r="P1220" t="s">
        <v>2349</v>
      </c>
      <c r="Q1220" t="s">
        <v>2350</v>
      </c>
      <c r="R1220" t="s">
        <v>14</v>
      </c>
      <c r="S1220" t="s">
        <v>4192</v>
      </c>
      <c r="T1220" t="s">
        <v>4193</v>
      </c>
      <c r="U1220" t="s">
        <v>2030</v>
      </c>
      <c r="V1220" t="s">
        <v>14</v>
      </c>
      <c r="W1220" t="b">
        <v>1</v>
      </c>
      <c r="X1220" t="s">
        <v>4213</v>
      </c>
      <c r="Y1220" t="b">
        <v>0</v>
      </c>
      <c r="Z1220" t="s">
        <v>2053</v>
      </c>
    </row>
    <row r="1221" spans="1:26" x14ac:dyDescent="0.35">
      <c r="A1221" t="s">
        <v>671</v>
      </c>
      <c r="B1221" t="s">
        <v>4211</v>
      </c>
      <c r="C1221" t="s">
        <v>3167</v>
      </c>
      <c r="D1221" t="s">
        <v>1963</v>
      </c>
      <c r="E1221" t="s">
        <v>2020</v>
      </c>
      <c r="F1221" t="s">
        <v>2021</v>
      </c>
      <c r="G1221" t="s">
        <v>2022</v>
      </c>
      <c r="H1221" t="s">
        <v>2023</v>
      </c>
      <c r="I1221" t="s">
        <v>4199</v>
      </c>
      <c r="J1221" t="s">
        <v>1963</v>
      </c>
      <c r="K1221" t="s">
        <v>4212</v>
      </c>
      <c r="L1221" t="s">
        <v>2046</v>
      </c>
      <c r="M1221" t="s">
        <v>2348</v>
      </c>
      <c r="N1221" t="s">
        <v>2349</v>
      </c>
      <c r="O1221" t="s">
        <v>2348</v>
      </c>
      <c r="P1221" t="s">
        <v>2349</v>
      </c>
      <c r="Q1221" t="s">
        <v>2350</v>
      </c>
      <c r="R1221" t="s">
        <v>14</v>
      </c>
      <c r="S1221" t="s">
        <v>4192</v>
      </c>
      <c r="T1221" t="s">
        <v>4193</v>
      </c>
      <c r="U1221" t="s">
        <v>2030</v>
      </c>
      <c r="V1221" t="s">
        <v>14</v>
      </c>
      <c r="W1221" t="b">
        <v>1</v>
      </c>
      <c r="X1221" t="s">
        <v>4213</v>
      </c>
      <c r="Y1221" t="b">
        <v>0</v>
      </c>
      <c r="Z1221" t="s">
        <v>2053</v>
      </c>
    </row>
    <row r="1222" spans="1:26" x14ac:dyDescent="0.35">
      <c r="A1222" t="s">
        <v>671</v>
      </c>
      <c r="B1222" t="s">
        <v>4211</v>
      </c>
      <c r="C1222" t="s">
        <v>3167</v>
      </c>
      <c r="D1222" t="s">
        <v>1963</v>
      </c>
      <c r="E1222" t="s">
        <v>2020</v>
      </c>
      <c r="F1222" t="s">
        <v>2021</v>
      </c>
      <c r="G1222" t="s">
        <v>2022</v>
      </c>
      <c r="H1222" t="s">
        <v>2023</v>
      </c>
      <c r="I1222" t="s">
        <v>4195</v>
      </c>
      <c r="J1222" t="s">
        <v>1963</v>
      </c>
      <c r="K1222" t="s">
        <v>4212</v>
      </c>
      <c r="L1222" t="s">
        <v>2046</v>
      </c>
      <c r="M1222" t="s">
        <v>4196</v>
      </c>
      <c r="N1222" t="s">
        <v>4197</v>
      </c>
      <c r="O1222" t="s">
        <v>2401</v>
      </c>
      <c r="P1222" t="s">
        <v>2402</v>
      </c>
      <c r="Q1222" t="s">
        <v>14</v>
      </c>
      <c r="R1222" t="s">
        <v>14</v>
      </c>
      <c r="S1222" t="s">
        <v>14</v>
      </c>
      <c r="T1222" t="s">
        <v>14</v>
      </c>
      <c r="U1222" t="s">
        <v>2390</v>
      </c>
      <c r="V1222" t="s">
        <v>14</v>
      </c>
      <c r="W1222" t="b">
        <v>1</v>
      </c>
      <c r="X1222" t="s">
        <v>4213</v>
      </c>
      <c r="Y1222" t="b">
        <v>0</v>
      </c>
      <c r="Z1222" t="s">
        <v>2032</v>
      </c>
    </row>
    <row r="1223" spans="1:26" x14ac:dyDescent="0.35">
      <c r="A1223" t="s">
        <v>672</v>
      </c>
      <c r="B1223" t="s">
        <v>673</v>
      </c>
      <c r="C1223" t="s">
        <v>3167</v>
      </c>
      <c r="D1223" t="s">
        <v>1963</v>
      </c>
      <c r="E1223" t="s">
        <v>2020</v>
      </c>
      <c r="F1223" t="s">
        <v>2021</v>
      </c>
      <c r="G1223" t="s">
        <v>2022</v>
      </c>
      <c r="H1223" t="s">
        <v>2023</v>
      </c>
      <c r="I1223" t="s">
        <v>4199</v>
      </c>
      <c r="J1223" t="s">
        <v>1963</v>
      </c>
      <c r="K1223" t="s">
        <v>4214</v>
      </c>
      <c r="L1223" t="s">
        <v>2046</v>
      </c>
      <c r="M1223" t="s">
        <v>2348</v>
      </c>
      <c r="N1223" t="s">
        <v>2349</v>
      </c>
      <c r="O1223" t="s">
        <v>2348</v>
      </c>
      <c r="P1223" t="s">
        <v>2349</v>
      </c>
      <c r="Q1223" t="s">
        <v>2350</v>
      </c>
      <c r="R1223" t="s">
        <v>14</v>
      </c>
      <c r="S1223" t="s">
        <v>4192</v>
      </c>
      <c r="T1223" t="s">
        <v>4193</v>
      </c>
      <c r="U1223" t="s">
        <v>2030</v>
      </c>
      <c r="V1223" t="s">
        <v>14</v>
      </c>
      <c r="W1223" t="b">
        <v>1</v>
      </c>
      <c r="X1223" t="s">
        <v>4215</v>
      </c>
      <c r="Y1223" t="b">
        <v>0</v>
      </c>
      <c r="Z1223" t="s">
        <v>2053</v>
      </c>
    </row>
    <row r="1224" spans="1:26" x14ac:dyDescent="0.35">
      <c r="A1224" t="s">
        <v>672</v>
      </c>
      <c r="B1224" t="s">
        <v>673</v>
      </c>
      <c r="C1224" t="s">
        <v>3167</v>
      </c>
      <c r="D1224" t="s">
        <v>1963</v>
      </c>
      <c r="E1224" t="s">
        <v>2020</v>
      </c>
      <c r="F1224" t="s">
        <v>2021</v>
      </c>
      <c r="G1224" t="s">
        <v>2022</v>
      </c>
      <c r="H1224" t="s">
        <v>2023</v>
      </c>
      <c r="I1224" t="s">
        <v>4195</v>
      </c>
      <c r="J1224" t="s">
        <v>1963</v>
      </c>
      <c r="K1224" t="s">
        <v>4214</v>
      </c>
      <c r="L1224" t="s">
        <v>2046</v>
      </c>
      <c r="M1224" t="s">
        <v>4196</v>
      </c>
      <c r="N1224" t="s">
        <v>4197</v>
      </c>
      <c r="O1224" t="s">
        <v>2401</v>
      </c>
      <c r="P1224" t="s">
        <v>2402</v>
      </c>
      <c r="Q1224" t="s">
        <v>14</v>
      </c>
      <c r="R1224" t="s">
        <v>14</v>
      </c>
      <c r="S1224" t="s">
        <v>14</v>
      </c>
      <c r="T1224" t="s">
        <v>14</v>
      </c>
      <c r="U1224" t="s">
        <v>2390</v>
      </c>
      <c r="V1224" t="s">
        <v>14</v>
      </c>
      <c r="W1224" t="b">
        <v>1</v>
      </c>
      <c r="X1224" t="s">
        <v>4215</v>
      </c>
      <c r="Y1224" t="b">
        <v>0</v>
      </c>
      <c r="Z1224" t="s">
        <v>2032</v>
      </c>
    </row>
    <row r="1225" spans="1:26" x14ac:dyDescent="0.35">
      <c r="A1225" t="s">
        <v>672</v>
      </c>
      <c r="B1225" t="s">
        <v>673</v>
      </c>
      <c r="C1225" t="s">
        <v>3167</v>
      </c>
      <c r="D1225" t="s">
        <v>1963</v>
      </c>
      <c r="E1225" t="s">
        <v>2020</v>
      </c>
      <c r="F1225" t="s">
        <v>2021</v>
      </c>
      <c r="G1225" t="s">
        <v>2022</v>
      </c>
      <c r="H1225" t="s">
        <v>2023</v>
      </c>
      <c r="I1225" t="s">
        <v>70</v>
      </c>
      <c r="J1225" t="s">
        <v>1963</v>
      </c>
      <c r="K1225" t="s">
        <v>4214</v>
      </c>
      <c r="L1225" t="s">
        <v>2046</v>
      </c>
      <c r="M1225" t="s">
        <v>2348</v>
      </c>
      <c r="N1225" t="s">
        <v>2349</v>
      </c>
      <c r="O1225" t="s">
        <v>2348</v>
      </c>
      <c r="P1225" t="s">
        <v>2349</v>
      </c>
      <c r="Q1225" t="s">
        <v>2350</v>
      </c>
      <c r="R1225" t="s">
        <v>14</v>
      </c>
      <c r="S1225" t="s">
        <v>4192</v>
      </c>
      <c r="T1225" t="s">
        <v>4193</v>
      </c>
      <c r="U1225" t="s">
        <v>2030</v>
      </c>
      <c r="V1225" t="s">
        <v>14</v>
      </c>
      <c r="W1225" t="b">
        <v>1</v>
      </c>
      <c r="X1225" t="s">
        <v>4215</v>
      </c>
      <c r="Y1225" t="b">
        <v>0</v>
      </c>
      <c r="Z1225" t="s">
        <v>2053</v>
      </c>
    </row>
    <row r="1226" spans="1:26" x14ac:dyDescent="0.35">
      <c r="A1226" t="s">
        <v>672</v>
      </c>
      <c r="B1226" t="s">
        <v>673</v>
      </c>
      <c r="C1226" t="s">
        <v>3167</v>
      </c>
      <c r="D1226" t="s">
        <v>1963</v>
      </c>
      <c r="E1226" t="s">
        <v>2020</v>
      </c>
      <c r="F1226" t="s">
        <v>2021</v>
      </c>
      <c r="G1226" t="s">
        <v>2022</v>
      </c>
      <c r="H1226" t="s">
        <v>2023</v>
      </c>
      <c r="I1226" t="s">
        <v>4198</v>
      </c>
      <c r="J1226" t="s">
        <v>1963</v>
      </c>
      <c r="K1226" t="s">
        <v>4214</v>
      </c>
      <c r="L1226" t="s">
        <v>2046</v>
      </c>
      <c r="M1226" t="s">
        <v>2348</v>
      </c>
      <c r="N1226" t="s">
        <v>2349</v>
      </c>
      <c r="O1226" t="s">
        <v>2348</v>
      </c>
      <c r="P1226" t="s">
        <v>2349</v>
      </c>
      <c r="Q1226" t="s">
        <v>2350</v>
      </c>
      <c r="R1226" t="s">
        <v>14</v>
      </c>
      <c r="S1226" t="s">
        <v>4192</v>
      </c>
      <c r="T1226" t="s">
        <v>4193</v>
      </c>
      <c r="U1226" t="s">
        <v>2030</v>
      </c>
      <c r="V1226" t="s">
        <v>14</v>
      </c>
      <c r="W1226" t="b">
        <v>1</v>
      </c>
      <c r="X1226" t="s">
        <v>4215</v>
      </c>
      <c r="Y1226" t="b">
        <v>0</v>
      </c>
      <c r="Z1226" t="s">
        <v>2053</v>
      </c>
    </row>
    <row r="1227" spans="1:26" x14ac:dyDescent="0.35">
      <c r="A1227" t="s">
        <v>674</v>
      </c>
      <c r="B1227" t="s">
        <v>675</v>
      </c>
      <c r="C1227" t="s">
        <v>3167</v>
      </c>
      <c r="D1227" t="s">
        <v>1963</v>
      </c>
      <c r="E1227" t="s">
        <v>2020</v>
      </c>
      <c r="F1227" t="s">
        <v>2021</v>
      </c>
      <c r="G1227" t="s">
        <v>2022</v>
      </c>
      <c r="H1227" t="s">
        <v>2023</v>
      </c>
      <c r="I1227" t="s">
        <v>70</v>
      </c>
      <c r="J1227" t="s">
        <v>1963</v>
      </c>
      <c r="K1227" t="s">
        <v>4216</v>
      </c>
      <c r="L1227" t="s">
        <v>2046</v>
      </c>
      <c r="M1227" t="s">
        <v>2348</v>
      </c>
      <c r="N1227" t="s">
        <v>2349</v>
      </c>
      <c r="O1227" t="s">
        <v>2348</v>
      </c>
      <c r="P1227" t="s">
        <v>2349</v>
      </c>
      <c r="Q1227" t="s">
        <v>2350</v>
      </c>
      <c r="R1227" t="s">
        <v>14</v>
      </c>
      <c r="S1227" t="s">
        <v>4192</v>
      </c>
      <c r="T1227" t="s">
        <v>4193</v>
      </c>
      <c r="U1227" t="s">
        <v>2030</v>
      </c>
      <c r="V1227" t="s">
        <v>14</v>
      </c>
      <c r="W1227" t="b">
        <v>1</v>
      </c>
      <c r="X1227" t="s">
        <v>4217</v>
      </c>
      <c r="Y1227" t="b">
        <v>0</v>
      </c>
      <c r="Z1227" t="s">
        <v>2053</v>
      </c>
    </row>
    <row r="1228" spans="1:26" x14ac:dyDescent="0.35">
      <c r="A1228" t="s">
        <v>674</v>
      </c>
      <c r="B1228" t="s">
        <v>675</v>
      </c>
      <c r="C1228" t="s">
        <v>3167</v>
      </c>
      <c r="D1228" t="s">
        <v>1963</v>
      </c>
      <c r="E1228" t="s">
        <v>2020</v>
      </c>
      <c r="F1228" t="s">
        <v>2021</v>
      </c>
      <c r="G1228" t="s">
        <v>2022</v>
      </c>
      <c r="H1228" t="s">
        <v>2023</v>
      </c>
      <c r="I1228" t="s">
        <v>4198</v>
      </c>
      <c r="J1228" t="s">
        <v>1963</v>
      </c>
      <c r="K1228" t="s">
        <v>4216</v>
      </c>
      <c r="L1228" t="s">
        <v>2046</v>
      </c>
      <c r="M1228" t="s">
        <v>2348</v>
      </c>
      <c r="N1228" t="s">
        <v>2349</v>
      </c>
      <c r="O1228" t="s">
        <v>2348</v>
      </c>
      <c r="P1228" t="s">
        <v>2349</v>
      </c>
      <c r="Q1228" t="s">
        <v>2350</v>
      </c>
      <c r="R1228" t="s">
        <v>14</v>
      </c>
      <c r="S1228" t="s">
        <v>4192</v>
      </c>
      <c r="T1228" t="s">
        <v>4193</v>
      </c>
      <c r="U1228" t="s">
        <v>2030</v>
      </c>
      <c r="V1228" t="s">
        <v>14</v>
      </c>
      <c r="W1228" t="b">
        <v>1</v>
      </c>
      <c r="X1228" t="s">
        <v>4217</v>
      </c>
      <c r="Y1228" t="b">
        <v>0</v>
      </c>
      <c r="Z1228" t="s">
        <v>2053</v>
      </c>
    </row>
    <row r="1229" spans="1:26" x14ac:dyDescent="0.35">
      <c r="A1229" t="s">
        <v>674</v>
      </c>
      <c r="B1229" t="s">
        <v>675</v>
      </c>
      <c r="C1229" t="s">
        <v>3167</v>
      </c>
      <c r="D1229" t="s">
        <v>1963</v>
      </c>
      <c r="E1229" t="s">
        <v>2020</v>
      </c>
      <c r="F1229" t="s">
        <v>2021</v>
      </c>
      <c r="G1229" t="s">
        <v>2022</v>
      </c>
      <c r="H1229" t="s">
        <v>2023</v>
      </c>
      <c r="I1229" t="s">
        <v>4199</v>
      </c>
      <c r="J1229" t="s">
        <v>1963</v>
      </c>
      <c r="K1229" t="s">
        <v>4216</v>
      </c>
      <c r="L1229" t="s">
        <v>2046</v>
      </c>
      <c r="M1229" t="s">
        <v>2348</v>
      </c>
      <c r="N1229" t="s">
        <v>2349</v>
      </c>
      <c r="O1229" t="s">
        <v>2348</v>
      </c>
      <c r="P1229" t="s">
        <v>2349</v>
      </c>
      <c r="Q1229" t="s">
        <v>2350</v>
      </c>
      <c r="R1229" t="s">
        <v>14</v>
      </c>
      <c r="S1229" t="s">
        <v>4192</v>
      </c>
      <c r="T1229" t="s">
        <v>4193</v>
      </c>
      <c r="U1229" t="s">
        <v>2030</v>
      </c>
      <c r="V1229" t="s">
        <v>14</v>
      </c>
      <c r="W1229" t="b">
        <v>1</v>
      </c>
      <c r="X1229" t="s">
        <v>4217</v>
      </c>
      <c r="Y1229" t="b">
        <v>0</v>
      </c>
      <c r="Z1229" t="s">
        <v>2053</v>
      </c>
    </row>
    <row r="1230" spans="1:26" x14ac:dyDescent="0.35">
      <c r="A1230" t="s">
        <v>674</v>
      </c>
      <c r="B1230" t="s">
        <v>675</v>
      </c>
      <c r="C1230" t="s">
        <v>3167</v>
      </c>
      <c r="D1230" t="s">
        <v>1963</v>
      </c>
      <c r="E1230" t="s">
        <v>2020</v>
      </c>
      <c r="F1230" t="s">
        <v>2021</v>
      </c>
      <c r="G1230" t="s">
        <v>2022</v>
      </c>
      <c r="H1230" t="s">
        <v>2023</v>
      </c>
      <c r="I1230" t="s">
        <v>3703</v>
      </c>
      <c r="J1230" t="s">
        <v>1963</v>
      </c>
      <c r="K1230" t="s">
        <v>4216</v>
      </c>
      <c r="L1230" t="s">
        <v>2046</v>
      </c>
      <c r="M1230" t="s">
        <v>3483</v>
      </c>
      <c r="N1230" t="s">
        <v>3484</v>
      </c>
      <c r="O1230" t="s">
        <v>2362</v>
      </c>
      <c r="P1230" t="s">
        <v>2363</v>
      </c>
      <c r="Q1230" t="s">
        <v>3674</v>
      </c>
      <c r="R1230" t="s">
        <v>14</v>
      </c>
      <c r="S1230" t="s">
        <v>3675</v>
      </c>
      <c r="T1230" t="s">
        <v>3676</v>
      </c>
      <c r="U1230" t="s">
        <v>2171</v>
      </c>
      <c r="V1230" t="s">
        <v>14</v>
      </c>
      <c r="W1230" t="b">
        <v>1</v>
      </c>
      <c r="X1230" t="s">
        <v>4217</v>
      </c>
      <c r="Y1230" t="b">
        <v>0</v>
      </c>
      <c r="Z1230" t="s">
        <v>2032</v>
      </c>
    </row>
    <row r="1231" spans="1:26" x14ac:dyDescent="0.35">
      <c r="A1231" t="s">
        <v>676</v>
      </c>
      <c r="B1231" t="s">
        <v>677</v>
      </c>
      <c r="C1231" t="s">
        <v>3167</v>
      </c>
      <c r="D1231" t="s">
        <v>1963</v>
      </c>
      <c r="E1231" t="s">
        <v>2020</v>
      </c>
      <c r="F1231" t="s">
        <v>2021</v>
      </c>
      <c r="G1231" t="s">
        <v>2022</v>
      </c>
      <c r="H1231" t="s">
        <v>2023</v>
      </c>
      <c r="I1231" t="s">
        <v>3703</v>
      </c>
      <c r="J1231" t="s">
        <v>1963</v>
      </c>
      <c r="K1231" t="s">
        <v>4218</v>
      </c>
      <c r="L1231" t="s">
        <v>2046</v>
      </c>
      <c r="M1231" t="s">
        <v>3483</v>
      </c>
      <c r="N1231" t="s">
        <v>3484</v>
      </c>
      <c r="O1231" t="s">
        <v>2362</v>
      </c>
      <c r="P1231" t="s">
        <v>2363</v>
      </c>
      <c r="Q1231" t="s">
        <v>3674</v>
      </c>
      <c r="R1231" t="s">
        <v>14</v>
      </c>
      <c r="S1231" t="s">
        <v>3675</v>
      </c>
      <c r="T1231" t="s">
        <v>3676</v>
      </c>
      <c r="U1231" t="s">
        <v>2171</v>
      </c>
      <c r="V1231" t="s">
        <v>14</v>
      </c>
      <c r="W1231" t="b">
        <v>1</v>
      </c>
      <c r="X1231" t="s">
        <v>4219</v>
      </c>
      <c r="Y1231" t="b">
        <v>0</v>
      </c>
      <c r="Z1231" t="s">
        <v>2032</v>
      </c>
    </row>
    <row r="1232" spans="1:26" x14ac:dyDescent="0.35">
      <c r="A1232" t="s">
        <v>676</v>
      </c>
      <c r="B1232" t="s">
        <v>677</v>
      </c>
      <c r="C1232" t="s">
        <v>3167</v>
      </c>
      <c r="D1232" t="s">
        <v>1963</v>
      </c>
      <c r="E1232" t="s">
        <v>2020</v>
      </c>
      <c r="F1232" t="s">
        <v>2021</v>
      </c>
      <c r="G1232" t="s">
        <v>2022</v>
      </c>
      <c r="H1232" t="s">
        <v>2023</v>
      </c>
      <c r="I1232" t="s">
        <v>70</v>
      </c>
      <c r="J1232" t="s">
        <v>1963</v>
      </c>
      <c r="K1232" t="s">
        <v>4218</v>
      </c>
      <c r="L1232" t="s">
        <v>2046</v>
      </c>
      <c r="M1232" t="s">
        <v>2348</v>
      </c>
      <c r="N1232" t="s">
        <v>2349</v>
      </c>
      <c r="O1232" t="s">
        <v>2348</v>
      </c>
      <c r="P1232" t="s">
        <v>2349</v>
      </c>
      <c r="Q1232" t="s">
        <v>2350</v>
      </c>
      <c r="R1232" t="s">
        <v>14</v>
      </c>
      <c r="S1232" t="s">
        <v>4192</v>
      </c>
      <c r="T1232" t="s">
        <v>4193</v>
      </c>
      <c r="U1232" t="s">
        <v>2030</v>
      </c>
      <c r="V1232" t="s">
        <v>14</v>
      </c>
      <c r="W1232" t="b">
        <v>1</v>
      </c>
      <c r="X1232" t="s">
        <v>4219</v>
      </c>
      <c r="Y1232" t="b">
        <v>0</v>
      </c>
      <c r="Z1232" t="s">
        <v>2053</v>
      </c>
    </row>
    <row r="1233" spans="1:26" x14ac:dyDescent="0.35">
      <c r="A1233" t="s">
        <v>676</v>
      </c>
      <c r="B1233" t="s">
        <v>677</v>
      </c>
      <c r="C1233" t="s">
        <v>3167</v>
      </c>
      <c r="D1233" t="s">
        <v>1963</v>
      </c>
      <c r="E1233" t="s">
        <v>2020</v>
      </c>
      <c r="F1233" t="s">
        <v>2021</v>
      </c>
      <c r="G1233" t="s">
        <v>2022</v>
      </c>
      <c r="H1233" t="s">
        <v>2023</v>
      </c>
      <c r="I1233" t="s">
        <v>4198</v>
      </c>
      <c r="J1233" t="s">
        <v>1963</v>
      </c>
      <c r="K1233" t="s">
        <v>4218</v>
      </c>
      <c r="L1233" t="s">
        <v>2046</v>
      </c>
      <c r="M1233" t="s">
        <v>2348</v>
      </c>
      <c r="N1233" t="s">
        <v>2349</v>
      </c>
      <c r="O1233" t="s">
        <v>2348</v>
      </c>
      <c r="P1233" t="s">
        <v>2349</v>
      </c>
      <c r="Q1233" t="s">
        <v>2350</v>
      </c>
      <c r="R1233" t="s">
        <v>14</v>
      </c>
      <c r="S1233" t="s">
        <v>4192</v>
      </c>
      <c r="T1233" t="s">
        <v>4193</v>
      </c>
      <c r="U1233" t="s">
        <v>2030</v>
      </c>
      <c r="V1233" t="s">
        <v>14</v>
      </c>
      <c r="W1233" t="b">
        <v>1</v>
      </c>
      <c r="X1233" t="s">
        <v>4219</v>
      </c>
      <c r="Y1233" t="b">
        <v>0</v>
      </c>
      <c r="Z1233" t="s">
        <v>2053</v>
      </c>
    </row>
    <row r="1234" spans="1:26" x14ac:dyDescent="0.35">
      <c r="A1234" t="s">
        <v>676</v>
      </c>
      <c r="B1234" t="s">
        <v>677</v>
      </c>
      <c r="C1234" t="s">
        <v>3167</v>
      </c>
      <c r="D1234" t="s">
        <v>1963</v>
      </c>
      <c r="E1234" t="s">
        <v>2020</v>
      </c>
      <c r="F1234" t="s">
        <v>2021</v>
      </c>
      <c r="G1234" t="s">
        <v>2022</v>
      </c>
      <c r="H1234" t="s">
        <v>2023</v>
      </c>
      <c r="I1234" t="s">
        <v>4199</v>
      </c>
      <c r="J1234" t="s">
        <v>1963</v>
      </c>
      <c r="K1234" t="s">
        <v>4218</v>
      </c>
      <c r="L1234" t="s">
        <v>2046</v>
      </c>
      <c r="M1234" t="s">
        <v>2348</v>
      </c>
      <c r="N1234" t="s">
        <v>2349</v>
      </c>
      <c r="O1234" t="s">
        <v>2348</v>
      </c>
      <c r="P1234" t="s">
        <v>2349</v>
      </c>
      <c r="Q1234" t="s">
        <v>2350</v>
      </c>
      <c r="R1234" t="s">
        <v>14</v>
      </c>
      <c r="S1234" t="s">
        <v>4192</v>
      </c>
      <c r="T1234" t="s">
        <v>4193</v>
      </c>
      <c r="U1234" t="s">
        <v>2030</v>
      </c>
      <c r="V1234" t="s">
        <v>14</v>
      </c>
      <c r="W1234" t="b">
        <v>1</v>
      </c>
      <c r="X1234" t="s">
        <v>4219</v>
      </c>
      <c r="Y1234" t="b">
        <v>0</v>
      </c>
      <c r="Z1234" t="s">
        <v>2053</v>
      </c>
    </row>
    <row r="1235" spans="1:26" x14ac:dyDescent="0.35">
      <c r="A1235" t="s">
        <v>678</v>
      </c>
      <c r="B1235" t="s">
        <v>679</v>
      </c>
      <c r="C1235" t="s">
        <v>3167</v>
      </c>
      <c r="D1235" t="s">
        <v>1963</v>
      </c>
      <c r="E1235" t="s">
        <v>2020</v>
      </c>
      <c r="F1235" t="s">
        <v>2021</v>
      </c>
      <c r="G1235" t="s">
        <v>2022</v>
      </c>
      <c r="H1235" t="s">
        <v>2023</v>
      </c>
      <c r="I1235" t="s">
        <v>70</v>
      </c>
      <c r="J1235" t="s">
        <v>1963</v>
      </c>
      <c r="K1235" t="s">
        <v>4220</v>
      </c>
      <c r="L1235" t="s">
        <v>2046</v>
      </c>
      <c r="M1235" t="s">
        <v>2348</v>
      </c>
      <c r="N1235" t="s">
        <v>2349</v>
      </c>
      <c r="O1235" t="s">
        <v>2348</v>
      </c>
      <c r="P1235" t="s">
        <v>2349</v>
      </c>
      <c r="Q1235" t="s">
        <v>2350</v>
      </c>
      <c r="R1235" t="s">
        <v>14</v>
      </c>
      <c r="S1235" t="s">
        <v>4192</v>
      </c>
      <c r="T1235" t="s">
        <v>4193</v>
      </c>
      <c r="U1235" t="s">
        <v>2030</v>
      </c>
      <c r="V1235" t="s">
        <v>14</v>
      </c>
      <c r="W1235" t="b">
        <v>1</v>
      </c>
      <c r="X1235" t="s">
        <v>4221</v>
      </c>
      <c r="Y1235" t="b">
        <v>0</v>
      </c>
      <c r="Z1235" t="s">
        <v>2053</v>
      </c>
    </row>
    <row r="1236" spans="1:26" x14ac:dyDescent="0.35">
      <c r="A1236" t="s">
        <v>678</v>
      </c>
      <c r="B1236" t="s">
        <v>679</v>
      </c>
      <c r="C1236" t="s">
        <v>3167</v>
      </c>
      <c r="D1236" t="s">
        <v>1963</v>
      </c>
      <c r="E1236" t="s">
        <v>2020</v>
      </c>
      <c r="F1236" t="s">
        <v>2021</v>
      </c>
      <c r="G1236" t="s">
        <v>2022</v>
      </c>
      <c r="H1236" t="s">
        <v>2023</v>
      </c>
      <c r="I1236" t="s">
        <v>4198</v>
      </c>
      <c r="J1236" t="s">
        <v>1963</v>
      </c>
      <c r="K1236" t="s">
        <v>4220</v>
      </c>
      <c r="L1236" t="s">
        <v>2046</v>
      </c>
      <c r="M1236" t="s">
        <v>2348</v>
      </c>
      <c r="N1236" t="s">
        <v>2349</v>
      </c>
      <c r="O1236" t="s">
        <v>2348</v>
      </c>
      <c r="P1236" t="s">
        <v>2349</v>
      </c>
      <c r="Q1236" t="s">
        <v>2350</v>
      </c>
      <c r="R1236" t="s">
        <v>14</v>
      </c>
      <c r="S1236" t="s">
        <v>4192</v>
      </c>
      <c r="T1236" t="s">
        <v>4193</v>
      </c>
      <c r="U1236" t="s">
        <v>2030</v>
      </c>
      <c r="V1236" t="s">
        <v>14</v>
      </c>
      <c r="W1236" t="b">
        <v>1</v>
      </c>
      <c r="X1236" t="s">
        <v>4221</v>
      </c>
      <c r="Y1236" t="b">
        <v>0</v>
      </c>
      <c r="Z1236" t="s">
        <v>2053</v>
      </c>
    </row>
    <row r="1237" spans="1:26" x14ac:dyDescent="0.35">
      <c r="A1237" t="s">
        <v>678</v>
      </c>
      <c r="B1237" t="s">
        <v>679</v>
      </c>
      <c r="C1237" t="s">
        <v>3167</v>
      </c>
      <c r="D1237" t="s">
        <v>1963</v>
      </c>
      <c r="E1237" t="s">
        <v>2020</v>
      </c>
      <c r="F1237" t="s">
        <v>2021</v>
      </c>
      <c r="G1237" t="s">
        <v>2022</v>
      </c>
      <c r="H1237" t="s">
        <v>2023</v>
      </c>
      <c r="I1237" t="s">
        <v>4199</v>
      </c>
      <c r="J1237" t="s">
        <v>1963</v>
      </c>
      <c r="K1237" t="s">
        <v>4220</v>
      </c>
      <c r="L1237" t="s">
        <v>2046</v>
      </c>
      <c r="M1237" t="s">
        <v>2348</v>
      </c>
      <c r="N1237" t="s">
        <v>2349</v>
      </c>
      <c r="O1237" t="s">
        <v>2348</v>
      </c>
      <c r="P1237" t="s">
        <v>2349</v>
      </c>
      <c r="Q1237" t="s">
        <v>2350</v>
      </c>
      <c r="R1237" t="s">
        <v>14</v>
      </c>
      <c r="S1237" t="s">
        <v>4192</v>
      </c>
      <c r="T1237" t="s">
        <v>4193</v>
      </c>
      <c r="U1237" t="s">
        <v>2030</v>
      </c>
      <c r="V1237" t="s">
        <v>14</v>
      </c>
      <c r="W1237" t="b">
        <v>1</v>
      </c>
      <c r="X1237" t="s">
        <v>4221</v>
      </c>
      <c r="Y1237" t="b">
        <v>0</v>
      </c>
      <c r="Z1237" t="s">
        <v>2053</v>
      </c>
    </row>
    <row r="1238" spans="1:26" x14ac:dyDescent="0.35">
      <c r="A1238" t="s">
        <v>680</v>
      </c>
      <c r="B1238" t="s">
        <v>681</v>
      </c>
      <c r="C1238" t="s">
        <v>3167</v>
      </c>
      <c r="D1238" t="s">
        <v>1963</v>
      </c>
      <c r="E1238" t="s">
        <v>2020</v>
      </c>
      <c r="F1238" t="s">
        <v>2021</v>
      </c>
      <c r="G1238" t="s">
        <v>2022</v>
      </c>
      <c r="H1238" t="s">
        <v>2023</v>
      </c>
      <c r="I1238" t="s">
        <v>4199</v>
      </c>
      <c r="J1238" t="s">
        <v>1963</v>
      </c>
      <c r="K1238" t="s">
        <v>4222</v>
      </c>
      <c r="L1238" t="s">
        <v>2046</v>
      </c>
      <c r="M1238" t="s">
        <v>2348</v>
      </c>
      <c r="N1238" t="s">
        <v>2349</v>
      </c>
      <c r="O1238" t="s">
        <v>2348</v>
      </c>
      <c r="P1238" t="s">
        <v>2349</v>
      </c>
      <c r="Q1238" t="s">
        <v>2350</v>
      </c>
      <c r="R1238" t="s">
        <v>14</v>
      </c>
      <c r="S1238" t="s">
        <v>4192</v>
      </c>
      <c r="T1238" t="s">
        <v>4193</v>
      </c>
      <c r="U1238" t="s">
        <v>2030</v>
      </c>
      <c r="V1238" t="s">
        <v>14</v>
      </c>
      <c r="W1238" t="b">
        <v>1</v>
      </c>
      <c r="X1238" t="s">
        <v>4223</v>
      </c>
      <c r="Y1238" t="b">
        <v>0</v>
      </c>
      <c r="Z1238" t="s">
        <v>2053</v>
      </c>
    </row>
    <row r="1239" spans="1:26" x14ac:dyDescent="0.35">
      <c r="A1239" t="s">
        <v>680</v>
      </c>
      <c r="B1239" t="s">
        <v>681</v>
      </c>
      <c r="C1239" t="s">
        <v>3167</v>
      </c>
      <c r="D1239" t="s">
        <v>1963</v>
      </c>
      <c r="E1239" t="s">
        <v>2020</v>
      </c>
      <c r="F1239" t="s">
        <v>2021</v>
      </c>
      <c r="G1239" t="s">
        <v>2022</v>
      </c>
      <c r="H1239" t="s">
        <v>2023</v>
      </c>
      <c r="I1239" t="s">
        <v>70</v>
      </c>
      <c r="J1239" t="s">
        <v>1963</v>
      </c>
      <c r="K1239" t="s">
        <v>4222</v>
      </c>
      <c r="L1239" t="s">
        <v>2046</v>
      </c>
      <c r="M1239" t="s">
        <v>2348</v>
      </c>
      <c r="N1239" t="s">
        <v>2349</v>
      </c>
      <c r="O1239" t="s">
        <v>2348</v>
      </c>
      <c r="P1239" t="s">
        <v>2349</v>
      </c>
      <c r="Q1239" t="s">
        <v>2350</v>
      </c>
      <c r="R1239" t="s">
        <v>14</v>
      </c>
      <c r="S1239" t="s">
        <v>4192</v>
      </c>
      <c r="T1239" t="s">
        <v>4193</v>
      </c>
      <c r="U1239" t="s">
        <v>2030</v>
      </c>
      <c r="V1239" t="s">
        <v>14</v>
      </c>
      <c r="W1239" t="b">
        <v>1</v>
      </c>
      <c r="X1239" t="s">
        <v>4223</v>
      </c>
      <c r="Y1239" t="b">
        <v>0</v>
      </c>
      <c r="Z1239" t="s">
        <v>2053</v>
      </c>
    </row>
    <row r="1240" spans="1:26" x14ac:dyDescent="0.35">
      <c r="A1240" t="s">
        <v>680</v>
      </c>
      <c r="B1240" t="s">
        <v>681</v>
      </c>
      <c r="C1240" t="s">
        <v>3167</v>
      </c>
      <c r="D1240" t="s">
        <v>1963</v>
      </c>
      <c r="E1240" t="s">
        <v>2020</v>
      </c>
      <c r="F1240" t="s">
        <v>2021</v>
      </c>
      <c r="G1240" t="s">
        <v>2022</v>
      </c>
      <c r="H1240" t="s">
        <v>2023</v>
      </c>
      <c r="I1240" t="s">
        <v>4198</v>
      </c>
      <c r="J1240" t="s">
        <v>1963</v>
      </c>
      <c r="K1240" t="s">
        <v>4222</v>
      </c>
      <c r="L1240" t="s">
        <v>2046</v>
      </c>
      <c r="M1240" t="s">
        <v>2348</v>
      </c>
      <c r="N1240" t="s">
        <v>2349</v>
      </c>
      <c r="O1240" t="s">
        <v>2348</v>
      </c>
      <c r="P1240" t="s">
        <v>2349</v>
      </c>
      <c r="Q1240" t="s">
        <v>2350</v>
      </c>
      <c r="R1240" t="s">
        <v>14</v>
      </c>
      <c r="S1240" t="s">
        <v>4192</v>
      </c>
      <c r="T1240" t="s">
        <v>4193</v>
      </c>
      <c r="U1240" t="s">
        <v>2030</v>
      </c>
      <c r="V1240" t="s">
        <v>14</v>
      </c>
      <c r="W1240" t="b">
        <v>1</v>
      </c>
      <c r="X1240" t="s">
        <v>4223</v>
      </c>
      <c r="Y1240" t="b">
        <v>0</v>
      </c>
      <c r="Z1240" t="s">
        <v>2053</v>
      </c>
    </row>
    <row r="1241" spans="1:26" x14ac:dyDescent="0.35">
      <c r="A1241" t="s">
        <v>682</v>
      </c>
      <c r="B1241" t="s">
        <v>683</v>
      </c>
      <c r="C1241" t="s">
        <v>3167</v>
      </c>
      <c r="D1241" t="s">
        <v>1963</v>
      </c>
      <c r="E1241" t="s">
        <v>2020</v>
      </c>
      <c r="F1241" t="s">
        <v>2021</v>
      </c>
      <c r="G1241" t="s">
        <v>2022</v>
      </c>
      <c r="H1241" t="s">
        <v>2023</v>
      </c>
      <c r="I1241" t="s">
        <v>70</v>
      </c>
      <c r="J1241" t="s">
        <v>1963</v>
      </c>
      <c r="K1241" t="s">
        <v>4224</v>
      </c>
      <c r="L1241" t="s">
        <v>2046</v>
      </c>
      <c r="M1241" t="s">
        <v>2348</v>
      </c>
      <c r="N1241" t="s">
        <v>2349</v>
      </c>
      <c r="O1241" t="s">
        <v>2348</v>
      </c>
      <c r="P1241" t="s">
        <v>2349</v>
      </c>
      <c r="Q1241" t="s">
        <v>2350</v>
      </c>
      <c r="R1241" t="s">
        <v>14</v>
      </c>
      <c r="S1241" t="s">
        <v>4192</v>
      </c>
      <c r="T1241" t="s">
        <v>4193</v>
      </c>
      <c r="U1241" t="s">
        <v>2030</v>
      </c>
      <c r="V1241" t="s">
        <v>14</v>
      </c>
      <c r="W1241" t="b">
        <v>1</v>
      </c>
      <c r="X1241" t="s">
        <v>4225</v>
      </c>
      <c r="Y1241" t="b">
        <v>0</v>
      </c>
      <c r="Z1241" t="s">
        <v>2053</v>
      </c>
    </row>
    <row r="1242" spans="1:26" x14ac:dyDescent="0.35">
      <c r="A1242" t="s">
        <v>682</v>
      </c>
      <c r="B1242" t="s">
        <v>683</v>
      </c>
      <c r="C1242" t="s">
        <v>3167</v>
      </c>
      <c r="D1242" t="s">
        <v>1963</v>
      </c>
      <c r="E1242" t="s">
        <v>2020</v>
      </c>
      <c r="F1242" t="s">
        <v>2021</v>
      </c>
      <c r="G1242" t="s">
        <v>2022</v>
      </c>
      <c r="H1242" t="s">
        <v>2023</v>
      </c>
      <c r="I1242" t="s">
        <v>4198</v>
      </c>
      <c r="J1242" t="s">
        <v>1963</v>
      </c>
      <c r="K1242" t="s">
        <v>4224</v>
      </c>
      <c r="L1242" t="s">
        <v>2046</v>
      </c>
      <c r="M1242" t="s">
        <v>2348</v>
      </c>
      <c r="N1242" t="s">
        <v>2349</v>
      </c>
      <c r="O1242" t="s">
        <v>2348</v>
      </c>
      <c r="P1242" t="s">
        <v>2349</v>
      </c>
      <c r="Q1242" t="s">
        <v>2350</v>
      </c>
      <c r="R1242" t="s">
        <v>14</v>
      </c>
      <c r="S1242" t="s">
        <v>4192</v>
      </c>
      <c r="T1242" t="s">
        <v>4193</v>
      </c>
      <c r="U1242" t="s">
        <v>2030</v>
      </c>
      <c r="V1242" t="s">
        <v>14</v>
      </c>
      <c r="W1242" t="b">
        <v>1</v>
      </c>
      <c r="X1242" t="s">
        <v>4225</v>
      </c>
      <c r="Y1242" t="b">
        <v>0</v>
      </c>
      <c r="Z1242" t="s">
        <v>2053</v>
      </c>
    </row>
    <row r="1243" spans="1:26" x14ac:dyDescent="0.35">
      <c r="A1243" t="s">
        <v>682</v>
      </c>
      <c r="B1243" t="s">
        <v>683</v>
      </c>
      <c r="C1243" t="s">
        <v>3167</v>
      </c>
      <c r="D1243" t="s">
        <v>1963</v>
      </c>
      <c r="E1243" t="s">
        <v>2020</v>
      </c>
      <c r="F1243" t="s">
        <v>2021</v>
      </c>
      <c r="G1243" t="s">
        <v>2022</v>
      </c>
      <c r="H1243" t="s">
        <v>2023</v>
      </c>
      <c r="I1243" t="s">
        <v>4199</v>
      </c>
      <c r="J1243" t="s">
        <v>1963</v>
      </c>
      <c r="K1243" t="s">
        <v>4224</v>
      </c>
      <c r="L1243" t="s">
        <v>2046</v>
      </c>
      <c r="M1243" t="s">
        <v>2348</v>
      </c>
      <c r="N1243" t="s">
        <v>2349</v>
      </c>
      <c r="O1243" t="s">
        <v>2348</v>
      </c>
      <c r="P1243" t="s">
        <v>2349</v>
      </c>
      <c r="Q1243" t="s">
        <v>2350</v>
      </c>
      <c r="R1243" t="s">
        <v>14</v>
      </c>
      <c r="S1243" t="s">
        <v>4192</v>
      </c>
      <c r="T1243" t="s">
        <v>4193</v>
      </c>
      <c r="U1243" t="s">
        <v>2030</v>
      </c>
      <c r="V1243" t="s">
        <v>14</v>
      </c>
      <c r="W1243" t="b">
        <v>1</v>
      </c>
      <c r="X1243" t="s">
        <v>4225</v>
      </c>
      <c r="Y1243" t="b">
        <v>0</v>
      </c>
      <c r="Z1243" t="s">
        <v>2053</v>
      </c>
    </row>
    <row r="1244" spans="1:26" x14ac:dyDescent="0.35">
      <c r="A1244" t="s">
        <v>684</v>
      </c>
      <c r="B1244" t="s">
        <v>685</v>
      </c>
      <c r="C1244" t="s">
        <v>3167</v>
      </c>
      <c r="D1244" t="s">
        <v>1963</v>
      </c>
      <c r="E1244" t="s">
        <v>2020</v>
      </c>
      <c r="F1244" t="s">
        <v>2021</v>
      </c>
      <c r="G1244" t="s">
        <v>2022</v>
      </c>
      <c r="H1244" t="s">
        <v>2023</v>
      </c>
      <c r="I1244" t="s">
        <v>70</v>
      </c>
      <c r="J1244" t="s">
        <v>1963</v>
      </c>
      <c r="K1244" t="s">
        <v>4226</v>
      </c>
      <c r="L1244" t="s">
        <v>2046</v>
      </c>
      <c r="M1244" t="s">
        <v>2348</v>
      </c>
      <c r="N1244" t="s">
        <v>2349</v>
      </c>
      <c r="O1244" t="s">
        <v>2348</v>
      </c>
      <c r="P1244" t="s">
        <v>2349</v>
      </c>
      <c r="Q1244" t="s">
        <v>2350</v>
      </c>
      <c r="R1244" t="s">
        <v>14</v>
      </c>
      <c r="S1244" t="s">
        <v>4192</v>
      </c>
      <c r="T1244" t="s">
        <v>4193</v>
      </c>
      <c r="U1244" t="s">
        <v>2030</v>
      </c>
      <c r="V1244" t="s">
        <v>14</v>
      </c>
      <c r="W1244" t="b">
        <v>1</v>
      </c>
      <c r="X1244" t="s">
        <v>4227</v>
      </c>
      <c r="Y1244" t="b">
        <v>0</v>
      </c>
      <c r="Z1244" t="s">
        <v>2053</v>
      </c>
    </row>
    <row r="1245" spans="1:26" x14ac:dyDescent="0.35">
      <c r="A1245" t="s">
        <v>684</v>
      </c>
      <c r="B1245" t="s">
        <v>685</v>
      </c>
      <c r="C1245" t="s">
        <v>3167</v>
      </c>
      <c r="D1245" t="s">
        <v>1963</v>
      </c>
      <c r="E1245" t="s">
        <v>2020</v>
      </c>
      <c r="F1245" t="s">
        <v>2021</v>
      </c>
      <c r="G1245" t="s">
        <v>2022</v>
      </c>
      <c r="H1245" t="s">
        <v>2023</v>
      </c>
      <c r="I1245" t="s">
        <v>4198</v>
      </c>
      <c r="J1245" t="s">
        <v>1963</v>
      </c>
      <c r="K1245" t="s">
        <v>4226</v>
      </c>
      <c r="L1245" t="s">
        <v>2046</v>
      </c>
      <c r="M1245" t="s">
        <v>2348</v>
      </c>
      <c r="N1245" t="s">
        <v>2349</v>
      </c>
      <c r="O1245" t="s">
        <v>2348</v>
      </c>
      <c r="P1245" t="s">
        <v>2349</v>
      </c>
      <c r="Q1245" t="s">
        <v>2350</v>
      </c>
      <c r="R1245" t="s">
        <v>14</v>
      </c>
      <c r="S1245" t="s">
        <v>4192</v>
      </c>
      <c r="T1245" t="s">
        <v>4193</v>
      </c>
      <c r="U1245" t="s">
        <v>2030</v>
      </c>
      <c r="V1245" t="s">
        <v>14</v>
      </c>
      <c r="W1245" t="b">
        <v>1</v>
      </c>
      <c r="X1245" t="s">
        <v>4227</v>
      </c>
      <c r="Y1245" t="b">
        <v>0</v>
      </c>
      <c r="Z1245" t="s">
        <v>2053</v>
      </c>
    </row>
    <row r="1246" spans="1:26" x14ac:dyDescent="0.35">
      <c r="A1246" t="s">
        <v>684</v>
      </c>
      <c r="B1246" t="s">
        <v>685</v>
      </c>
      <c r="C1246" t="s">
        <v>3167</v>
      </c>
      <c r="D1246" t="s">
        <v>1963</v>
      </c>
      <c r="E1246" t="s">
        <v>2020</v>
      </c>
      <c r="F1246" t="s">
        <v>2021</v>
      </c>
      <c r="G1246" t="s">
        <v>2022</v>
      </c>
      <c r="H1246" t="s">
        <v>2023</v>
      </c>
      <c r="I1246" t="s">
        <v>4199</v>
      </c>
      <c r="J1246" t="s">
        <v>1963</v>
      </c>
      <c r="K1246" t="s">
        <v>4226</v>
      </c>
      <c r="L1246" t="s">
        <v>2046</v>
      </c>
      <c r="M1246" t="s">
        <v>2348</v>
      </c>
      <c r="N1246" t="s">
        <v>2349</v>
      </c>
      <c r="O1246" t="s">
        <v>2348</v>
      </c>
      <c r="P1246" t="s">
        <v>2349</v>
      </c>
      <c r="Q1246" t="s">
        <v>2350</v>
      </c>
      <c r="R1246" t="s">
        <v>14</v>
      </c>
      <c r="S1246" t="s">
        <v>4192</v>
      </c>
      <c r="T1246" t="s">
        <v>4193</v>
      </c>
      <c r="U1246" t="s">
        <v>2030</v>
      </c>
      <c r="V1246" t="s">
        <v>14</v>
      </c>
      <c r="W1246" t="b">
        <v>1</v>
      </c>
      <c r="X1246" t="s">
        <v>4227</v>
      </c>
      <c r="Y1246" t="b">
        <v>0</v>
      </c>
      <c r="Z1246" t="s">
        <v>2053</v>
      </c>
    </row>
    <row r="1247" spans="1:26" x14ac:dyDescent="0.35">
      <c r="A1247" t="s">
        <v>686</v>
      </c>
      <c r="B1247" t="s">
        <v>687</v>
      </c>
      <c r="C1247" t="s">
        <v>3167</v>
      </c>
      <c r="D1247" t="s">
        <v>1963</v>
      </c>
      <c r="E1247" t="s">
        <v>2020</v>
      </c>
      <c r="F1247" t="s">
        <v>2055</v>
      </c>
      <c r="G1247" t="s">
        <v>2056</v>
      </c>
      <c r="H1247" t="s">
        <v>2023</v>
      </c>
      <c r="I1247" t="s">
        <v>4228</v>
      </c>
      <c r="J1247" t="s">
        <v>1963</v>
      </c>
      <c r="K1247" t="s">
        <v>4229</v>
      </c>
      <c r="L1247" t="s">
        <v>2046</v>
      </c>
      <c r="M1247" t="s">
        <v>4230</v>
      </c>
      <c r="N1247" t="s">
        <v>4231</v>
      </c>
      <c r="O1247" t="s">
        <v>4232</v>
      </c>
      <c r="P1247" t="s">
        <v>4233</v>
      </c>
      <c r="Q1247" t="s">
        <v>4234</v>
      </c>
      <c r="R1247" t="s">
        <v>14</v>
      </c>
      <c r="S1247" t="s">
        <v>4235</v>
      </c>
      <c r="T1247" t="s">
        <v>4236</v>
      </c>
      <c r="U1247" t="s">
        <v>2390</v>
      </c>
      <c r="V1247" t="s">
        <v>14</v>
      </c>
      <c r="W1247" t="b">
        <v>1</v>
      </c>
      <c r="X1247" t="s">
        <v>4237</v>
      </c>
      <c r="Y1247" t="b">
        <v>1</v>
      </c>
      <c r="Z1247" t="s">
        <v>2081</v>
      </c>
    </row>
    <row r="1248" spans="1:26" x14ac:dyDescent="0.35">
      <c r="A1248" t="s">
        <v>688</v>
      </c>
      <c r="B1248" t="s">
        <v>689</v>
      </c>
      <c r="C1248" t="s">
        <v>3167</v>
      </c>
      <c r="D1248" t="s">
        <v>1963</v>
      </c>
      <c r="E1248" t="s">
        <v>2020</v>
      </c>
      <c r="F1248" t="s">
        <v>2055</v>
      </c>
      <c r="G1248" t="s">
        <v>2056</v>
      </c>
      <c r="H1248" t="s">
        <v>2023</v>
      </c>
      <c r="I1248" t="s">
        <v>4228</v>
      </c>
      <c r="J1248" t="s">
        <v>1963</v>
      </c>
      <c r="K1248" t="s">
        <v>4238</v>
      </c>
      <c r="L1248" t="s">
        <v>2046</v>
      </c>
      <c r="M1248" t="s">
        <v>4230</v>
      </c>
      <c r="N1248" t="s">
        <v>4231</v>
      </c>
      <c r="O1248" t="s">
        <v>4232</v>
      </c>
      <c r="P1248" t="s">
        <v>4233</v>
      </c>
      <c r="Q1248" t="s">
        <v>4234</v>
      </c>
      <c r="R1248" t="s">
        <v>14</v>
      </c>
      <c r="S1248" t="s">
        <v>4235</v>
      </c>
      <c r="T1248" t="s">
        <v>4236</v>
      </c>
      <c r="U1248" t="s">
        <v>2390</v>
      </c>
      <c r="V1248" t="s">
        <v>14</v>
      </c>
      <c r="W1248" t="b">
        <v>1</v>
      </c>
      <c r="X1248" t="s">
        <v>4239</v>
      </c>
      <c r="Y1248" t="b">
        <v>1</v>
      </c>
      <c r="Z1248" t="s">
        <v>2081</v>
      </c>
    </row>
    <row r="1249" spans="1:26" x14ac:dyDescent="0.35">
      <c r="A1249" t="s">
        <v>690</v>
      </c>
      <c r="B1249" t="s">
        <v>691</v>
      </c>
      <c r="C1249" t="s">
        <v>3167</v>
      </c>
      <c r="D1249" t="s">
        <v>1963</v>
      </c>
      <c r="E1249" t="s">
        <v>2020</v>
      </c>
      <c r="F1249" t="s">
        <v>2055</v>
      </c>
      <c r="G1249" t="s">
        <v>2056</v>
      </c>
      <c r="H1249" t="s">
        <v>2023</v>
      </c>
      <c r="I1249" t="s">
        <v>4228</v>
      </c>
      <c r="J1249" t="s">
        <v>1963</v>
      </c>
      <c r="K1249" t="s">
        <v>4240</v>
      </c>
      <c r="L1249" t="s">
        <v>2046</v>
      </c>
      <c r="M1249" t="s">
        <v>4230</v>
      </c>
      <c r="N1249" t="s">
        <v>4231</v>
      </c>
      <c r="O1249" t="s">
        <v>4232</v>
      </c>
      <c r="P1249" t="s">
        <v>4233</v>
      </c>
      <c r="Q1249" t="s">
        <v>4234</v>
      </c>
      <c r="R1249" t="s">
        <v>14</v>
      </c>
      <c r="S1249" t="s">
        <v>4235</v>
      </c>
      <c r="T1249" t="s">
        <v>4236</v>
      </c>
      <c r="U1249" t="s">
        <v>2390</v>
      </c>
      <c r="V1249" t="s">
        <v>14</v>
      </c>
      <c r="W1249" t="b">
        <v>1</v>
      </c>
      <c r="X1249" t="s">
        <v>4241</v>
      </c>
      <c r="Y1249" t="b">
        <v>1</v>
      </c>
      <c r="Z1249" t="s">
        <v>2081</v>
      </c>
    </row>
    <row r="1250" spans="1:26" x14ac:dyDescent="0.35">
      <c r="A1250" t="s">
        <v>692</v>
      </c>
      <c r="B1250" t="s">
        <v>693</v>
      </c>
      <c r="C1250" t="s">
        <v>3167</v>
      </c>
      <c r="D1250" t="s">
        <v>1963</v>
      </c>
      <c r="E1250" t="s">
        <v>2020</v>
      </c>
      <c r="F1250" t="s">
        <v>2055</v>
      </c>
      <c r="G1250" t="s">
        <v>2056</v>
      </c>
      <c r="H1250" t="s">
        <v>2023</v>
      </c>
      <c r="I1250" t="s">
        <v>4228</v>
      </c>
      <c r="J1250" t="s">
        <v>1963</v>
      </c>
      <c r="K1250" t="s">
        <v>4242</v>
      </c>
      <c r="L1250" t="s">
        <v>2046</v>
      </c>
      <c r="M1250" t="s">
        <v>4230</v>
      </c>
      <c r="N1250" t="s">
        <v>4231</v>
      </c>
      <c r="O1250" t="s">
        <v>4232</v>
      </c>
      <c r="P1250" t="s">
        <v>4233</v>
      </c>
      <c r="Q1250" t="s">
        <v>4234</v>
      </c>
      <c r="R1250" t="s">
        <v>14</v>
      </c>
      <c r="S1250" t="s">
        <v>4235</v>
      </c>
      <c r="T1250" t="s">
        <v>4236</v>
      </c>
      <c r="U1250" t="s">
        <v>2390</v>
      </c>
      <c r="V1250" t="s">
        <v>14</v>
      </c>
      <c r="W1250" t="b">
        <v>1</v>
      </c>
      <c r="X1250" t="s">
        <v>4243</v>
      </c>
      <c r="Y1250" t="b">
        <v>1</v>
      </c>
      <c r="Z1250" t="s">
        <v>2081</v>
      </c>
    </row>
    <row r="1251" spans="1:26" x14ac:dyDescent="0.35">
      <c r="A1251" t="s">
        <v>694</v>
      </c>
      <c r="B1251" t="s">
        <v>695</v>
      </c>
      <c r="C1251" t="s">
        <v>3167</v>
      </c>
      <c r="D1251" t="s">
        <v>1963</v>
      </c>
      <c r="E1251" t="s">
        <v>2020</v>
      </c>
      <c r="F1251" t="s">
        <v>2055</v>
      </c>
      <c r="G1251" t="s">
        <v>2056</v>
      </c>
      <c r="H1251" t="s">
        <v>2023</v>
      </c>
      <c r="I1251" t="s">
        <v>69</v>
      </c>
      <c r="J1251" t="s">
        <v>1963</v>
      </c>
      <c r="K1251" t="s">
        <v>4244</v>
      </c>
      <c r="L1251" t="s">
        <v>2046</v>
      </c>
      <c r="M1251" t="s">
        <v>4101</v>
      </c>
      <c r="N1251" t="s">
        <v>4102</v>
      </c>
      <c r="O1251" t="s">
        <v>4103</v>
      </c>
      <c r="P1251" t="s">
        <v>4104</v>
      </c>
      <c r="Q1251" t="s">
        <v>14</v>
      </c>
      <c r="R1251" t="s">
        <v>14</v>
      </c>
      <c r="S1251" t="s">
        <v>14</v>
      </c>
      <c r="T1251" t="s">
        <v>14</v>
      </c>
      <c r="U1251" t="s">
        <v>2030</v>
      </c>
      <c r="V1251" t="s">
        <v>14</v>
      </c>
      <c r="W1251" t="b">
        <v>1</v>
      </c>
      <c r="X1251" t="s">
        <v>4245</v>
      </c>
      <c r="Y1251" t="b">
        <v>1</v>
      </c>
      <c r="Z1251" t="s">
        <v>2032</v>
      </c>
    </row>
    <row r="1252" spans="1:26" x14ac:dyDescent="0.35">
      <c r="A1252" t="s">
        <v>694</v>
      </c>
      <c r="B1252" t="s">
        <v>695</v>
      </c>
      <c r="C1252" t="s">
        <v>3167</v>
      </c>
      <c r="D1252" t="s">
        <v>1963</v>
      </c>
      <c r="E1252" t="s">
        <v>2020</v>
      </c>
      <c r="F1252" t="s">
        <v>2055</v>
      </c>
      <c r="G1252" t="s">
        <v>2056</v>
      </c>
      <c r="H1252" t="s">
        <v>2023</v>
      </c>
      <c r="I1252" t="s">
        <v>1989</v>
      </c>
      <c r="J1252" t="s">
        <v>1963</v>
      </c>
      <c r="K1252" t="s">
        <v>4244</v>
      </c>
      <c r="L1252" t="s">
        <v>2046</v>
      </c>
      <c r="M1252" t="s">
        <v>4232</v>
      </c>
      <c r="N1252" t="s">
        <v>4233</v>
      </c>
      <c r="O1252" t="s">
        <v>4232</v>
      </c>
      <c r="P1252" t="s">
        <v>4233</v>
      </c>
      <c r="Q1252" t="s">
        <v>14</v>
      </c>
      <c r="R1252" t="s">
        <v>14</v>
      </c>
      <c r="S1252" t="s">
        <v>14</v>
      </c>
      <c r="T1252" t="s">
        <v>14</v>
      </c>
      <c r="U1252" t="s">
        <v>2390</v>
      </c>
      <c r="V1252" t="s">
        <v>14</v>
      </c>
      <c r="W1252" t="b">
        <v>1</v>
      </c>
      <c r="X1252" t="s">
        <v>4245</v>
      </c>
      <c r="Y1252" t="b">
        <v>0</v>
      </c>
      <c r="Z1252" t="s">
        <v>2053</v>
      </c>
    </row>
    <row r="1253" spans="1:26" x14ac:dyDescent="0.35">
      <c r="A1253" t="s">
        <v>696</v>
      </c>
      <c r="B1253" t="s">
        <v>697</v>
      </c>
      <c r="C1253" t="s">
        <v>3167</v>
      </c>
      <c r="D1253" t="s">
        <v>1963</v>
      </c>
      <c r="E1253" t="s">
        <v>2020</v>
      </c>
      <c r="F1253" t="s">
        <v>2055</v>
      </c>
      <c r="G1253" t="s">
        <v>2056</v>
      </c>
      <c r="H1253" t="s">
        <v>2023</v>
      </c>
      <c r="I1253" t="s">
        <v>1989</v>
      </c>
      <c r="J1253" t="s">
        <v>1963</v>
      </c>
      <c r="K1253" t="s">
        <v>4246</v>
      </c>
      <c r="L1253" t="s">
        <v>2046</v>
      </c>
      <c r="M1253" t="s">
        <v>4232</v>
      </c>
      <c r="N1253" t="s">
        <v>4233</v>
      </c>
      <c r="O1253" t="s">
        <v>4232</v>
      </c>
      <c r="P1253" t="s">
        <v>4233</v>
      </c>
      <c r="Q1253" t="s">
        <v>14</v>
      </c>
      <c r="R1253" t="s">
        <v>14</v>
      </c>
      <c r="S1253" t="s">
        <v>14</v>
      </c>
      <c r="T1253" t="s">
        <v>14</v>
      </c>
      <c r="U1253" t="s">
        <v>2390</v>
      </c>
      <c r="V1253" t="s">
        <v>14</v>
      </c>
      <c r="W1253" t="b">
        <v>1</v>
      </c>
      <c r="X1253" t="s">
        <v>4247</v>
      </c>
      <c r="Y1253" t="b">
        <v>0</v>
      </c>
      <c r="Z1253" t="s">
        <v>2053</v>
      </c>
    </row>
    <row r="1254" spans="1:26" x14ac:dyDescent="0.35">
      <c r="A1254" t="s">
        <v>696</v>
      </c>
      <c r="B1254" t="s">
        <v>697</v>
      </c>
      <c r="C1254" t="s">
        <v>3167</v>
      </c>
      <c r="D1254" t="s">
        <v>1963</v>
      </c>
      <c r="E1254" t="s">
        <v>2020</v>
      </c>
      <c r="F1254" t="s">
        <v>2055</v>
      </c>
      <c r="G1254" t="s">
        <v>2056</v>
      </c>
      <c r="H1254" t="s">
        <v>2023</v>
      </c>
      <c r="I1254" t="s">
        <v>69</v>
      </c>
      <c r="J1254" t="s">
        <v>1963</v>
      </c>
      <c r="K1254" t="s">
        <v>4246</v>
      </c>
      <c r="L1254" t="s">
        <v>2046</v>
      </c>
      <c r="M1254" t="s">
        <v>4101</v>
      </c>
      <c r="N1254" t="s">
        <v>4102</v>
      </c>
      <c r="O1254" t="s">
        <v>4103</v>
      </c>
      <c r="P1254" t="s">
        <v>4104</v>
      </c>
      <c r="Q1254" t="s">
        <v>14</v>
      </c>
      <c r="R1254" t="s">
        <v>14</v>
      </c>
      <c r="S1254" t="s">
        <v>14</v>
      </c>
      <c r="T1254" t="s">
        <v>14</v>
      </c>
      <c r="U1254" t="s">
        <v>2030</v>
      </c>
      <c r="V1254" t="s">
        <v>14</v>
      </c>
      <c r="W1254" t="b">
        <v>1</v>
      </c>
      <c r="X1254" t="s">
        <v>4247</v>
      </c>
      <c r="Y1254" t="b">
        <v>1</v>
      </c>
      <c r="Z1254" t="s">
        <v>2032</v>
      </c>
    </row>
    <row r="1255" spans="1:26" x14ac:dyDescent="0.35">
      <c r="A1255" t="s">
        <v>698</v>
      </c>
      <c r="B1255" t="s">
        <v>699</v>
      </c>
      <c r="C1255" t="s">
        <v>3167</v>
      </c>
      <c r="D1255" t="s">
        <v>1963</v>
      </c>
      <c r="E1255" t="s">
        <v>2020</v>
      </c>
      <c r="F1255" t="s">
        <v>2055</v>
      </c>
      <c r="G1255" t="s">
        <v>2056</v>
      </c>
      <c r="H1255" t="s">
        <v>2023</v>
      </c>
      <c r="I1255" t="s">
        <v>1989</v>
      </c>
      <c r="J1255" t="s">
        <v>1963</v>
      </c>
      <c r="K1255" t="s">
        <v>4248</v>
      </c>
      <c r="L1255" t="s">
        <v>2046</v>
      </c>
      <c r="M1255" t="s">
        <v>4232</v>
      </c>
      <c r="N1255" t="s">
        <v>4233</v>
      </c>
      <c r="O1255" t="s">
        <v>4232</v>
      </c>
      <c r="P1255" t="s">
        <v>4233</v>
      </c>
      <c r="Q1255" t="s">
        <v>14</v>
      </c>
      <c r="R1255" t="s">
        <v>14</v>
      </c>
      <c r="S1255" t="s">
        <v>14</v>
      </c>
      <c r="T1255" t="s">
        <v>14</v>
      </c>
      <c r="U1255" t="s">
        <v>2390</v>
      </c>
      <c r="V1255" t="s">
        <v>14</v>
      </c>
      <c r="W1255" t="b">
        <v>1</v>
      </c>
      <c r="X1255" t="s">
        <v>4249</v>
      </c>
      <c r="Y1255" t="b">
        <v>0</v>
      </c>
      <c r="Z1255" t="s">
        <v>2053</v>
      </c>
    </row>
    <row r="1256" spans="1:26" x14ac:dyDescent="0.35">
      <c r="A1256" t="s">
        <v>698</v>
      </c>
      <c r="B1256" t="s">
        <v>699</v>
      </c>
      <c r="C1256" t="s">
        <v>3167</v>
      </c>
      <c r="D1256" t="s">
        <v>1963</v>
      </c>
      <c r="E1256" t="s">
        <v>2020</v>
      </c>
      <c r="F1256" t="s">
        <v>2055</v>
      </c>
      <c r="G1256" t="s">
        <v>2056</v>
      </c>
      <c r="H1256" t="s">
        <v>2023</v>
      </c>
      <c r="I1256" t="s">
        <v>69</v>
      </c>
      <c r="J1256" t="s">
        <v>1963</v>
      </c>
      <c r="K1256" t="s">
        <v>4248</v>
      </c>
      <c r="L1256" t="s">
        <v>2046</v>
      </c>
      <c r="M1256" t="s">
        <v>4101</v>
      </c>
      <c r="N1256" t="s">
        <v>4102</v>
      </c>
      <c r="O1256" t="s">
        <v>4103</v>
      </c>
      <c r="P1256" t="s">
        <v>4104</v>
      </c>
      <c r="Q1256" t="s">
        <v>14</v>
      </c>
      <c r="R1256" t="s">
        <v>14</v>
      </c>
      <c r="S1256" t="s">
        <v>14</v>
      </c>
      <c r="T1256" t="s">
        <v>14</v>
      </c>
      <c r="U1256" t="s">
        <v>2030</v>
      </c>
      <c r="V1256" t="s">
        <v>14</v>
      </c>
      <c r="W1256" t="b">
        <v>1</v>
      </c>
      <c r="X1256" t="s">
        <v>4249</v>
      </c>
      <c r="Y1256" t="b">
        <v>1</v>
      </c>
      <c r="Z1256" t="s">
        <v>2032</v>
      </c>
    </row>
    <row r="1257" spans="1:26" x14ac:dyDescent="0.35">
      <c r="A1257" t="s">
        <v>700</v>
      </c>
      <c r="B1257" t="s">
        <v>701</v>
      </c>
      <c r="C1257" t="s">
        <v>3167</v>
      </c>
      <c r="D1257" t="s">
        <v>1963</v>
      </c>
      <c r="E1257" t="s">
        <v>2020</v>
      </c>
      <c r="F1257" t="s">
        <v>2055</v>
      </c>
      <c r="G1257" t="s">
        <v>2056</v>
      </c>
      <c r="H1257" t="s">
        <v>2023</v>
      </c>
      <c r="I1257" t="s">
        <v>1989</v>
      </c>
      <c r="J1257" t="s">
        <v>1963</v>
      </c>
      <c r="K1257" t="s">
        <v>4250</v>
      </c>
      <c r="L1257" t="s">
        <v>2046</v>
      </c>
      <c r="M1257" t="s">
        <v>4232</v>
      </c>
      <c r="N1257" t="s">
        <v>4233</v>
      </c>
      <c r="O1257" t="s">
        <v>4232</v>
      </c>
      <c r="P1257" t="s">
        <v>4233</v>
      </c>
      <c r="Q1257" t="s">
        <v>14</v>
      </c>
      <c r="R1257" t="s">
        <v>14</v>
      </c>
      <c r="S1257" t="s">
        <v>14</v>
      </c>
      <c r="T1257" t="s">
        <v>14</v>
      </c>
      <c r="U1257" t="s">
        <v>2390</v>
      </c>
      <c r="V1257" t="s">
        <v>14</v>
      </c>
      <c r="W1257" t="b">
        <v>1</v>
      </c>
      <c r="X1257" t="s">
        <v>4251</v>
      </c>
      <c r="Y1257" t="b">
        <v>0</v>
      </c>
      <c r="Z1257" t="s">
        <v>2053</v>
      </c>
    </row>
    <row r="1258" spans="1:26" x14ac:dyDescent="0.35">
      <c r="A1258" t="s">
        <v>700</v>
      </c>
      <c r="B1258" t="s">
        <v>701</v>
      </c>
      <c r="C1258" t="s">
        <v>3167</v>
      </c>
      <c r="D1258" t="s">
        <v>1963</v>
      </c>
      <c r="E1258" t="s">
        <v>2020</v>
      </c>
      <c r="F1258" t="s">
        <v>2055</v>
      </c>
      <c r="G1258" t="s">
        <v>2056</v>
      </c>
      <c r="H1258" t="s">
        <v>2023</v>
      </c>
      <c r="I1258" t="s">
        <v>69</v>
      </c>
      <c r="J1258" t="s">
        <v>1963</v>
      </c>
      <c r="K1258" t="s">
        <v>4250</v>
      </c>
      <c r="L1258" t="s">
        <v>2046</v>
      </c>
      <c r="M1258" t="s">
        <v>4101</v>
      </c>
      <c r="N1258" t="s">
        <v>4102</v>
      </c>
      <c r="O1258" t="s">
        <v>4103</v>
      </c>
      <c r="P1258" t="s">
        <v>4104</v>
      </c>
      <c r="Q1258" t="s">
        <v>14</v>
      </c>
      <c r="R1258" t="s">
        <v>14</v>
      </c>
      <c r="S1258" t="s">
        <v>14</v>
      </c>
      <c r="T1258" t="s">
        <v>14</v>
      </c>
      <c r="U1258" t="s">
        <v>2030</v>
      </c>
      <c r="V1258" t="s">
        <v>14</v>
      </c>
      <c r="W1258" t="b">
        <v>1</v>
      </c>
      <c r="X1258" t="s">
        <v>4251</v>
      </c>
      <c r="Y1258" t="b">
        <v>1</v>
      </c>
      <c r="Z1258" t="s">
        <v>2032</v>
      </c>
    </row>
    <row r="1259" spans="1:26" x14ac:dyDescent="0.35">
      <c r="A1259" t="s">
        <v>702</v>
      </c>
      <c r="B1259" t="s">
        <v>703</v>
      </c>
      <c r="C1259" t="s">
        <v>3167</v>
      </c>
      <c r="D1259" t="s">
        <v>1963</v>
      </c>
      <c r="E1259" t="s">
        <v>2020</v>
      </c>
      <c r="F1259" t="s">
        <v>2021</v>
      </c>
      <c r="G1259" t="s">
        <v>2022</v>
      </c>
      <c r="H1259" t="s">
        <v>2023</v>
      </c>
      <c r="I1259" t="s">
        <v>4252</v>
      </c>
      <c r="J1259" t="s">
        <v>1963</v>
      </c>
      <c r="K1259" t="s">
        <v>4253</v>
      </c>
      <c r="L1259" t="s">
        <v>2046</v>
      </c>
      <c r="M1259" t="s">
        <v>2222</v>
      </c>
      <c r="N1259" t="s">
        <v>2223</v>
      </c>
      <c r="O1259" t="s">
        <v>2222</v>
      </c>
      <c r="P1259" t="s">
        <v>2223</v>
      </c>
      <c r="Q1259" t="s">
        <v>14</v>
      </c>
      <c r="R1259" t="s">
        <v>14</v>
      </c>
      <c r="S1259" t="s">
        <v>14</v>
      </c>
      <c r="T1259" t="s">
        <v>14</v>
      </c>
      <c r="U1259" t="s">
        <v>2052</v>
      </c>
      <c r="V1259" t="s">
        <v>14</v>
      </c>
      <c r="W1259" t="b">
        <v>1</v>
      </c>
      <c r="X1259" t="s">
        <v>4254</v>
      </c>
      <c r="Y1259" t="b">
        <v>0</v>
      </c>
      <c r="Z1259" t="s">
        <v>2053</v>
      </c>
    </row>
    <row r="1260" spans="1:26" x14ac:dyDescent="0.35">
      <c r="A1260" t="s">
        <v>704</v>
      </c>
      <c r="B1260" t="s">
        <v>705</v>
      </c>
      <c r="C1260" t="s">
        <v>3167</v>
      </c>
      <c r="D1260" t="s">
        <v>1963</v>
      </c>
      <c r="E1260" t="s">
        <v>2020</v>
      </c>
      <c r="F1260" t="s">
        <v>2021</v>
      </c>
      <c r="G1260" t="s">
        <v>2022</v>
      </c>
      <c r="H1260" t="s">
        <v>2023</v>
      </c>
      <c r="I1260" t="s">
        <v>4252</v>
      </c>
      <c r="J1260" t="s">
        <v>1963</v>
      </c>
      <c r="K1260" t="s">
        <v>4255</v>
      </c>
      <c r="L1260" t="s">
        <v>2046</v>
      </c>
      <c r="M1260" t="s">
        <v>2222</v>
      </c>
      <c r="N1260" t="s">
        <v>2223</v>
      </c>
      <c r="O1260" t="s">
        <v>2222</v>
      </c>
      <c r="P1260" t="s">
        <v>2223</v>
      </c>
      <c r="Q1260" t="s">
        <v>14</v>
      </c>
      <c r="R1260" t="s">
        <v>14</v>
      </c>
      <c r="S1260" t="s">
        <v>14</v>
      </c>
      <c r="T1260" t="s">
        <v>14</v>
      </c>
      <c r="U1260" t="s">
        <v>2052</v>
      </c>
      <c r="V1260" t="s">
        <v>14</v>
      </c>
      <c r="W1260" t="b">
        <v>1</v>
      </c>
      <c r="X1260" t="s">
        <v>4256</v>
      </c>
      <c r="Y1260" t="b">
        <v>0</v>
      </c>
      <c r="Z1260" t="s">
        <v>2053</v>
      </c>
    </row>
    <row r="1261" spans="1:26" x14ac:dyDescent="0.35">
      <c r="A1261" t="s">
        <v>706</v>
      </c>
      <c r="B1261" t="s">
        <v>707</v>
      </c>
      <c r="C1261" t="s">
        <v>3167</v>
      </c>
      <c r="D1261" t="s">
        <v>1963</v>
      </c>
      <c r="E1261" t="s">
        <v>2020</v>
      </c>
      <c r="F1261" t="s">
        <v>2055</v>
      </c>
      <c r="G1261" t="s">
        <v>2056</v>
      </c>
      <c r="H1261" t="s">
        <v>2023</v>
      </c>
      <c r="I1261" t="s">
        <v>4257</v>
      </c>
      <c r="J1261" t="s">
        <v>1963</v>
      </c>
      <c r="K1261" t="s">
        <v>4258</v>
      </c>
      <c r="L1261" t="s">
        <v>2046</v>
      </c>
      <c r="M1261" t="s">
        <v>4259</v>
      </c>
      <c r="N1261" t="s">
        <v>4260</v>
      </c>
      <c r="O1261" t="s">
        <v>2348</v>
      </c>
      <c r="P1261" t="s">
        <v>2349</v>
      </c>
      <c r="Q1261" t="s">
        <v>2350</v>
      </c>
      <c r="R1261" t="s">
        <v>14</v>
      </c>
      <c r="S1261" t="s">
        <v>4192</v>
      </c>
      <c r="T1261" t="s">
        <v>4193</v>
      </c>
      <c r="U1261" t="s">
        <v>2030</v>
      </c>
      <c r="V1261" t="s">
        <v>14</v>
      </c>
      <c r="W1261" t="b">
        <v>1</v>
      </c>
      <c r="X1261" t="s">
        <v>4261</v>
      </c>
      <c r="Y1261" t="b">
        <v>0</v>
      </c>
      <c r="Z1261" t="s">
        <v>2081</v>
      </c>
    </row>
    <row r="1262" spans="1:26" x14ac:dyDescent="0.35">
      <c r="A1262" t="s">
        <v>708</v>
      </c>
      <c r="B1262" t="s">
        <v>709</v>
      </c>
      <c r="C1262" t="s">
        <v>3167</v>
      </c>
      <c r="D1262" t="s">
        <v>1963</v>
      </c>
      <c r="E1262" t="s">
        <v>2020</v>
      </c>
      <c r="F1262" t="s">
        <v>2055</v>
      </c>
      <c r="G1262" t="s">
        <v>2056</v>
      </c>
      <c r="H1262" t="s">
        <v>2023</v>
      </c>
      <c r="I1262" t="s">
        <v>4257</v>
      </c>
      <c r="J1262" t="s">
        <v>1963</v>
      </c>
      <c r="K1262" t="s">
        <v>4262</v>
      </c>
      <c r="L1262" t="s">
        <v>2046</v>
      </c>
      <c r="M1262" t="s">
        <v>4259</v>
      </c>
      <c r="N1262" t="s">
        <v>4260</v>
      </c>
      <c r="O1262" t="s">
        <v>2348</v>
      </c>
      <c r="P1262" t="s">
        <v>2349</v>
      </c>
      <c r="Q1262" t="s">
        <v>2350</v>
      </c>
      <c r="R1262" t="s">
        <v>14</v>
      </c>
      <c r="S1262" t="s">
        <v>4192</v>
      </c>
      <c r="T1262" t="s">
        <v>4193</v>
      </c>
      <c r="U1262" t="s">
        <v>2030</v>
      </c>
      <c r="V1262" t="s">
        <v>14</v>
      </c>
      <c r="W1262" t="b">
        <v>1</v>
      </c>
      <c r="X1262" t="s">
        <v>4263</v>
      </c>
      <c r="Y1262" t="b">
        <v>0</v>
      </c>
      <c r="Z1262" t="s">
        <v>2081</v>
      </c>
    </row>
    <row r="1263" spans="1:26" x14ac:dyDescent="0.35">
      <c r="A1263" t="s">
        <v>710</v>
      </c>
      <c r="B1263" t="s">
        <v>711</v>
      </c>
      <c r="C1263" t="s">
        <v>3167</v>
      </c>
      <c r="D1263" t="s">
        <v>1963</v>
      </c>
      <c r="E1263" t="s">
        <v>2020</v>
      </c>
      <c r="F1263" t="s">
        <v>2055</v>
      </c>
      <c r="G1263" t="s">
        <v>2056</v>
      </c>
      <c r="H1263" t="s">
        <v>2023</v>
      </c>
      <c r="I1263" t="s">
        <v>4257</v>
      </c>
      <c r="J1263" t="s">
        <v>1963</v>
      </c>
      <c r="K1263" t="s">
        <v>4264</v>
      </c>
      <c r="L1263" t="s">
        <v>2046</v>
      </c>
      <c r="M1263" t="s">
        <v>4259</v>
      </c>
      <c r="N1263" t="s">
        <v>4260</v>
      </c>
      <c r="O1263" t="s">
        <v>2348</v>
      </c>
      <c r="P1263" t="s">
        <v>2349</v>
      </c>
      <c r="Q1263" t="s">
        <v>2350</v>
      </c>
      <c r="R1263" t="s">
        <v>14</v>
      </c>
      <c r="S1263" t="s">
        <v>4192</v>
      </c>
      <c r="T1263" t="s">
        <v>4193</v>
      </c>
      <c r="U1263" t="s">
        <v>2030</v>
      </c>
      <c r="V1263" t="s">
        <v>14</v>
      </c>
      <c r="W1263" t="b">
        <v>1</v>
      </c>
      <c r="X1263" t="s">
        <v>4265</v>
      </c>
      <c r="Y1263" t="b">
        <v>0</v>
      </c>
      <c r="Z1263" t="s">
        <v>2081</v>
      </c>
    </row>
    <row r="1264" spans="1:26" x14ac:dyDescent="0.35">
      <c r="A1264" t="s">
        <v>712</v>
      </c>
      <c r="B1264" t="s">
        <v>713</v>
      </c>
      <c r="C1264" t="s">
        <v>3167</v>
      </c>
      <c r="D1264" t="s">
        <v>1963</v>
      </c>
      <c r="E1264" t="s">
        <v>2020</v>
      </c>
      <c r="F1264" t="s">
        <v>2055</v>
      </c>
      <c r="G1264" t="s">
        <v>2056</v>
      </c>
      <c r="H1264" t="s">
        <v>2023</v>
      </c>
      <c r="I1264" t="s">
        <v>4257</v>
      </c>
      <c r="J1264" t="s">
        <v>1963</v>
      </c>
      <c r="K1264" t="s">
        <v>4266</v>
      </c>
      <c r="L1264" t="s">
        <v>2046</v>
      </c>
      <c r="M1264" t="s">
        <v>4259</v>
      </c>
      <c r="N1264" t="s">
        <v>4260</v>
      </c>
      <c r="O1264" t="s">
        <v>2348</v>
      </c>
      <c r="P1264" t="s">
        <v>2349</v>
      </c>
      <c r="Q1264" t="s">
        <v>2350</v>
      </c>
      <c r="R1264" t="s">
        <v>14</v>
      </c>
      <c r="S1264" t="s">
        <v>4192</v>
      </c>
      <c r="T1264" t="s">
        <v>4193</v>
      </c>
      <c r="U1264" t="s">
        <v>2030</v>
      </c>
      <c r="V1264" t="s">
        <v>14</v>
      </c>
      <c r="W1264" t="b">
        <v>1</v>
      </c>
      <c r="X1264" t="s">
        <v>4267</v>
      </c>
      <c r="Y1264" t="b">
        <v>0</v>
      </c>
      <c r="Z1264" t="s">
        <v>2081</v>
      </c>
    </row>
    <row r="1265" spans="1:26" x14ac:dyDescent="0.35">
      <c r="A1265" t="s">
        <v>714</v>
      </c>
      <c r="B1265" t="s">
        <v>715</v>
      </c>
      <c r="C1265" t="s">
        <v>3167</v>
      </c>
      <c r="D1265" t="s">
        <v>1963</v>
      </c>
      <c r="E1265" t="s">
        <v>2020</v>
      </c>
      <c r="F1265" t="s">
        <v>2055</v>
      </c>
      <c r="G1265" t="s">
        <v>2056</v>
      </c>
      <c r="H1265" t="s">
        <v>2023</v>
      </c>
      <c r="I1265" t="s">
        <v>4257</v>
      </c>
      <c r="J1265" t="s">
        <v>1963</v>
      </c>
      <c r="K1265" t="s">
        <v>4268</v>
      </c>
      <c r="L1265" t="s">
        <v>2046</v>
      </c>
      <c r="M1265" t="s">
        <v>4259</v>
      </c>
      <c r="N1265" t="s">
        <v>4260</v>
      </c>
      <c r="O1265" t="s">
        <v>2348</v>
      </c>
      <c r="P1265" t="s">
        <v>2349</v>
      </c>
      <c r="Q1265" t="s">
        <v>2350</v>
      </c>
      <c r="R1265" t="s">
        <v>14</v>
      </c>
      <c r="S1265" t="s">
        <v>4192</v>
      </c>
      <c r="T1265" t="s">
        <v>4193</v>
      </c>
      <c r="U1265" t="s">
        <v>2030</v>
      </c>
      <c r="V1265" t="s">
        <v>14</v>
      </c>
      <c r="W1265" t="b">
        <v>1</v>
      </c>
      <c r="X1265" t="s">
        <v>4269</v>
      </c>
      <c r="Y1265" t="b">
        <v>0</v>
      </c>
      <c r="Z1265" t="s">
        <v>2081</v>
      </c>
    </row>
    <row r="1266" spans="1:26" x14ac:dyDescent="0.35">
      <c r="A1266" t="s">
        <v>716</v>
      </c>
      <c r="B1266" t="s">
        <v>717</v>
      </c>
      <c r="C1266" t="s">
        <v>3167</v>
      </c>
      <c r="D1266" t="s">
        <v>1963</v>
      </c>
      <c r="E1266" t="s">
        <v>2020</v>
      </c>
      <c r="F1266" t="s">
        <v>2055</v>
      </c>
      <c r="G1266" t="s">
        <v>2056</v>
      </c>
      <c r="H1266" t="s">
        <v>2023</v>
      </c>
      <c r="I1266" t="s">
        <v>4257</v>
      </c>
      <c r="J1266" t="s">
        <v>1963</v>
      </c>
      <c r="K1266" t="s">
        <v>4270</v>
      </c>
      <c r="L1266" t="s">
        <v>2046</v>
      </c>
      <c r="M1266" t="s">
        <v>4259</v>
      </c>
      <c r="N1266" t="s">
        <v>4260</v>
      </c>
      <c r="O1266" t="s">
        <v>2348</v>
      </c>
      <c r="P1266" t="s">
        <v>2349</v>
      </c>
      <c r="Q1266" t="s">
        <v>2350</v>
      </c>
      <c r="R1266" t="s">
        <v>14</v>
      </c>
      <c r="S1266" t="s">
        <v>4192</v>
      </c>
      <c r="T1266" t="s">
        <v>4193</v>
      </c>
      <c r="U1266" t="s">
        <v>2030</v>
      </c>
      <c r="V1266" t="s">
        <v>14</v>
      </c>
      <c r="W1266" t="b">
        <v>1</v>
      </c>
      <c r="X1266" t="s">
        <v>4271</v>
      </c>
      <c r="Y1266" t="b">
        <v>0</v>
      </c>
      <c r="Z1266" t="s">
        <v>2081</v>
      </c>
    </row>
    <row r="1267" spans="1:26" x14ac:dyDescent="0.35">
      <c r="A1267" t="s">
        <v>718</v>
      </c>
      <c r="B1267" t="s">
        <v>719</v>
      </c>
      <c r="C1267" t="s">
        <v>3167</v>
      </c>
      <c r="D1267" t="s">
        <v>1963</v>
      </c>
      <c r="E1267" t="s">
        <v>2020</v>
      </c>
      <c r="F1267" t="s">
        <v>2055</v>
      </c>
      <c r="G1267" t="s">
        <v>2056</v>
      </c>
      <c r="H1267" t="s">
        <v>2023</v>
      </c>
      <c r="I1267" t="s">
        <v>4257</v>
      </c>
      <c r="J1267" t="s">
        <v>1963</v>
      </c>
      <c r="K1267" t="s">
        <v>4272</v>
      </c>
      <c r="L1267" t="s">
        <v>2046</v>
      </c>
      <c r="M1267" t="s">
        <v>4259</v>
      </c>
      <c r="N1267" t="s">
        <v>4260</v>
      </c>
      <c r="O1267" t="s">
        <v>2348</v>
      </c>
      <c r="P1267" t="s">
        <v>2349</v>
      </c>
      <c r="Q1267" t="s">
        <v>2350</v>
      </c>
      <c r="R1267" t="s">
        <v>14</v>
      </c>
      <c r="S1267" t="s">
        <v>4192</v>
      </c>
      <c r="T1267" t="s">
        <v>4193</v>
      </c>
      <c r="U1267" t="s">
        <v>2030</v>
      </c>
      <c r="V1267" t="s">
        <v>14</v>
      </c>
      <c r="W1267" t="b">
        <v>1</v>
      </c>
      <c r="X1267" t="s">
        <v>4273</v>
      </c>
      <c r="Y1267" t="b">
        <v>0</v>
      </c>
      <c r="Z1267" t="s">
        <v>2081</v>
      </c>
    </row>
    <row r="1268" spans="1:26" x14ac:dyDescent="0.35">
      <c r="A1268" t="s">
        <v>720</v>
      </c>
      <c r="B1268" t="s">
        <v>721</v>
      </c>
      <c r="C1268" t="s">
        <v>3167</v>
      </c>
      <c r="D1268" t="s">
        <v>1963</v>
      </c>
      <c r="E1268" t="s">
        <v>2020</v>
      </c>
      <c r="F1268" t="s">
        <v>2055</v>
      </c>
      <c r="G1268" t="s">
        <v>2056</v>
      </c>
      <c r="H1268" t="s">
        <v>2023</v>
      </c>
      <c r="I1268" t="s">
        <v>4257</v>
      </c>
      <c r="J1268" t="s">
        <v>1963</v>
      </c>
      <c r="K1268" t="s">
        <v>4274</v>
      </c>
      <c r="L1268" t="s">
        <v>2046</v>
      </c>
      <c r="M1268" t="s">
        <v>4259</v>
      </c>
      <c r="N1268" t="s">
        <v>4260</v>
      </c>
      <c r="O1268" t="s">
        <v>2348</v>
      </c>
      <c r="P1268" t="s">
        <v>2349</v>
      </c>
      <c r="Q1268" t="s">
        <v>2350</v>
      </c>
      <c r="R1268" t="s">
        <v>14</v>
      </c>
      <c r="S1268" t="s">
        <v>4192</v>
      </c>
      <c r="T1268" t="s">
        <v>4193</v>
      </c>
      <c r="U1268" t="s">
        <v>2030</v>
      </c>
      <c r="V1268" t="s">
        <v>14</v>
      </c>
      <c r="W1268" t="b">
        <v>1</v>
      </c>
      <c r="X1268" t="s">
        <v>4275</v>
      </c>
      <c r="Y1268" t="b">
        <v>0</v>
      </c>
      <c r="Z1268" t="s">
        <v>2081</v>
      </c>
    </row>
    <row r="1269" spans="1:26" x14ac:dyDescent="0.35">
      <c r="A1269" t="s">
        <v>722</v>
      </c>
      <c r="B1269" t="s">
        <v>723</v>
      </c>
      <c r="C1269" t="s">
        <v>3167</v>
      </c>
      <c r="D1269" t="s">
        <v>1963</v>
      </c>
      <c r="E1269" t="s">
        <v>2020</v>
      </c>
      <c r="F1269" t="s">
        <v>2021</v>
      </c>
      <c r="G1269" t="s">
        <v>2022</v>
      </c>
      <c r="H1269" t="s">
        <v>2023</v>
      </c>
      <c r="I1269" t="s">
        <v>4276</v>
      </c>
      <c r="J1269" t="s">
        <v>1963</v>
      </c>
      <c r="K1269" t="s">
        <v>4277</v>
      </c>
      <c r="L1269" t="s">
        <v>2046</v>
      </c>
      <c r="M1269" t="s">
        <v>4278</v>
      </c>
      <c r="N1269" t="s">
        <v>4279</v>
      </c>
      <c r="O1269" t="s">
        <v>2401</v>
      </c>
      <c r="P1269" t="s">
        <v>2402</v>
      </c>
      <c r="Q1269" t="s">
        <v>4280</v>
      </c>
      <c r="R1269" t="s">
        <v>14</v>
      </c>
      <c r="S1269" t="s">
        <v>4281</v>
      </c>
      <c r="T1269" t="s">
        <v>4282</v>
      </c>
      <c r="U1269" t="s">
        <v>4283</v>
      </c>
      <c r="V1269" t="s">
        <v>14</v>
      </c>
      <c r="W1269" t="b">
        <v>1</v>
      </c>
      <c r="X1269" t="s">
        <v>4284</v>
      </c>
      <c r="Y1269" t="b">
        <v>1</v>
      </c>
      <c r="Z1269" t="s">
        <v>2081</v>
      </c>
    </row>
    <row r="1270" spans="1:26" x14ac:dyDescent="0.35">
      <c r="A1270" t="s">
        <v>724</v>
      </c>
      <c r="B1270" t="s">
        <v>4285</v>
      </c>
      <c r="C1270" t="s">
        <v>3167</v>
      </c>
      <c r="D1270" t="s">
        <v>1963</v>
      </c>
      <c r="E1270" t="s">
        <v>2020</v>
      </c>
      <c r="F1270" t="s">
        <v>2021</v>
      </c>
      <c r="G1270" t="s">
        <v>2022</v>
      </c>
      <c r="H1270" t="s">
        <v>2023</v>
      </c>
      <c r="I1270" t="s">
        <v>4276</v>
      </c>
      <c r="J1270" t="s">
        <v>1963</v>
      </c>
      <c r="K1270" t="s">
        <v>4286</v>
      </c>
      <c r="L1270" t="s">
        <v>2046</v>
      </c>
      <c r="M1270" t="s">
        <v>4278</v>
      </c>
      <c r="N1270" t="s">
        <v>4279</v>
      </c>
      <c r="O1270" t="s">
        <v>2401</v>
      </c>
      <c r="P1270" t="s">
        <v>2402</v>
      </c>
      <c r="Q1270" t="s">
        <v>4280</v>
      </c>
      <c r="R1270" t="s">
        <v>14</v>
      </c>
      <c r="S1270" t="s">
        <v>4281</v>
      </c>
      <c r="T1270" t="s">
        <v>4282</v>
      </c>
      <c r="U1270" t="s">
        <v>4283</v>
      </c>
      <c r="V1270" t="s">
        <v>14</v>
      </c>
      <c r="W1270" t="b">
        <v>1</v>
      </c>
      <c r="X1270" t="s">
        <v>4287</v>
      </c>
      <c r="Y1270" t="b">
        <v>1</v>
      </c>
      <c r="Z1270" t="s">
        <v>2081</v>
      </c>
    </row>
    <row r="1271" spans="1:26" x14ac:dyDescent="0.35">
      <c r="A1271" t="s">
        <v>725</v>
      </c>
      <c r="B1271" t="s">
        <v>4288</v>
      </c>
      <c r="C1271" t="s">
        <v>3167</v>
      </c>
      <c r="D1271" t="s">
        <v>1963</v>
      </c>
      <c r="E1271" t="s">
        <v>2020</v>
      </c>
      <c r="F1271" t="s">
        <v>2021</v>
      </c>
      <c r="G1271" t="s">
        <v>2022</v>
      </c>
      <c r="H1271" t="s">
        <v>2023</v>
      </c>
      <c r="I1271" t="s">
        <v>4276</v>
      </c>
      <c r="J1271" t="s">
        <v>1963</v>
      </c>
      <c r="K1271" t="s">
        <v>4289</v>
      </c>
      <c r="L1271" t="s">
        <v>2046</v>
      </c>
      <c r="M1271" t="s">
        <v>4278</v>
      </c>
      <c r="N1271" t="s">
        <v>4279</v>
      </c>
      <c r="O1271" t="s">
        <v>2401</v>
      </c>
      <c r="P1271" t="s">
        <v>2402</v>
      </c>
      <c r="Q1271" t="s">
        <v>4280</v>
      </c>
      <c r="R1271" t="s">
        <v>14</v>
      </c>
      <c r="S1271" t="s">
        <v>4281</v>
      </c>
      <c r="T1271" t="s">
        <v>4282</v>
      </c>
      <c r="U1271" t="s">
        <v>4283</v>
      </c>
      <c r="V1271" t="s">
        <v>14</v>
      </c>
      <c r="W1271" t="b">
        <v>1</v>
      </c>
      <c r="X1271" t="s">
        <v>4290</v>
      </c>
      <c r="Y1271" t="b">
        <v>1</v>
      </c>
      <c r="Z1271" t="s">
        <v>2081</v>
      </c>
    </row>
    <row r="1272" spans="1:26" x14ac:dyDescent="0.35">
      <c r="A1272" t="s">
        <v>726</v>
      </c>
      <c r="B1272" t="s">
        <v>727</v>
      </c>
      <c r="C1272" t="s">
        <v>3167</v>
      </c>
      <c r="D1272" t="s">
        <v>1963</v>
      </c>
      <c r="E1272" t="s">
        <v>2020</v>
      </c>
      <c r="F1272" t="s">
        <v>2021</v>
      </c>
      <c r="G1272" t="s">
        <v>2022</v>
      </c>
      <c r="H1272" t="s">
        <v>2023</v>
      </c>
      <c r="I1272" t="s">
        <v>4276</v>
      </c>
      <c r="J1272" t="s">
        <v>1963</v>
      </c>
      <c r="K1272" t="s">
        <v>4291</v>
      </c>
      <c r="L1272" t="s">
        <v>2046</v>
      </c>
      <c r="M1272" t="s">
        <v>4278</v>
      </c>
      <c r="N1272" t="s">
        <v>4279</v>
      </c>
      <c r="O1272" t="s">
        <v>2401</v>
      </c>
      <c r="P1272" t="s">
        <v>2402</v>
      </c>
      <c r="Q1272" t="s">
        <v>4280</v>
      </c>
      <c r="R1272" t="s">
        <v>14</v>
      </c>
      <c r="S1272" t="s">
        <v>4281</v>
      </c>
      <c r="T1272" t="s">
        <v>4282</v>
      </c>
      <c r="U1272" t="s">
        <v>4283</v>
      </c>
      <c r="V1272" t="s">
        <v>14</v>
      </c>
      <c r="W1272" t="b">
        <v>1</v>
      </c>
      <c r="X1272" t="s">
        <v>4292</v>
      </c>
      <c r="Y1272" t="b">
        <v>1</v>
      </c>
      <c r="Z1272" t="s">
        <v>2081</v>
      </c>
    </row>
    <row r="1273" spans="1:26" x14ac:dyDescent="0.35">
      <c r="A1273" t="s">
        <v>728</v>
      </c>
      <c r="B1273" t="s">
        <v>729</v>
      </c>
      <c r="C1273" t="s">
        <v>3167</v>
      </c>
      <c r="D1273" t="s">
        <v>1963</v>
      </c>
      <c r="E1273" t="s">
        <v>2020</v>
      </c>
      <c r="F1273" t="s">
        <v>2021</v>
      </c>
      <c r="G1273" t="s">
        <v>2022</v>
      </c>
      <c r="H1273" t="s">
        <v>2023</v>
      </c>
      <c r="I1273" t="s">
        <v>4293</v>
      </c>
      <c r="J1273" t="s">
        <v>1963</v>
      </c>
      <c r="K1273" t="s">
        <v>4294</v>
      </c>
      <c r="L1273" t="s">
        <v>2046</v>
      </c>
      <c r="M1273" t="s">
        <v>4259</v>
      </c>
      <c r="N1273" t="s">
        <v>4260</v>
      </c>
      <c r="O1273" t="s">
        <v>4259</v>
      </c>
      <c r="P1273" t="s">
        <v>4260</v>
      </c>
      <c r="Q1273" t="s">
        <v>4295</v>
      </c>
      <c r="R1273" t="s">
        <v>14</v>
      </c>
      <c r="S1273" t="s">
        <v>4296</v>
      </c>
      <c r="T1273" t="s">
        <v>4297</v>
      </c>
      <c r="U1273" t="s">
        <v>2030</v>
      </c>
      <c r="V1273" t="s">
        <v>14</v>
      </c>
      <c r="W1273" t="b">
        <v>1</v>
      </c>
      <c r="X1273" t="s">
        <v>4298</v>
      </c>
      <c r="Y1273" t="b">
        <v>0</v>
      </c>
      <c r="Z1273" t="s">
        <v>2053</v>
      </c>
    </row>
    <row r="1274" spans="1:26" x14ac:dyDescent="0.35">
      <c r="A1274" t="s">
        <v>728</v>
      </c>
      <c r="B1274" t="s">
        <v>729</v>
      </c>
      <c r="C1274" t="s">
        <v>3167</v>
      </c>
      <c r="D1274" t="s">
        <v>1963</v>
      </c>
      <c r="E1274" t="s">
        <v>2020</v>
      </c>
      <c r="F1274" t="s">
        <v>2021</v>
      </c>
      <c r="G1274" t="s">
        <v>2022</v>
      </c>
      <c r="H1274" t="s">
        <v>2023</v>
      </c>
      <c r="I1274" t="s">
        <v>70</v>
      </c>
      <c r="J1274" t="s">
        <v>1963</v>
      </c>
      <c r="K1274" t="s">
        <v>4294</v>
      </c>
      <c r="L1274" t="s">
        <v>2046</v>
      </c>
      <c r="M1274" t="s">
        <v>2348</v>
      </c>
      <c r="N1274" t="s">
        <v>2349</v>
      </c>
      <c r="O1274" t="s">
        <v>2348</v>
      </c>
      <c r="P1274" t="s">
        <v>2349</v>
      </c>
      <c r="Q1274" t="s">
        <v>2350</v>
      </c>
      <c r="R1274" t="s">
        <v>14</v>
      </c>
      <c r="S1274" t="s">
        <v>4192</v>
      </c>
      <c r="T1274" t="s">
        <v>4193</v>
      </c>
      <c r="U1274" t="s">
        <v>2030</v>
      </c>
      <c r="V1274" t="s">
        <v>14</v>
      </c>
      <c r="W1274" t="b">
        <v>1</v>
      </c>
      <c r="X1274" t="s">
        <v>4298</v>
      </c>
      <c r="Y1274" t="b">
        <v>0</v>
      </c>
      <c r="Z1274" t="s">
        <v>2053</v>
      </c>
    </row>
    <row r="1275" spans="1:26" x14ac:dyDescent="0.35">
      <c r="A1275" t="s">
        <v>728</v>
      </c>
      <c r="B1275" t="s">
        <v>729</v>
      </c>
      <c r="C1275" t="s">
        <v>3167</v>
      </c>
      <c r="D1275" t="s">
        <v>1963</v>
      </c>
      <c r="E1275" t="s">
        <v>2020</v>
      </c>
      <c r="F1275" t="s">
        <v>2021</v>
      </c>
      <c r="G1275" t="s">
        <v>2022</v>
      </c>
      <c r="H1275" t="s">
        <v>2023</v>
      </c>
      <c r="I1275" t="s">
        <v>4198</v>
      </c>
      <c r="J1275" t="s">
        <v>1963</v>
      </c>
      <c r="K1275" t="s">
        <v>4294</v>
      </c>
      <c r="L1275" t="s">
        <v>2046</v>
      </c>
      <c r="M1275" t="s">
        <v>2348</v>
      </c>
      <c r="N1275" t="s">
        <v>2349</v>
      </c>
      <c r="O1275" t="s">
        <v>2348</v>
      </c>
      <c r="P1275" t="s">
        <v>2349</v>
      </c>
      <c r="Q1275" t="s">
        <v>2350</v>
      </c>
      <c r="R1275" t="s">
        <v>14</v>
      </c>
      <c r="S1275" t="s">
        <v>4192</v>
      </c>
      <c r="T1275" t="s">
        <v>4193</v>
      </c>
      <c r="U1275" t="s">
        <v>2030</v>
      </c>
      <c r="V1275" t="s">
        <v>14</v>
      </c>
      <c r="W1275" t="b">
        <v>1</v>
      </c>
      <c r="X1275" t="s">
        <v>4298</v>
      </c>
      <c r="Y1275" t="b">
        <v>0</v>
      </c>
      <c r="Z1275" t="s">
        <v>2053</v>
      </c>
    </row>
    <row r="1276" spans="1:26" x14ac:dyDescent="0.35">
      <c r="A1276" t="s">
        <v>728</v>
      </c>
      <c r="B1276" t="s">
        <v>729</v>
      </c>
      <c r="C1276" t="s">
        <v>3167</v>
      </c>
      <c r="D1276" t="s">
        <v>1963</v>
      </c>
      <c r="E1276" t="s">
        <v>2020</v>
      </c>
      <c r="F1276" t="s">
        <v>2021</v>
      </c>
      <c r="G1276" t="s">
        <v>2022</v>
      </c>
      <c r="H1276" t="s">
        <v>2023</v>
      </c>
      <c r="I1276" t="s">
        <v>4299</v>
      </c>
      <c r="J1276" t="s">
        <v>1963</v>
      </c>
      <c r="K1276" t="s">
        <v>4294</v>
      </c>
      <c r="L1276" t="s">
        <v>2046</v>
      </c>
      <c r="M1276" t="s">
        <v>4259</v>
      </c>
      <c r="N1276" t="s">
        <v>4260</v>
      </c>
      <c r="O1276" t="s">
        <v>4259</v>
      </c>
      <c r="P1276" t="s">
        <v>4260</v>
      </c>
      <c r="Q1276" t="s">
        <v>4295</v>
      </c>
      <c r="R1276" t="s">
        <v>14</v>
      </c>
      <c r="S1276" t="s">
        <v>4296</v>
      </c>
      <c r="T1276" t="s">
        <v>4297</v>
      </c>
      <c r="U1276" t="s">
        <v>2030</v>
      </c>
      <c r="V1276" t="s">
        <v>14</v>
      </c>
      <c r="W1276" t="b">
        <v>1</v>
      </c>
      <c r="X1276" t="s">
        <v>4298</v>
      </c>
      <c r="Y1276" t="b">
        <v>0</v>
      </c>
      <c r="Z1276" t="s">
        <v>2053</v>
      </c>
    </row>
    <row r="1277" spans="1:26" x14ac:dyDescent="0.35">
      <c r="A1277" t="s">
        <v>728</v>
      </c>
      <c r="B1277" t="s">
        <v>729</v>
      </c>
      <c r="C1277" t="s">
        <v>3167</v>
      </c>
      <c r="D1277" t="s">
        <v>1963</v>
      </c>
      <c r="E1277" t="s">
        <v>2020</v>
      </c>
      <c r="F1277" t="s">
        <v>2021</v>
      </c>
      <c r="G1277" t="s">
        <v>2022</v>
      </c>
      <c r="H1277" t="s">
        <v>2023</v>
      </c>
      <c r="I1277" t="s">
        <v>4199</v>
      </c>
      <c r="J1277" t="s">
        <v>1963</v>
      </c>
      <c r="K1277" t="s">
        <v>4294</v>
      </c>
      <c r="L1277" t="s">
        <v>2046</v>
      </c>
      <c r="M1277" t="s">
        <v>2348</v>
      </c>
      <c r="N1277" t="s">
        <v>2349</v>
      </c>
      <c r="O1277" t="s">
        <v>2348</v>
      </c>
      <c r="P1277" t="s">
        <v>2349</v>
      </c>
      <c r="Q1277" t="s">
        <v>2350</v>
      </c>
      <c r="R1277" t="s">
        <v>14</v>
      </c>
      <c r="S1277" t="s">
        <v>4192</v>
      </c>
      <c r="T1277" t="s">
        <v>4193</v>
      </c>
      <c r="U1277" t="s">
        <v>2030</v>
      </c>
      <c r="V1277" t="s">
        <v>14</v>
      </c>
      <c r="W1277" t="b">
        <v>1</v>
      </c>
      <c r="X1277" t="s">
        <v>4298</v>
      </c>
      <c r="Y1277" t="b">
        <v>0</v>
      </c>
      <c r="Z1277" t="s">
        <v>2053</v>
      </c>
    </row>
    <row r="1278" spans="1:26" x14ac:dyDescent="0.35">
      <c r="A1278" t="s">
        <v>728</v>
      </c>
      <c r="B1278" t="s">
        <v>729</v>
      </c>
      <c r="C1278" t="s">
        <v>3167</v>
      </c>
      <c r="D1278" t="s">
        <v>1963</v>
      </c>
      <c r="E1278" t="s">
        <v>2020</v>
      </c>
      <c r="F1278" t="s">
        <v>2021</v>
      </c>
      <c r="G1278" t="s">
        <v>2022</v>
      </c>
      <c r="H1278" t="s">
        <v>2023</v>
      </c>
      <c r="I1278" t="s">
        <v>71</v>
      </c>
      <c r="J1278" t="s">
        <v>1963</v>
      </c>
      <c r="K1278" t="s">
        <v>4294</v>
      </c>
      <c r="L1278" t="s">
        <v>2046</v>
      </c>
      <c r="M1278" t="s">
        <v>2348</v>
      </c>
      <c r="N1278" t="s">
        <v>2349</v>
      </c>
      <c r="O1278" t="s">
        <v>2348</v>
      </c>
      <c r="P1278" t="s">
        <v>2349</v>
      </c>
      <c r="Q1278" t="s">
        <v>4295</v>
      </c>
      <c r="R1278" t="s">
        <v>14</v>
      </c>
      <c r="S1278" t="s">
        <v>4296</v>
      </c>
      <c r="T1278" t="s">
        <v>4297</v>
      </c>
      <c r="U1278" t="s">
        <v>2030</v>
      </c>
      <c r="V1278" t="s">
        <v>14</v>
      </c>
      <c r="W1278" t="b">
        <v>1</v>
      </c>
      <c r="X1278" t="s">
        <v>4298</v>
      </c>
      <c r="Y1278" t="b">
        <v>0</v>
      </c>
      <c r="Z1278" t="s">
        <v>2081</v>
      </c>
    </row>
    <row r="1279" spans="1:26" x14ac:dyDescent="0.35">
      <c r="A1279" t="s">
        <v>730</v>
      </c>
      <c r="B1279" t="s">
        <v>731</v>
      </c>
      <c r="C1279" t="s">
        <v>3167</v>
      </c>
      <c r="D1279" t="s">
        <v>1963</v>
      </c>
      <c r="E1279" t="s">
        <v>2020</v>
      </c>
      <c r="F1279" t="s">
        <v>2021</v>
      </c>
      <c r="G1279" t="s">
        <v>2022</v>
      </c>
      <c r="H1279" t="s">
        <v>2023</v>
      </c>
      <c r="I1279" t="s">
        <v>4180</v>
      </c>
      <c r="J1279" t="s">
        <v>1963</v>
      </c>
      <c r="K1279" t="s">
        <v>4300</v>
      </c>
      <c r="L1279" t="s">
        <v>2046</v>
      </c>
      <c r="M1279" t="s">
        <v>4181</v>
      </c>
      <c r="N1279" t="s">
        <v>4182</v>
      </c>
      <c r="O1279" t="s">
        <v>4177</v>
      </c>
      <c r="P1279" t="s">
        <v>4178</v>
      </c>
      <c r="Q1279" t="s">
        <v>4179</v>
      </c>
      <c r="R1279" t="s">
        <v>14</v>
      </c>
      <c r="S1279" t="s">
        <v>4181</v>
      </c>
      <c r="T1279" t="s">
        <v>4182</v>
      </c>
      <c r="U1279" t="s">
        <v>2390</v>
      </c>
      <c r="V1279" t="s">
        <v>14</v>
      </c>
      <c r="W1279" t="b">
        <v>1</v>
      </c>
      <c r="X1279" t="s">
        <v>4301</v>
      </c>
      <c r="Y1279" t="b">
        <v>1</v>
      </c>
      <c r="Z1279" t="s">
        <v>2032</v>
      </c>
    </row>
    <row r="1280" spans="1:26" x14ac:dyDescent="0.35">
      <c r="A1280" t="s">
        <v>730</v>
      </c>
      <c r="B1280" t="s">
        <v>731</v>
      </c>
      <c r="C1280" t="s">
        <v>3167</v>
      </c>
      <c r="D1280" t="s">
        <v>1963</v>
      </c>
      <c r="E1280" t="s">
        <v>2020</v>
      </c>
      <c r="F1280" t="s">
        <v>2021</v>
      </c>
      <c r="G1280" t="s">
        <v>2022</v>
      </c>
      <c r="H1280" t="s">
        <v>2023</v>
      </c>
      <c r="I1280" t="s">
        <v>4183</v>
      </c>
      <c r="J1280" t="s">
        <v>1963</v>
      </c>
      <c r="K1280" t="s">
        <v>4300</v>
      </c>
      <c r="L1280" t="s">
        <v>2046</v>
      </c>
      <c r="M1280" t="s">
        <v>3591</v>
      </c>
      <c r="N1280" t="s">
        <v>3592</v>
      </c>
      <c r="O1280" t="s">
        <v>4177</v>
      </c>
      <c r="P1280" t="s">
        <v>4178</v>
      </c>
      <c r="Q1280" t="s">
        <v>4179</v>
      </c>
      <c r="R1280" t="s">
        <v>14</v>
      </c>
      <c r="S1280" t="s">
        <v>4174</v>
      </c>
      <c r="T1280" t="s">
        <v>4175</v>
      </c>
      <c r="U1280" t="s">
        <v>2390</v>
      </c>
      <c r="V1280" t="s">
        <v>14</v>
      </c>
      <c r="W1280" t="b">
        <v>1</v>
      </c>
      <c r="X1280" t="s">
        <v>4301</v>
      </c>
      <c r="Y1280" t="b">
        <v>1</v>
      </c>
      <c r="Z1280" t="s">
        <v>2032</v>
      </c>
    </row>
    <row r="1281" spans="1:26" x14ac:dyDescent="0.35">
      <c r="A1281" t="s">
        <v>730</v>
      </c>
      <c r="B1281" t="s">
        <v>731</v>
      </c>
      <c r="C1281" t="s">
        <v>3167</v>
      </c>
      <c r="D1281" t="s">
        <v>1963</v>
      </c>
      <c r="E1281" t="s">
        <v>2020</v>
      </c>
      <c r="F1281" t="s">
        <v>2021</v>
      </c>
      <c r="G1281" t="s">
        <v>2022</v>
      </c>
      <c r="H1281" t="s">
        <v>2023</v>
      </c>
      <c r="I1281" t="s">
        <v>69</v>
      </c>
      <c r="J1281" t="s">
        <v>1963</v>
      </c>
      <c r="K1281" t="s">
        <v>4300</v>
      </c>
      <c r="L1281" t="s">
        <v>2046</v>
      </c>
      <c r="M1281" t="s">
        <v>4101</v>
      </c>
      <c r="N1281" t="s">
        <v>4102</v>
      </c>
      <c r="O1281" t="s">
        <v>4103</v>
      </c>
      <c r="P1281" t="s">
        <v>4104</v>
      </c>
      <c r="Q1281" t="s">
        <v>14</v>
      </c>
      <c r="R1281" t="s">
        <v>14</v>
      </c>
      <c r="S1281" t="s">
        <v>14</v>
      </c>
      <c r="T1281" t="s">
        <v>14</v>
      </c>
      <c r="U1281" t="s">
        <v>2030</v>
      </c>
      <c r="V1281" t="s">
        <v>14</v>
      </c>
      <c r="W1281" t="b">
        <v>1</v>
      </c>
      <c r="X1281" t="s">
        <v>4301</v>
      </c>
      <c r="Y1281" t="b">
        <v>1</v>
      </c>
      <c r="Z1281" t="s">
        <v>2032</v>
      </c>
    </row>
    <row r="1282" spans="1:26" x14ac:dyDescent="0.35">
      <c r="A1282" t="s">
        <v>730</v>
      </c>
      <c r="B1282" t="s">
        <v>731</v>
      </c>
      <c r="C1282" t="s">
        <v>3167</v>
      </c>
      <c r="D1282" t="s">
        <v>1963</v>
      </c>
      <c r="E1282" t="s">
        <v>2020</v>
      </c>
      <c r="F1282" t="s">
        <v>2021</v>
      </c>
      <c r="G1282" t="s">
        <v>2022</v>
      </c>
      <c r="H1282" t="s">
        <v>2023</v>
      </c>
      <c r="I1282" t="s">
        <v>4172</v>
      </c>
      <c r="J1282" t="s">
        <v>1963</v>
      </c>
      <c r="K1282" t="s">
        <v>4300</v>
      </c>
      <c r="L1282" t="s">
        <v>2046</v>
      </c>
      <c r="M1282" t="s">
        <v>3587</v>
      </c>
      <c r="N1282" t="s">
        <v>3588</v>
      </c>
      <c r="O1282" t="s">
        <v>4169</v>
      </c>
      <c r="P1282" t="s">
        <v>4170</v>
      </c>
      <c r="Q1282" t="s">
        <v>4173</v>
      </c>
      <c r="R1282" t="s">
        <v>14</v>
      </c>
      <c r="S1282" t="s">
        <v>4174</v>
      </c>
      <c r="T1282" t="s">
        <v>4175</v>
      </c>
      <c r="U1282" t="s">
        <v>2390</v>
      </c>
      <c r="V1282" t="s">
        <v>14</v>
      </c>
      <c r="W1282" t="b">
        <v>1</v>
      </c>
      <c r="X1282" t="s">
        <v>4301</v>
      </c>
      <c r="Y1282" t="b">
        <v>1</v>
      </c>
      <c r="Z1282" t="s">
        <v>2032</v>
      </c>
    </row>
    <row r="1283" spans="1:26" x14ac:dyDescent="0.35">
      <c r="A1283" t="s">
        <v>730</v>
      </c>
      <c r="B1283" t="s">
        <v>731</v>
      </c>
      <c r="C1283" t="s">
        <v>3167</v>
      </c>
      <c r="D1283" t="s">
        <v>1963</v>
      </c>
      <c r="E1283" t="s">
        <v>2020</v>
      </c>
      <c r="F1283" t="s">
        <v>2021</v>
      </c>
      <c r="G1283" t="s">
        <v>2022</v>
      </c>
      <c r="H1283" t="s">
        <v>2023</v>
      </c>
      <c r="I1283" t="s">
        <v>4176</v>
      </c>
      <c r="J1283" t="s">
        <v>1963</v>
      </c>
      <c r="K1283" t="s">
        <v>4300</v>
      </c>
      <c r="L1283" t="s">
        <v>2046</v>
      </c>
      <c r="M1283" t="s">
        <v>2399</v>
      </c>
      <c r="N1283" t="s">
        <v>2400</v>
      </c>
      <c r="O1283" t="s">
        <v>4177</v>
      </c>
      <c r="P1283" t="s">
        <v>4178</v>
      </c>
      <c r="Q1283" t="s">
        <v>4179</v>
      </c>
      <c r="R1283" t="s">
        <v>14</v>
      </c>
      <c r="S1283" t="s">
        <v>4174</v>
      </c>
      <c r="T1283" t="s">
        <v>4175</v>
      </c>
      <c r="U1283" t="s">
        <v>2390</v>
      </c>
      <c r="V1283" t="s">
        <v>14</v>
      </c>
      <c r="W1283" t="b">
        <v>1</v>
      </c>
      <c r="X1283" t="s">
        <v>4301</v>
      </c>
      <c r="Y1283" t="b">
        <v>1</v>
      </c>
      <c r="Z1283" t="s">
        <v>2032</v>
      </c>
    </row>
    <row r="1284" spans="1:26" x14ac:dyDescent="0.35">
      <c r="A1284" t="s">
        <v>730</v>
      </c>
      <c r="B1284" t="s">
        <v>731</v>
      </c>
      <c r="C1284" t="s">
        <v>3167</v>
      </c>
      <c r="D1284" t="s">
        <v>1963</v>
      </c>
      <c r="E1284" t="s">
        <v>2020</v>
      </c>
      <c r="F1284" t="s">
        <v>2021</v>
      </c>
      <c r="G1284" t="s">
        <v>2022</v>
      </c>
      <c r="H1284" t="s">
        <v>2023</v>
      </c>
      <c r="I1284" t="s">
        <v>4176</v>
      </c>
      <c r="J1284" t="s">
        <v>1963</v>
      </c>
      <c r="K1284" t="s">
        <v>4300</v>
      </c>
      <c r="L1284" t="s">
        <v>2046</v>
      </c>
      <c r="M1284" t="s">
        <v>2399</v>
      </c>
      <c r="N1284" t="s">
        <v>2400</v>
      </c>
      <c r="O1284" t="s">
        <v>4177</v>
      </c>
      <c r="P1284" t="s">
        <v>4178</v>
      </c>
      <c r="Q1284" t="s">
        <v>4179</v>
      </c>
      <c r="R1284" t="s">
        <v>14</v>
      </c>
      <c r="S1284" t="s">
        <v>4174</v>
      </c>
      <c r="T1284" t="s">
        <v>4175</v>
      </c>
      <c r="U1284" t="s">
        <v>2390</v>
      </c>
      <c r="V1284" t="s">
        <v>14</v>
      </c>
      <c r="W1284" t="b">
        <v>1</v>
      </c>
      <c r="X1284" t="s">
        <v>4301</v>
      </c>
      <c r="Y1284" t="b">
        <v>1</v>
      </c>
      <c r="Z1284" t="s">
        <v>2032</v>
      </c>
    </row>
    <row r="1285" spans="1:26" x14ac:dyDescent="0.35">
      <c r="A1285" t="s">
        <v>730</v>
      </c>
      <c r="B1285" t="s">
        <v>731</v>
      </c>
      <c r="C1285" t="s">
        <v>3167</v>
      </c>
      <c r="D1285" t="s">
        <v>1963</v>
      </c>
      <c r="E1285" t="s">
        <v>2020</v>
      </c>
      <c r="F1285" t="s">
        <v>2021</v>
      </c>
      <c r="G1285" t="s">
        <v>2022</v>
      </c>
      <c r="H1285" t="s">
        <v>2023</v>
      </c>
      <c r="I1285" t="s">
        <v>4167</v>
      </c>
      <c r="J1285" t="s">
        <v>1963</v>
      </c>
      <c r="K1285" t="s">
        <v>4300</v>
      </c>
      <c r="L1285" t="s">
        <v>2046</v>
      </c>
      <c r="M1285" t="s">
        <v>3587</v>
      </c>
      <c r="N1285" t="s">
        <v>3588</v>
      </c>
      <c r="O1285" t="s">
        <v>4169</v>
      </c>
      <c r="P1285" t="s">
        <v>4170</v>
      </c>
      <c r="Q1285" t="s">
        <v>14</v>
      </c>
      <c r="R1285" t="s">
        <v>14</v>
      </c>
      <c r="S1285" t="s">
        <v>14</v>
      </c>
      <c r="T1285" t="s">
        <v>14</v>
      </c>
      <c r="U1285" t="s">
        <v>2390</v>
      </c>
      <c r="V1285" t="s">
        <v>14</v>
      </c>
      <c r="W1285" t="b">
        <v>1</v>
      </c>
      <c r="X1285" t="s">
        <v>4301</v>
      </c>
      <c r="Y1285" t="b">
        <v>1</v>
      </c>
      <c r="Z1285" t="s">
        <v>2032</v>
      </c>
    </row>
    <row r="1286" spans="1:26" x14ac:dyDescent="0.35">
      <c r="A1286" t="s">
        <v>730</v>
      </c>
      <c r="B1286" t="s">
        <v>731</v>
      </c>
      <c r="C1286" t="s">
        <v>3167</v>
      </c>
      <c r="D1286" t="s">
        <v>1963</v>
      </c>
      <c r="E1286" t="s">
        <v>2020</v>
      </c>
      <c r="F1286" t="s">
        <v>2021</v>
      </c>
      <c r="G1286" t="s">
        <v>2022</v>
      </c>
      <c r="H1286" t="s">
        <v>2023</v>
      </c>
      <c r="I1286" t="s">
        <v>4172</v>
      </c>
      <c r="J1286" t="s">
        <v>1963</v>
      </c>
      <c r="K1286" t="s">
        <v>4300</v>
      </c>
      <c r="L1286" t="s">
        <v>2046</v>
      </c>
      <c r="M1286" t="s">
        <v>3587</v>
      </c>
      <c r="N1286" t="s">
        <v>3588</v>
      </c>
      <c r="O1286" t="s">
        <v>4169</v>
      </c>
      <c r="P1286" t="s">
        <v>4170</v>
      </c>
      <c r="Q1286" t="s">
        <v>4173</v>
      </c>
      <c r="R1286" t="s">
        <v>14</v>
      </c>
      <c r="S1286" t="s">
        <v>4174</v>
      </c>
      <c r="T1286" t="s">
        <v>4175</v>
      </c>
      <c r="U1286" t="s">
        <v>2390</v>
      </c>
      <c r="V1286" t="s">
        <v>14</v>
      </c>
      <c r="W1286" t="b">
        <v>1</v>
      </c>
      <c r="X1286" t="s">
        <v>4301</v>
      </c>
      <c r="Y1286" t="b">
        <v>1</v>
      </c>
      <c r="Z1286" t="s">
        <v>2032</v>
      </c>
    </row>
    <row r="1287" spans="1:26" x14ac:dyDescent="0.35">
      <c r="A1287" t="s">
        <v>730</v>
      </c>
      <c r="B1287" t="s">
        <v>731</v>
      </c>
      <c r="C1287" t="s">
        <v>3167</v>
      </c>
      <c r="D1287" t="s">
        <v>1963</v>
      </c>
      <c r="E1287" t="s">
        <v>2020</v>
      </c>
      <c r="F1287" t="s">
        <v>2021</v>
      </c>
      <c r="G1287" t="s">
        <v>2022</v>
      </c>
      <c r="H1287" t="s">
        <v>2023</v>
      </c>
      <c r="I1287" t="s">
        <v>4180</v>
      </c>
      <c r="J1287" t="s">
        <v>1963</v>
      </c>
      <c r="K1287" t="s">
        <v>4300</v>
      </c>
      <c r="L1287" t="s">
        <v>2046</v>
      </c>
      <c r="M1287" t="s">
        <v>4181</v>
      </c>
      <c r="N1287" t="s">
        <v>4182</v>
      </c>
      <c r="O1287" t="s">
        <v>4177</v>
      </c>
      <c r="P1287" t="s">
        <v>4178</v>
      </c>
      <c r="Q1287" t="s">
        <v>4179</v>
      </c>
      <c r="R1287" t="s">
        <v>14</v>
      </c>
      <c r="S1287" t="s">
        <v>4181</v>
      </c>
      <c r="T1287" t="s">
        <v>4182</v>
      </c>
      <c r="U1287" t="s">
        <v>2390</v>
      </c>
      <c r="V1287" t="s">
        <v>14</v>
      </c>
      <c r="W1287" t="b">
        <v>1</v>
      </c>
      <c r="X1287" t="s">
        <v>4301</v>
      </c>
      <c r="Y1287" t="b">
        <v>1</v>
      </c>
      <c r="Z1287" t="s">
        <v>2032</v>
      </c>
    </row>
    <row r="1288" spans="1:26" x14ac:dyDescent="0.35">
      <c r="A1288" t="s">
        <v>732</v>
      </c>
      <c r="B1288" t="s">
        <v>733</v>
      </c>
      <c r="C1288" t="s">
        <v>3167</v>
      </c>
      <c r="D1288" t="s">
        <v>1963</v>
      </c>
      <c r="E1288" t="s">
        <v>2020</v>
      </c>
      <c r="F1288" t="s">
        <v>2021</v>
      </c>
      <c r="G1288" t="s">
        <v>2022</v>
      </c>
      <c r="H1288" t="s">
        <v>2023</v>
      </c>
      <c r="I1288" t="s">
        <v>4172</v>
      </c>
      <c r="J1288" t="s">
        <v>1963</v>
      </c>
      <c r="K1288" t="s">
        <v>4302</v>
      </c>
      <c r="L1288" t="s">
        <v>2046</v>
      </c>
      <c r="M1288" t="s">
        <v>3587</v>
      </c>
      <c r="N1288" t="s">
        <v>3588</v>
      </c>
      <c r="O1288" t="s">
        <v>4169</v>
      </c>
      <c r="P1288" t="s">
        <v>4170</v>
      </c>
      <c r="Q1288" t="s">
        <v>4173</v>
      </c>
      <c r="R1288" t="s">
        <v>14</v>
      </c>
      <c r="S1288" t="s">
        <v>4174</v>
      </c>
      <c r="T1288" t="s">
        <v>4175</v>
      </c>
      <c r="U1288" t="s">
        <v>2390</v>
      </c>
      <c r="V1288" t="s">
        <v>14</v>
      </c>
      <c r="W1288" t="b">
        <v>1</v>
      </c>
      <c r="X1288" t="s">
        <v>4303</v>
      </c>
      <c r="Y1288" t="b">
        <v>1</v>
      </c>
      <c r="Z1288" t="s">
        <v>2032</v>
      </c>
    </row>
    <row r="1289" spans="1:26" x14ac:dyDescent="0.35">
      <c r="A1289" t="s">
        <v>732</v>
      </c>
      <c r="B1289" t="s">
        <v>733</v>
      </c>
      <c r="C1289" t="s">
        <v>3167</v>
      </c>
      <c r="D1289" t="s">
        <v>1963</v>
      </c>
      <c r="E1289" t="s">
        <v>2020</v>
      </c>
      <c r="F1289" t="s">
        <v>2021</v>
      </c>
      <c r="G1289" t="s">
        <v>2022</v>
      </c>
      <c r="H1289" t="s">
        <v>2023</v>
      </c>
      <c r="I1289" t="s">
        <v>4180</v>
      </c>
      <c r="J1289" t="s">
        <v>1963</v>
      </c>
      <c r="K1289" t="s">
        <v>4302</v>
      </c>
      <c r="L1289" t="s">
        <v>2046</v>
      </c>
      <c r="M1289" t="s">
        <v>4181</v>
      </c>
      <c r="N1289" t="s">
        <v>4182</v>
      </c>
      <c r="O1289" t="s">
        <v>4177</v>
      </c>
      <c r="P1289" t="s">
        <v>4178</v>
      </c>
      <c r="Q1289" t="s">
        <v>4179</v>
      </c>
      <c r="R1289" t="s">
        <v>14</v>
      </c>
      <c r="S1289" t="s">
        <v>4181</v>
      </c>
      <c r="T1289" t="s">
        <v>4182</v>
      </c>
      <c r="U1289" t="s">
        <v>2390</v>
      </c>
      <c r="V1289" t="s">
        <v>14</v>
      </c>
      <c r="W1289" t="b">
        <v>1</v>
      </c>
      <c r="X1289" t="s">
        <v>4303</v>
      </c>
      <c r="Y1289" t="b">
        <v>1</v>
      </c>
      <c r="Z1289" t="s">
        <v>2032</v>
      </c>
    </row>
    <row r="1290" spans="1:26" x14ac:dyDescent="0.35">
      <c r="A1290" t="s">
        <v>732</v>
      </c>
      <c r="B1290" t="s">
        <v>733</v>
      </c>
      <c r="C1290" t="s">
        <v>3167</v>
      </c>
      <c r="D1290" t="s">
        <v>1963</v>
      </c>
      <c r="E1290" t="s">
        <v>2020</v>
      </c>
      <c r="F1290" t="s">
        <v>2021</v>
      </c>
      <c r="G1290" t="s">
        <v>2022</v>
      </c>
      <c r="H1290" t="s">
        <v>2023</v>
      </c>
      <c r="I1290" t="s">
        <v>4180</v>
      </c>
      <c r="J1290" t="s">
        <v>1963</v>
      </c>
      <c r="K1290" t="s">
        <v>4302</v>
      </c>
      <c r="L1290" t="s">
        <v>2046</v>
      </c>
      <c r="M1290" t="s">
        <v>4181</v>
      </c>
      <c r="N1290" t="s">
        <v>4182</v>
      </c>
      <c r="O1290" t="s">
        <v>4177</v>
      </c>
      <c r="P1290" t="s">
        <v>4178</v>
      </c>
      <c r="Q1290" t="s">
        <v>4179</v>
      </c>
      <c r="R1290" t="s">
        <v>14</v>
      </c>
      <c r="S1290" t="s">
        <v>4181</v>
      </c>
      <c r="T1290" t="s">
        <v>4182</v>
      </c>
      <c r="U1290" t="s">
        <v>2390</v>
      </c>
      <c r="V1290" t="s">
        <v>14</v>
      </c>
      <c r="W1290" t="b">
        <v>1</v>
      </c>
      <c r="X1290" t="s">
        <v>4303</v>
      </c>
      <c r="Y1290" t="b">
        <v>1</v>
      </c>
      <c r="Z1290" t="s">
        <v>2032</v>
      </c>
    </row>
    <row r="1291" spans="1:26" x14ac:dyDescent="0.35">
      <c r="A1291" t="s">
        <v>732</v>
      </c>
      <c r="B1291" t="s">
        <v>733</v>
      </c>
      <c r="C1291" t="s">
        <v>3167</v>
      </c>
      <c r="D1291" t="s">
        <v>1963</v>
      </c>
      <c r="E1291" t="s">
        <v>2020</v>
      </c>
      <c r="F1291" t="s">
        <v>2021</v>
      </c>
      <c r="G1291" t="s">
        <v>2022</v>
      </c>
      <c r="H1291" t="s">
        <v>2023</v>
      </c>
      <c r="I1291" t="s">
        <v>4176</v>
      </c>
      <c r="J1291" t="s">
        <v>1963</v>
      </c>
      <c r="K1291" t="s">
        <v>4302</v>
      </c>
      <c r="L1291" t="s">
        <v>2046</v>
      </c>
      <c r="M1291" t="s">
        <v>2399</v>
      </c>
      <c r="N1291" t="s">
        <v>2400</v>
      </c>
      <c r="O1291" t="s">
        <v>4177</v>
      </c>
      <c r="P1291" t="s">
        <v>4178</v>
      </c>
      <c r="Q1291" t="s">
        <v>4179</v>
      </c>
      <c r="R1291" t="s">
        <v>14</v>
      </c>
      <c r="S1291" t="s">
        <v>4174</v>
      </c>
      <c r="T1291" t="s">
        <v>4175</v>
      </c>
      <c r="U1291" t="s">
        <v>2390</v>
      </c>
      <c r="V1291" t="s">
        <v>14</v>
      </c>
      <c r="W1291" t="b">
        <v>1</v>
      </c>
      <c r="X1291" t="s">
        <v>4303</v>
      </c>
      <c r="Y1291" t="b">
        <v>1</v>
      </c>
      <c r="Z1291" t="s">
        <v>2032</v>
      </c>
    </row>
    <row r="1292" spans="1:26" x14ac:dyDescent="0.35">
      <c r="A1292" t="s">
        <v>732</v>
      </c>
      <c r="B1292" t="s">
        <v>733</v>
      </c>
      <c r="C1292" t="s">
        <v>3167</v>
      </c>
      <c r="D1292" t="s">
        <v>1963</v>
      </c>
      <c r="E1292" t="s">
        <v>2020</v>
      </c>
      <c r="F1292" t="s">
        <v>2021</v>
      </c>
      <c r="G1292" t="s">
        <v>2022</v>
      </c>
      <c r="H1292" t="s">
        <v>2023</v>
      </c>
      <c r="I1292" t="s">
        <v>4183</v>
      </c>
      <c r="J1292" t="s">
        <v>1963</v>
      </c>
      <c r="K1292" t="s">
        <v>4302</v>
      </c>
      <c r="L1292" t="s">
        <v>2046</v>
      </c>
      <c r="M1292" t="s">
        <v>3591</v>
      </c>
      <c r="N1292" t="s">
        <v>3592</v>
      </c>
      <c r="O1292" t="s">
        <v>4177</v>
      </c>
      <c r="P1292" t="s">
        <v>4178</v>
      </c>
      <c r="Q1292" t="s">
        <v>4179</v>
      </c>
      <c r="R1292" t="s">
        <v>14</v>
      </c>
      <c r="S1292" t="s">
        <v>4174</v>
      </c>
      <c r="T1292" t="s">
        <v>4175</v>
      </c>
      <c r="U1292" t="s">
        <v>2390</v>
      </c>
      <c r="V1292" t="s">
        <v>14</v>
      </c>
      <c r="W1292" t="b">
        <v>1</v>
      </c>
      <c r="X1292" t="s">
        <v>4303</v>
      </c>
      <c r="Y1292" t="b">
        <v>1</v>
      </c>
      <c r="Z1292" t="s">
        <v>2032</v>
      </c>
    </row>
    <row r="1293" spans="1:26" x14ac:dyDescent="0.35">
      <c r="A1293" t="s">
        <v>732</v>
      </c>
      <c r="B1293" t="s">
        <v>733</v>
      </c>
      <c r="C1293" t="s">
        <v>3167</v>
      </c>
      <c r="D1293" t="s">
        <v>1963</v>
      </c>
      <c r="E1293" t="s">
        <v>2020</v>
      </c>
      <c r="F1293" t="s">
        <v>2021</v>
      </c>
      <c r="G1293" t="s">
        <v>2022</v>
      </c>
      <c r="H1293" t="s">
        <v>2023</v>
      </c>
      <c r="I1293" t="s">
        <v>4176</v>
      </c>
      <c r="J1293" t="s">
        <v>1963</v>
      </c>
      <c r="K1293" t="s">
        <v>4302</v>
      </c>
      <c r="L1293" t="s">
        <v>2046</v>
      </c>
      <c r="M1293" t="s">
        <v>2399</v>
      </c>
      <c r="N1293" t="s">
        <v>2400</v>
      </c>
      <c r="O1293" t="s">
        <v>4177</v>
      </c>
      <c r="P1293" t="s">
        <v>4178</v>
      </c>
      <c r="Q1293" t="s">
        <v>4179</v>
      </c>
      <c r="R1293" t="s">
        <v>14</v>
      </c>
      <c r="S1293" t="s">
        <v>4174</v>
      </c>
      <c r="T1293" t="s">
        <v>4175</v>
      </c>
      <c r="U1293" t="s">
        <v>2390</v>
      </c>
      <c r="V1293" t="s">
        <v>14</v>
      </c>
      <c r="W1293" t="b">
        <v>1</v>
      </c>
      <c r="X1293" t="s">
        <v>4303</v>
      </c>
      <c r="Y1293" t="b">
        <v>1</v>
      </c>
      <c r="Z1293" t="s">
        <v>2032</v>
      </c>
    </row>
    <row r="1294" spans="1:26" x14ac:dyDescent="0.35">
      <c r="A1294" t="s">
        <v>732</v>
      </c>
      <c r="B1294" t="s">
        <v>733</v>
      </c>
      <c r="C1294" t="s">
        <v>3167</v>
      </c>
      <c r="D1294" t="s">
        <v>1963</v>
      </c>
      <c r="E1294" t="s">
        <v>2020</v>
      </c>
      <c r="F1294" t="s">
        <v>2021</v>
      </c>
      <c r="G1294" t="s">
        <v>2022</v>
      </c>
      <c r="H1294" t="s">
        <v>2023</v>
      </c>
      <c r="I1294" t="s">
        <v>4167</v>
      </c>
      <c r="J1294" t="s">
        <v>1963</v>
      </c>
      <c r="K1294" t="s">
        <v>4302</v>
      </c>
      <c r="L1294" t="s">
        <v>2046</v>
      </c>
      <c r="M1294" t="s">
        <v>3587</v>
      </c>
      <c r="N1294" t="s">
        <v>3588</v>
      </c>
      <c r="O1294" t="s">
        <v>4169</v>
      </c>
      <c r="P1294" t="s">
        <v>4170</v>
      </c>
      <c r="Q1294" t="s">
        <v>14</v>
      </c>
      <c r="R1294" t="s">
        <v>14</v>
      </c>
      <c r="S1294" t="s">
        <v>14</v>
      </c>
      <c r="T1294" t="s">
        <v>14</v>
      </c>
      <c r="U1294" t="s">
        <v>2390</v>
      </c>
      <c r="V1294" t="s">
        <v>14</v>
      </c>
      <c r="W1294" t="b">
        <v>1</v>
      </c>
      <c r="X1294" t="s">
        <v>4303</v>
      </c>
      <c r="Y1294" t="b">
        <v>1</v>
      </c>
      <c r="Z1294" t="s">
        <v>2032</v>
      </c>
    </row>
    <row r="1295" spans="1:26" x14ac:dyDescent="0.35">
      <c r="A1295" t="s">
        <v>732</v>
      </c>
      <c r="B1295" t="s">
        <v>733</v>
      </c>
      <c r="C1295" t="s">
        <v>3167</v>
      </c>
      <c r="D1295" t="s">
        <v>1963</v>
      </c>
      <c r="E1295" t="s">
        <v>2020</v>
      </c>
      <c r="F1295" t="s">
        <v>2021</v>
      </c>
      <c r="G1295" t="s">
        <v>2022</v>
      </c>
      <c r="H1295" t="s">
        <v>2023</v>
      </c>
      <c r="I1295" t="s">
        <v>69</v>
      </c>
      <c r="J1295" t="s">
        <v>1963</v>
      </c>
      <c r="K1295" t="s">
        <v>4302</v>
      </c>
      <c r="L1295" t="s">
        <v>2046</v>
      </c>
      <c r="M1295" t="s">
        <v>4101</v>
      </c>
      <c r="N1295" t="s">
        <v>4102</v>
      </c>
      <c r="O1295" t="s">
        <v>4103</v>
      </c>
      <c r="P1295" t="s">
        <v>4104</v>
      </c>
      <c r="Q1295" t="s">
        <v>14</v>
      </c>
      <c r="R1295" t="s">
        <v>14</v>
      </c>
      <c r="S1295" t="s">
        <v>14</v>
      </c>
      <c r="T1295" t="s">
        <v>14</v>
      </c>
      <c r="U1295" t="s">
        <v>2030</v>
      </c>
      <c r="V1295" t="s">
        <v>14</v>
      </c>
      <c r="W1295" t="b">
        <v>1</v>
      </c>
      <c r="X1295" t="s">
        <v>4303</v>
      </c>
      <c r="Y1295" t="b">
        <v>1</v>
      </c>
      <c r="Z1295" t="s">
        <v>2032</v>
      </c>
    </row>
    <row r="1296" spans="1:26" x14ac:dyDescent="0.35">
      <c r="A1296" t="s">
        <v>732</v>
      </c>
      <c r="B1296" t="s">
        <v>733</v>
      </c>
      <c r="C1296" t="s">
        <v>3167</v>
      </c>
      <c r="D1296" t="s">
        <v>1963</v>
      </c>
      <c r="E1296" t="s">
        <v>2020</v>
      </c>
      <c r="F1296" t="s">
        <v>2021</v>
      </c>
      <c r="G1296" t="s">
        <v>2022</v>
      </c>
      <c r="H1296" t="s">
        <v>2023</v>
      </c>
      <c r="I1296" t="s">
        <v>4172</v>
      </c>
      <c r="J1296" t="s">
        <v>1963</v>
      </c>
      <c r="K1296" t="s">
        <v>4302</v>
      </c>
      <c r="L1296" t="s">
        <v>2046</v>
      </c>
      <c r="M1296" t="s">
        <v>3587</v>
      </c>
      <c r="N1296" t="s">
        <v>3588</v>
      </c>
      <c r="O1296" t="s">
        <v>4169</v>
      </c>
      <c r="P1296" t="s">
        <v>4170</v>
      </c>
      <c r="Q1296" t="s">
        <v>4173</v>
      </c>
      <c r="R1296" t="s">
        <v>14</v>
      </c>
      <c r="S1296" t="s">
        <v>4174</v>
      </c>
      <c r="T1296" t="s">
        <v>4175</v>
      </c>
      <c r="U1296" t="s">
        <v>2390</v>
      </c>
      <c r="V1296" t="s">
        <v>14</v>
      </c>
      <c r="W1296" t="b">
        <v>1</v>
      </c>
      <c r="X1296" t="s">
        <v>4303</v>
      </c>
      <c r="Y1296" t="b">
        <v>1</v>
      </c>
      <c r="Z1296" t="s">
        <v>2032</v>
      </c>
    </row>
    <row r="1297" spans="1:26" x14ac:dyDescent="0.35">
      <c r="A1297" t="s">
        <v>734</v>
      </c>
      <c r="B1297" t="s">
        <v>735</v>
      </c>
      <c r="C1297" t="s">
        <v>3167</v>
      </c>
      <c r="D1297" t="s">
        <v>1963</v>
      </c>
      <c r="E1297" t="s">
        <v>2020</v>
      </c>
      <c r="F1297" t="s">
        <v>2055</v>
      </c>
      <c r="G1297" t="s">
        <v>2056</v>
      </c>
      <c r="H1297" t="s">
        <v>2023</v>
      </c>
      <c r="I1297" t="s">
        <v>4304</v>
      </c>
      <c r="J1297" t="s">
        <v>1963</v>
      </c>
      <c r="K1297" t="s">
        <v>4305</v>
      </c>
      <c r="L1297" t="s">
        <v>2046</v>
      </c>
      <c r="M1297" t="s">
        <v>2348</v>
      </c>
      <c r="N1297" t="s">
        <v>2349</v>
      </c>
      <c r="O1297" t="s">
        <v>2348</v>
      </c>
      <c r="P1297" t="s">
        <v>2349</v>
      </c>
      <c r="Q1297" t="s">
        <v>14</v>
      </c>
      <c r="R1297" t="s">
        <v>14</v>
      </c>
      <c r="S1297" t="s">
        <v>14</v>
      </c>
      <c r="T1297" t="s">
        <v>14</v>
      </c>
      <c r="U1297" t="s">
        <v>2030</v>
      </c>
      <c r="V1297" t="s">
        <v>14</v>
      </c>
      <c r="W1297" t="b">
        <v>1</v>
      </c>
      <c r="X1297" t="s">
        <v>4306</v>
      </c>
      <c r="Y1297" t="b">
        <v>0</v>
      </c>
      <c r="Z1297" t="s">
        <v>2053</v>
      </c>
    </row>
    <row r="1298" spans="1:26" x14ac:dyDescent="0.35">
      <c r="A1298" t="s">
        <v>736</v>
      </c>
      <c r="B1298" t="s">
        <v>737</v>
      </c>
      <c r="C1298" t="s">
        <v>3167</v>
      </c>
      <c r="D1298" t="s">
        <v>1963</v>
      </c>
      <c r="E1298" t="s">
        <v>2020</v>
      </c>
      <c r="F1298" t="s">
        <v>2055</v>
      </c>
      <c r="G1298" t="s">
        <v>2056</v>
      </c>
      <c r="H1298" t="s">
        <v>2023</v>
      </c>
      <c r="I1298" t="s">
        <v>4307</v>
      </c>
      <c r="J1298" t="s">
        <v>1963</v>
      </c>
      <c r="K1298" t="s">
        <v>4308</v>
      </c>
      <c r="L1298" t="s">
        <v>2046</v>
      </c>
      <c r="M1298" t="s">
        <v>4309</v>
      </c>
      <c r="N1298" t="s">
        <v>4310</v>
      </c>
      <c r="O1298" t="s">
        <v>4232</v>
      </c>
      <c r="P1298" t="s">
        <v>4233</v>
      </c>
      <c r="Q1298" t="s">
        <v>14</v>
      </c>
      <c r="R1298" t="s">
        <v>14</v>
      </c>
      <c r="S1298" t="s">
        <v>14</v>
      </c>
      <c r="T1298" t="s">
        <v>14</v>
      </c>
      <c r="U1298" t="s">
        <v>2030</v>
      </c>
      <c r="V1298" t="s">
        <v>14</v>
      </c>
      <c r="W1298" t="b">
        <v>1</v>
      </c>
      <c r="X1298" t="s">
        <v>4311</v>
      </c>
      <c r="Y1298" t="b">
        <v>0</v>
      </c>
      <c r="Z1298" t="s">
        <v>2081</v>
      </c>
    </row>
    <row r="1299" spans="1:26" x14ac:dyDescent="0.35">
      <c r="A1299" t="s">
        <v>738</v>
      </c>
      <c r="B1299" t="s">
        <v>739</v>
      </c>
      <c r="C1299" t="s">
        <v>3167</v>
      </c>
      <c r="D1299" t="s">
        <v>1963</v>
      </c>
      <c r="E1299" t="s">
        <v>3072</v>
      </c>
      <c r="F1299" t="s">
        <v>3073</v>
      </c>
      <c r="G1299" t="s">
        <v>3992</v>
      </c>
      <c r="H1299" t="s">
        <v>2023</v>
      </c>
      <c r="I1299" t="s">
        <v>69</v>
      </c>
      <c r="J1299" t="s">
        <v>1963</v>
      </c>
      <c r="K1299" t="s">
        <v>4079</v>
      </c>
      <c r="L1299" t="s">
        <v>2046</v>
      </c>
      <c r="M1299" t="s">
        <v>4101</v>
      </c>
      <c r="N1299" t="s">
        <v>4102</v>
      </c>
      <c r="O1299" t="s">
        <v>4103</v>
      </c>
      <c r="P1299" t="s">
        <v>4104</v>
      </c>
      <c r="Q1299" t="s">
        <v>14</v>
      </c>
      <c r="R1299" t="s">
        <v>14</v>
      </c>
      <c r="S1299" t="s">
        <v>14</v>
      </c>
      <c r="T1299" t="s">
        <v>14</v>
      </c>
      <c r="U1299" t="s">
        <v>2030</v>
      </c>
      <c r="V1299" t="s">
        <v>14</v>
      </c>
      <c r="W1299" t="b">
        <v>1</v>
      </c>
      <c r="X1299" t="s">
        <v>4312</v>
      </c>
      <c r="Y1299" t="b">
        <v>1</v>
      </c>
      <c r="Z1299" t="s">
        <v>2032</v>
      </c>
    </row>
    <row r="1300" spans="1:26" x14ac:dyDescent="0.35">
      <c r="A1300" t="s">
        <v>738</v>
      </c>
      <c r="B1300" t="s">
        <v>739</v>
      </c>
      <c r="C1300" t="s">
        <v>3167</v>
      </c>
      <c r="D1300" t="s">
        <v>1963</v>
      </c>
      <c r="E1300" t="s">
        <v>3072</v>
      </c>
      <c r="F1300" t="s">
        <v>3073</v>
      </c>
      <c r="G1300" t="s">
        <v>3992</v>
      </c>
      <c r="H1300" t="s">
        <v>2023</v>
      </c>
      <c r="I1300" t="s">
        <v>4172</v>
      </c>
      <c r="J1300" t="s">
        <v>1963</v>
      </c>
      <c r="K1300" t="s">
        <v>4079</v>
      </c>
      <c r="L1300" t="s">
        <v>2046</v>
      </c>
      <c r="M1300" t="s">
        <v>3587</v>
      </c>
      <c r="N1300" t="s">
        <v>3588</v>
      </c>
      <c r="O1300" t="s">
        <v>4169</v>
      </c>
      <c r="P1300" t="s">
        <v>4170</v>
      </c>
      <c r="Q1300" t="s">
        <v>4173</v>
      </c>
      <c r="R1300" t="s">
        <v>14</v>
      </c>
      <c r="S1300" t="s">
        <v>4174</v>
      </c>
      <c r="T1300" t="s">
        <v>4175</v>
      </c>
      <c r="U1300" t="s">
        <v>2390</v>
      </c>
      <c r="V1300" t="s">
        <v>14</v>
      </c>
      <c r="W1300" t="b">
        <v>1</v>
      </c>
      <c r="X1300" t="s">
        <v>4312</v>
      </c>
      <c r="Y1300" t="b">
        <v>1</v>
      </c>
      <c r="Z1300" t="s">
        <v>2032</v>
      </c>
    </row>
    <row r="1301" spans="1:26" x14ac:dyDescent="0.35">
      <c r="A1301" t="s">
        <v>738</v>
      </c>
      <c r="B1301" t="s">
        <v>739</v>
      </c>
      <c r="C1301" t="s">
        <v>3167</v>
      </c>
      <c r="D1301" t="s">
        <v>1963</v>
      </c>
      <c r="E1301" t="s">
        <v>3072</v>
      </c>
      <c r="F1301" t="s">
        <v>3073</v>
      </c>
      <c r="G1301" t="s">
        <v>3992</v>
      </c>
      <c r="H1301" t="s">
        <v>2023</v>
      </c>
      <c r="I1301" t="s">
        <v>4180</v>
      </c>
      <c r="J1301" t="s">
        <v>1963</v>
      </c>
      <c r="K1301" t="s">
        <v>4079</v>
      </c>
      <c r="L1301" t="s">
        <v>2046</v>
      </c>
      <c r="M1301" t="s">
        <v>4181</v>
      </c>
      <c r="N1301" t="s">
        <v>4182</v>
      </c>
      <c r="O1301" t="s">
        <v>4177</v>
      </c>
      <c r="P1301" t="s">
        <v>4178</v>
      </c>
      <c r="Q1301" t="s">
        <v>4179</v>
      </c>
      <c r="R1301" t="s">
        <v>14</v>
      </c>
      <c r="S1301" t="s">
        <v>4181</v>
      </c>
      <c r="T1301" t="s">
        <v>4182</v>
      </c>
      <c r="U1301" t="s">
        <v>2390</v>
      </c>
      <c r="V1301" t="s">
        <v>14</v>
      </c>
      <c r="W1301" t="b">
        <v>1</v>
      </c>
      <c r="X1301" t="s">
        <v>4312</v>
      </c>
      <c r="Y1301" t="b">
        <v>1</v>
      </c>
      <c r="Z1301" t="s">
        <v>2032</v>
      </c>
    </row>
    <row r="1302" spans="1:26" x14ac:dyDescent="0.35">
      <c r="A1302" t="s">
        <v>738</v>
      </c>
      <c r="B1302" t="s">
        <v>739</v>
      </c>
      <c r="C1302" t="s">
        <v>3167</v>
      </c>
      <c r="D1302" t="s">
        <v>1963</v>
      </c>
      <c r="E1302" t="s">
        <v>3072</v>
      </c>
      <c r="F1302" t="s">
        <v>3073</v>
      </c>
      <c r="G1302" t="s">
        <v>3992</v>
      </c>
      <c r="H1302" t="s">
        <v>2023</v>
      </c>
      <c r="I1302" t="s">
        <v>4167</v>
      </c>
      <c r="J1302" t="s">
        <v>1963</v>
      </c>
      <c r="K1302" t="s">
        <v>4079</v>
      </c>
      <c r="L1302" t="s">
        <v>2046</v>
      </c>
      <c r="M1302" t="s">
        <v>3587</v>
      </c>
      <c r="N1302" t="s">
        <v>3588</v>
      </c>
      <c r="O1302" t="s">
        <v>4169</v>
      </c>
      <c r="P1302" t="s">
        <v>4170</v>
      </c>
      <c r="Q1302" t="s">
        <v>14</v>
      </c>
      <c r="R1302" t="s">
        <v>14</v>
      </c>
      <c r="S1302" t="s">
        <v>14</v>
      </c>
      <c r="T1302" t="s">
        <v>14</v>
      </c>
      <c r="U1302" t="s">
        <v>2390</v>
      </c>
      <c r="V1302" t="s">
        <v>14</v>
      </c>
      <c r="W1302" t="b">
        <v>1</v>
      </c>
      <c r="X1302" t="s">
        <v>4312</v>
      </c>
      <c r="Y1302" t="b">
        <v>1</v>
      </c>
      <c r="Z1302" t="s">
        <v>2032</v>
      </c>
    </row>
    <row r="1303" spans="1:26" x14ac:dyDescent="0.35">
      <c r="A1303" t="s">
        <v>738</v>
      </c>
      <c r="B1303" t="s">
        <v>739</v>
      </c>
      <c r="C1303" t="s">
        <v>3167</v>
      </c>
      <c r="D1303" t="s">
        <v>1963</v>
      </c>
      <c r="E1303" t="s">
        <v>3072</v>
      </c>
      <c r="F1303" t="s">
        <v>3073</v>
      </c>
      <c r="G1303" t="s">
        <v>3992</v>
      </c>
      <c r="H1303" t="s">
        <v>2023</v>
      </c>
      <c r="I1303" t="s">
        <v>4172</v>
      </c>
      <c r="J1303" t="s">
        <v>1963</v>
      </c>
      <c r="K1303" t="s">
        <v>4079</v>
      </c>
      <c r="L1303" t="s">
        <v>2046</v>
      </c>
      <c r="M1303" t="s">
        <v>3587</v>
      </c>
      <c r="N1303" t="s">
        <v>3588</v>
      </c>
      <c r="O1303" t="s">
        <v>4169</v>
      </c>
      <c r="P1303" t="s">
        <v>4170</v>
      </c>
      <c r="Q1303" t="s">
        <v>4173</v>
      </c>
      <c r="R1303" t="s">
        <v>14</v>
      </c>
      <c r="S1303" t="s">
        <v>4174</v>
      </c>
      <c r="T1303" t="s">
        <v>4175</v>
      </c>
      <c r="U1303" t="s">
        <v>2390</v>
      </c>
      <c r="V1303" t="s">
        <v>14</v>
      </c>
      <c r="W1303" t="b">
        <v>1</v>
      </c>
      <c r="X1303" t="s">
        <v>4312</v>
      </c>
      <c r="Y1303" t="b">
        <v>1</v>
      </c>
      <c r="Z1303" t="s">
        <v>2032</v>
      </c>
    </row>
    <row r="1304" spans="1:26" x14ac:dyDescent="0.35">
      <c r="A1304" t="s">
        <v>738</v>
      </c>
      <c r="B1304" t="s">
        <v>739</v>
      </c>
      <c r="C1304" t="s">
        <v>3167</v>
      </c>
      <c r="D1304" t="s">
        <v>1963</v>
      </c>
      <c r="E1304" t="s">
        <v>3072</v>
      </c>
      <c r="F1304" t="s">
        <v>3073</v>
      </c>
      <c r="G1304" t="s">
        <v>3992</v>
      </c>
      <c r="H1304" t="s">
        <v>2023</v>
      </c>
      <c r="I1304" t="s">
        <v>4176</v>
      </c>
      <c r="J1304" t="s">
        <v>1963</v>
      </c>
      <c r="K1304" t="s">
        <v>4079</v>
      </c>
      <c r="L1304" t="s">
        <v>2046</v>
      </c>
      <c r="M1304" t="s">
        <v>2399</v>
      </c>
      <c r="N1304" t="s">
        <v>2400</v>
      </c>
      <c r="O1304" t="s">
        <v>4177</v>
      </c>
      <c r="P1304" t="s">
        <v>4178</v>
      </c>
      <c r="Q1304" t="s">
        <v>4179</v>
      </c>
      <c r="R1304" t="s">
        <v>14</v>
      </c>
      <c r="S1304" t="s">
        <v>4174</v>
      </c>
      <c r="T1304" t="s">
        <v>4175</v>
      </c>
      <c r="U1304" t="s">
        <v>2390</v>
      </c>
      <c r="V1304" t="s">
        <v>14</v>
      </c>
      <c r="W1304" t="b">
        <v>1</v>
      </c>
      <c r="X1304" t="s">
        <v>4312</v>
      </c>
      <c r="Y1304" t="b">
        <v>1</v>
      </c>
      <c r="Z1304" t="s">
        <v>2032</v>
      </c>
    </row>
    <row r="1305" spans="1:26" x14ac:dyDescent="0.35">
      <c r="A1305" t="s">
        <v>738</v>
      </c>
      <c r="B1305" t="s">
        <v>739</v>
      </c>
      <c r="C1305" t="s">
        <v>3167</v>
      </c>
      <c r="D1305" t="s">
        <v>1963</v>
      </c>
      <c r="E1305" t="s">
        <v>3072</v>
      </c>
      <c r="F1305" t="s">
        <v>3073</v>
      </c>
      <c r="G1305" t="s">
        <v>3992</v>
      </c>
      <c r="H1305" t="s">
        <v>2023</v>
      </c>
      <c r="I1305" t="s">
        <v>4180</v>
      </c>
      <c r="J1305" t="s">
        <v>1963</v>
      </c>
      <c r="K1305" t="s">
        <v>4079</v>
      </c>
      <c r="L1305" t="s">
        <v>2046</v>
      </c>
      <c r="M1305" t="s">
        <v>4181</v>
      </c>
      <c r="N1305" t="s">
        <v>4182</v>
      </c>
      <c r="O1305" t="s">
        <v>4177</v>
      </c>
      <c r="P1305" t="s">
        <v>4178</v>
      </c>
      <c r="Q1305" t="s">
        <v>4179</v>
      </c>
      <c r="R1305" t="s">
        <v>14</v>
      </c>
      <c r="S1305" t="s">
        <v>4181</v>
      </c>
      <c r="T1305" t="s">
        <v>4182</v>
      </c>
      <c r="U1305" t="s">
        <v>2390</v>
      </c>
      <c r="V1305" t="s">
        <v>14</v>
      </c>
      <c r="W1305" t="b">
        <v>1</v>
      </c>
      <c r="X1305" t="s">
        <v>4312</v>
      </c>
      <c r="Y1305" t="b">
        <v>1</v>
      </c>
      <c r="Z1305" t="s">
        <v>2032</v>
      </c>
    </row>
    <row r="1306" spans="1:26" x14ac:dyDescent="0.35">
      <c r="A1306" t="s">
        <v>738</v>
      </c>
      <c r="B1306" t="s">
        <v>739</v>
      </c>
      <c r="C1306" t="s">
        <v>3167</v>
      </c>
      <c r="D1306" t="s">
        <v>1963</v>
      </c>
      <c r="E1306" t="s">
        <v>3072</v>
      </c>
      <c r="F1306" t="s">
        <v>3073</v>
      </c>
      <c r="G1306" t="s">
        <v>3992</v>
      </c>
      <c r="H1306" t="s">
        <v>2023</v>
      </c>
      <c r="I1306" t="s">
        <v>4176</v>
      </c>
      <c r="J1306" t="s">
        <v>1963</v>
      </c>
      <c r="K1306" t="s">
        <v>4079</v>
      </c>
      <c r="L1306" t="s">
        <v>2046</v>
      </c>
      <c r="M1306" t="s">
        <v>2399</v>
      </c>
      <c r="N1306" t="s">
        <v>2400</v>
      </c>
      <c r="O1306" t="s">
        <v>4177</v>
      </c>
      <c r="P1306" t="s">
        <v>4178</v>
      </c>
      <c r="Q1306" t="s">
        <v>4179</v>
      </c>
      <c r="R1306" t="s">
        <v>14</v>
      </c>
      <c r="S1306" t="s">
        <v>4174</v>
      </c>
      <c r="T1306" t="s">
        <v>4175</v>
      </c>
      <c r="U1306" t="s">
        <v>2390</v>
      </c>
      <c r="V1306" t="s">
        <v>14</v>
      </c>
      <c r="W1306" t="b">
        <v>1</v>
      </c>
      <c r="X1306" t="s">
        <v>4312</v>
      </c>
      <c r="Y1306" t="b">
        <v>1</v>
      </c>
      <c r="Z1306" t="s">
        <v>2032</v>
      </c>
    </row>
    <row r="1307" spans="1:26" x14ac:dyDescent="0.35">
      <c r="A1307" t="s">
        <v>738</v>
      </c>
      <c r="B1307" t="s">
        <v>739</v>
      </c>
      <c r="C1307" t="s">
        <v>3167</v>
      </c>
      <c r="D1307" t="s">
        <v>1963</v>
      </c>
      <c r="E1307" t="s">
        <v>3072</v>
      </c>
      <c r="F1307" t="s">
        <v>3073</v>
      </c>
      <c r="G1307" t="s">
        <v>3992</v>
      </c>
      <c r="H1307" t="s">
        <v>2023</v>
      </c>
      <c r="I1307" t="s">
        <v>4183</v>
      </c>
      <c r="J1307" t="s">
        <v>1963</v>
      </c>
      <c r="K1307" t="s">
        <v>4079</v>
      </c>
      <c r="L1307" t="s">
        <v>2046</v>
      </c>
      <c r="M1307" t="s">
        <v>3591</v>
      </c>
      <c r="N1307" t="s">
        <v>3592</v>
      </c>
      <c r="O1307" t="s">
        <v>4177</v>
      </c>
      <c r="P1307" t="s">
        <v>4178</v>
      </c>
      <c r="Q1307" t="s">
        <v>4179</v>
      </c>
      <c r="R1307" t="s">
        <v>14</v>
      </c>
      <c r="S1307" t="s">
        <v>4174</v>
      </c>
      <c r="T1307" t="s">
        <v>4175</v>
      </c>
      <c r="U1307" t="s">
        <v>2390</v>
      </c>
      <c r="V1307" t="s">
        <v>14</v>
      </c>
      <c r="W1307" t="b">
        <v>1</v>
      </c>
      <c r="X1307" t="s">
        <v>4312</v>
      </c>
      <c r="Y1307" t="b">
        <v>1</v>
      </c>
      <c r="Z1307" t="s">
        <v>2032</v>
      </c>
    </row>
    <row r="1308" spans="1:26" x14ac:dyDescent="0.35">
      <c r="A1308" t="s">
        <v>740</v>
      </c>
      <c r="B1308" t="s">
        <v>4313</v>
      </c>
      <c r="C1308" t="s">
        <v>3167</v>
      </c>
      <c r="D1308" t="s">
        <v>1963</v>
      </c>
      <c r="E1308" t="s">
        <v>3072</v>
      </c>
      <c r="F1308" t="s">
        <v>3073</v>
      </c>
      <c r="G1308" t="s">
        <v>3992</v>
      </c>
      <c r="H1308" t="s">
        <v>2023</v>
      </c>
      <c r="I1308" t="s">
        <v>4276</v>
      </c>
      <c r="J1308" t="s">
        <v>1963</v>
      </c>
      <c r="K1308" t="s">
        <v>4079</v>
      </c>
      <c r="L1308" t="s">
        <v>2046</v>
      </c>
      <c r="M1308" t="s">
        <v>4278</v>
      </c>
      <c r="N1308" t="s">
        <v>4279</v>
      </c>
      <c r="O1308" t="s">
        <v>2401</v>
      </c>
      <c r="P1308" t="s">
        <v>2402</v>
      </c>
      <c r="Q1308" t="s">
        <v>4280</v>
      </c>
      <c r="R1308" t="s">
        <v>14</v>
      </c>
      <c r="S1308" t="s">
        <v>4281</v>
      </c>
      <c r="T1308" t="s">
        <v>4282</v>
      </c>
      <c r="U1308" t="s">
        <v>4283</v>
      </c>
      <c r="V1308" t="s">
        <v>14</v>
      </c>
      <c r="W1308" t="b">
        <v>1</v>
      </c>
      <c r="X1308" t="s">
        <v>4314</v>
      </c>
      <c r="Y1308" t="b">
        <v>1</v>
      </c>
      <c r="Z1308" t="s">
        <v>2081</v>
      </c>
    </row>
    <row r="1309" spans="1:26" x14ac:dyDescent="0.35">
      <c r="A1309" t="s">
        <v>741</v>
      </c>
      <c r="B1309" t="s">
        <v>742</v>
      </c>
      <c r="C1309" t="s">
        <v>3167</v>
      </c>
      <c r="D1309" t="s">
        <v>1963</v>
      </c>
      <c r="E1309" t="s">
        <v>2020</v>
      </c>
      <c r="F1309" t="s">
        <v>2055</v>
      </c>
      <c r="G1309" t="s">
        <v>2056</v>
      </c>
      <c r="H1309" t="s">
        <v>2023</v>
      </c>
      <c r="I1309" t="s">
        <v>4315</v>
      </c>
      <c r="J1309" t="s">
        <v>1963</v>
      </c>
      <c r="K1309" t="s">
        <v>4316</v>
      </c>
      <c r="L1309" t="s">
        <v>2046</v>
      </c>
      <c r="M1309" t="s">
        <v>3620</v>
      </c>
      <c r="N1309" t="s">
        <v>3621</v>
      </c>
      <c r="O1309" t="s">
        <v>2362</v>
      </c>
      <c r="P1309" t="s">
        <v>2363</v>
      </c>
      <c r="Q1309" t="s">
        <v>2844</v>
      </c>
      <c r="R1309" t="s">
        <v>14</v>
      </c>
      <c r="S1309" t="s">
        <v>2845</v>
      </c>
      <c r="T1309" t="s">
        <v>2846</v>
      </c>
      <c r="U1309" t="s">
        <v>2171</v>
      </c>
      <c r="V1309" t="s">
        <v>14</v>
      </c>
      <c r="W1309" t="b">
        <v>1</v>
      </c>
      <c r="X1309" t="s">
        <v>4317</v>
      </c>
      <c r="Y1309" t="b">
        <v>0</v>
      </c>
      <c r="Z1309" t="s">
        <v>2053</v>
      </c>
    </row>
    <row r="1310" spans="1:26" x14ac:dyDescent="0.35">
      <c r="A1310" t="s">
        <v>743</v>
      </c>
      <c r="B1310" t="s">
        <v>744</v>
      </c>
      <c r="C1310" t="s">
        <v>2967</v>
      </c>
      <c r="D1310" t="s">
        <v>1963</v>
      </c>
      <c r="E1310" t="s">
        <v>2020</v>
      </c>
      <c r="F1310" t="s">
        <v>2055</v>
      </c>
      <c r="G1310" t="s">
        <v>2056</v>
      </c>
      <c r="H1310" t="s">
        <v>2023</v>
      </c>
      <c r="I1310" t="s">
        <v>4318</v>
      </c>
      <c r="J1310" t="s">
        <v>1963</v>
      </c>
      <c r="K1310" t="s">
        <v>4319</v>
      </c>
      <c r="L1310" t="s">
        <v>2046</v>
      </c>
      <c r="M1310" t="s">
        <v>4320</v>
      </c>
      <c r="N1310" t="s">
        <v>4321</v>
      </c>
      <c r="O1310" t="s">
        <v>2047</v>
      </c>
      <c r="P1310" t="s">
        <v>2048</v>
      </c>
      <c r="Q1310" t="s">
        <v>4322</v>
      </c>
      <c r="R1310" t="s">
        <v>14</v>
      </c>
      <c r="S1310" t="s">
        <v>2069</v>
      </c>
      <c r="T1310" t="s">
        <v>2070</v>
      </c>
      <c r="U1310" t="s">
        <v>2052</v>
      </c>
      <c r="V1310" t="s">
        <v>14</v>
      </c>
      <c r="W1310" t="b">
        <v>1</v>
      </c>
      <c r="X1310" t="s">
        <v>4323</v>
      </c>
      <c r="Y1310" t="b">
        <v>0</v>
      </c>
      <c r="Z1310" t="s">
        <v>2053</v>
      </c>
    </row>
    <row r="1311" spans="1:26" x14ac:dyDescent="0.35">
      <c r="A1311" t="s">
        <v>743</v>
      </c>
      <c r="B1311" t="s">
        <v>744</v>
      </c>
      <c r="C1311" t="s">
        <v>2967</v>
      </c>
      <c r="D1311" t="s">
        <v>1963</v>
      </c>
      <c r="E1311" t="s">
        <v>2020</v>
      </c>
      <c r="F1311" t="s">
        <v>2055</v>
      </c>
      <c r="G1311" t="s">
        <v>2056</v>
      </c>
      <c r="H1311" t="s">
        <v>2023</v>
      </c>
      <c r="I1311" t="s">
        <v>1426</v>
      </c>
      <c r="J1311" t="s">
        <v>1963</v>
      </c>
      <c r="K1311" t="s">
        <v>4319</v>
      </c>
      <c r="L1311" t="s">
        <v>2046</v>
      </c>
      <c r="M1311" t="s">
        <v>2058</v>
      </c>
      <c r="N1311" t="s">
        <v>2059</v>
      </c>
      <c r="O1311" t="s">
        <v>2060</v>
      </c>
      <c r="P1311" t="s">
        <v>2061</v>
      </c>
      <c r="Q1311" t="s">
        <v>2062</v>
      </c>
      <c r="R1311" t="s">
        <v>14</v>
      </c>
      <c r="S1311" t="s">
        <v>2063</v>
      </c>
      <c r="T1311" t="s">
        <v>2064</v>
      </c>
      <c r="U1311" t="s">
        <v>2052</v>
      </c>
      <c r="V1311" t="s">
        <v>14</v>
      </c>
      <c r="W1311" t="b">
        <v>1</v>
      </c>
      <c r="X1311" t="s">
        <v>4323</v>
      </c>
      <c r="Y1311" t="b">
        <v>0</v>
      </c>
      <c r="Z1311" t="s">
        <v>2053</v>
      </c>
    </row>
    <row r="1312" spans="1:26" x14ac:dyDescent="0.35">
      <c r="A1312" t="s">
        <v>745</v>
      </c>
      <c r="B1312" t="s">
        <v>746</v>
      </c>
      <c r="C1312" t="s">
        <v>3167</v>
      </c>
      <c r="D1312" t="s">
        <v>1963</v>
      </c>
      <c r="E1312" t="s">
        <v>2020</v>
      </c>
      <c r="F1312" t="s">
        <v>2055</v>
      </c>
      <c r="G1312" t="s">
        <v>2056</v>
      </c>
      <c r="H1312" t="s">
        <v>2023</v>
      </c>
      <c r="I1312" t="s">
        <v>4324</v>
      </c>
      <c r="J1312" t="s">
        <v>1963</v>
      </c>
      <c r="K1312" t="s">
        <v>4325</v>
      </c>
      <c r="L1312" t="s">
        <v>2046</v>
      </c>
      <c r="M1312" t="s">
        <v>2635</v>
      </c>
      <c r="N1312" t="s">
        <v>2636</v>
      </c>
      <c r="O1312" t="s">
        <v>2635</v>
      </c>
      <c r="P1312" t="s">
        <v>2636</v>
      </c>
      <c r="Q1312" t="s">
        <v>14</v>
      </c>
      <c r="R1312" t="s">
        <v>14</v>
      </c>
      <c r="S1312" t="s">
        <v>3214</v>
      </c>
      <c r="T1312" t="s">
        <v>3215</v>
      </c>
      <c r="U1312" t="s">
        <v>2171</v>
      </c>
      <c r="V1312" t="s">
        <v>14</v>
      </c>
      <c r="W1312" t="b">
        <v>1</v>
      </c>
      <c r="X1312" t="s">
        <v>4326</v>
      </c>
      <c r="Y1312" t="b">
        <v>0</v>
      </c>
      <c r="Z1312" t="s">
        <v>2081</v>
      </c>
    </row>
    <row r="1313" spans="1:26" x14ac:dyDescent="0.35">
      <c r="A1313" t="s">
        <v>747</v>
      </c>
      <c r="B1313" t="s">
        <v>748</v>
      </c>
      <c r="C1313" t="s">
        <v>3167</v>
      </c>
      <c r="D1313" t="s">
        <v>1963</v>
      </c>
      <c r="E1313" t="s">
        <v>2020</v>
      </c>
      <c r="F1313" t="s">
        <v>2055</v>
      </c>
      <c r="G1313" t="s">
        <v>2056</v>
      </c>
      <c r="H1313" t="s">
        <v>2023</v>
      </c>
      <c r="I1313" t="s">
        <v>4324</v>
      </c>
      <c r="J1313" t="s">
        <v>1963</v>
      </c>
      <c r="K1313" t="s">
        <v>4327</v>
      </c>
      <c r="L1313" t="s">
        <v>2046</v>
      </c>
      <c r="M1313" t="s">
        <v>2635</v>
      </c>
      <c r="N1313" t="s">
        <v>2636</v>
      </c>
      <c r="O1313" t="s">
        <v>2635</v>
      </c>
      <c r="P1313" t="s">
        <v>2636</v>
      </c>
      <c r="Q1313" t="s">
        <v>14</v>
      </c>
      <c r="R1313" t="s">
        <v>14</v>
      </c>
      <c r="S1313" t="s">
        <v>3214</v>
      </c>
      <c r="T1313" t="s">
        <v>3215</v>
      </c>
      <c r="U1313" t="s">
        <v>2171</v>
      </c>
      <c r="V1313" t="s">
        <v>14</v>
      </c>
      <c r="W1313" t="b">
        <v>1</v>
      </c>
      <c r="X1313" t="s">
        <v>4328</v>
      </c>
      <c r="Y1313" t="b">
        <v>0</v>
      </c>
      <c r="Z1313" t="s">
        <v>2081</v>
      </c>
    </row>
    <row r="1314" spans="1:26" x14ac:dyDescent="0.35">
      <c r="A1314" t="s">
        <v>749</v>
      </c>
      <c r="B1314" t="s">
        <v>750</v>
      </c>
      <c r="C1314" t="s">
        <v>3167</v>
      </c>
      <c r="D1314" t="s">
        <v>1963</v>
      </c>
      <c r="E1314" t="s">
        <v>2020</v>
      </c>
      <c r="F1314" t="s">
        <v>2055</v>
      </c>
      <c r="G1314" t="s">
        <v>2056</v>
      </c>
      <c r="H1314" t="s">
        <v>2023</v>
      </c>
      <c r="I1314" t="s">
        <v>4329</v>
      </c>
      <c r="J1314" t="s">
        <v>1963</v>
      </c>
      <c r="K1314" t="s">
        <v>4330</v>
      </c>
      <c r="L1314" t="s">
        <v>2046</v>
      </c>
      <c r="M1314" t="s">
        <v>4331</v>
      </c>
      <c r="N1314" t="s">
        <v>4332</v>
      </c>
      <c r="O1314" t="s">
        <v>2635</v>
      </c>
      <c r="P1314" t="s">
        <v>2636</v>
      </c>
      <c r="Q1314" t="s">
        <v>4333</v>
      </c>
      <c r="R1314" t="s">
        <v>14</v>
      </c>
      <c r="S1314" t="s">
        <v>4334</v>
      </c>
      <c r="T1314" t="s">
        <v>4335</v>
      </c>
      <c r="U1314" t="s">
        <v>2171</v>
      </c>
      <c r="V1314" t="s">
        <v>14</v>
      </c>
      <c r="W1314" t="b">
        <v>1</v>
      </c>
      <c r="X1314" t="s">
        <v>4336</v>
      </c>
      <c r="Y1314" t="b">
        <v>1</v>
      </c>
      <c r="Z1314" t="s">
        <v>2032</v>
      </c>
    </row>
    <row r="1315" spans="1:26" x14ac:dyDescent="0.35">
      <c r="A1315" t="s">
        <v>749</v>
      </c>
      <c r="B1315" t="s">
        <v>750</v>
      </c>
      <c r="C1315" t="s">
        <v>3167</v>
      </c>
      <c r="D1315" t="s">
        <v>1963</v>
      </c>
      <c r="E1315" t="s">
        <v>2020</v>
      </c>
      <c r="F1315" t="s">
        <v>2055</v>
      </c>
      <c r="G1315" t="s">
        <v>2056</v>
      </c>
      <c r="H1315" t="s">
        <v>2023</v>
      </c>
      <c r="I1315" t="s">
        <v>4337</v>
      </c>
      <c r="J1315" t="s">
        <v>1963</v>
      </c>
      <c r="K1315" t="s">
        <v>4330</v>
      </c>
      <c r="L1315" t="s">
        <v>2046</v>
      </c>
      <c r="M1315" t="s">
        <v>3366</v>
      </c>
      <c r="N1315" t="s">
        <v>3367</v>
      </c>
      <c r="O1315" t="s">
        <v>2635</v>
      </c>
      <c r="P1315" t="s">
        <v>2636</v>
      </c>
      <c r="Q1315" t="s">
        <v>4333</v>
      </c>
      <c r="R1315" t="s">
        <v>14</v>
      </c>
      <c r="S1315" t="s">
        <v>4334</v>
      </c>
      <c r="T1315" t="s">
        <v>4335</v>
      </c>
      <c r="U1315" t="s">
        <v>2171</v>
      </c>
      <c r="V1315" t="s">
        <v>14</v>
      </c>
      <c r="W1315" t="b">
        <v>1</v>
      </c>
      <c r="X1315" t="s">
        <v>4336</v>
      </c>
      <c r="Y1315" t="b">
        <v>1</v>
      </c>
      <c r="Z1315" t="s">
        <v>2032</v>
      </c>
    </row>
    <row r="1316" spans="1:26" x14ac:dyDescent="0.35">
      <c r="A1316" t="s">
        <v>749</v>
      </c>
      <c r="B1316" t="s">
        <v>750</v>
      </c>
      <c r="C1316" t="s">
        <v>3167</v>
      </c>
      <c r="D1316" t="s">
        <v>1963</v>
      </c>
      <c r="E1316" t="s">
        <v>2020</v>
      </c>
      <c r="F1316" t="s">
        <v>2055</v>
      </c>
      <c r="G1316" t="s">
        <v>2056</v>
      </c>
      <c r="H1316" t="s">
        <v>2023</v>
      </c>
      <c r="I1316" t="s">
        <v>4338</v>
      </c>
      <c r="J1316" t="s">
        <v>1963</v>
      </c>
      <c r="K1316" t="s">
        <v>4330</v>
      </c>
      <c r="L1316" t="s">
        <v>2046</v>
      </c>
      <c r="M1316" t="s">
        <v>3366</v>
      </c>
      <c r="N1316" t="s">
        <v>3367</v>
      </c>
      <c r="O1316" t="s">
        <v>2635</v>
      </c>
      <c r="P1316" t="s">
        <v>2636</v>
      </c>
      <c r="Q1316" t="s">
        <v>4333</v>
      </c>
      <c r="R1316" t="s">
        <v>14</v>
      </c>
      <c r="S1316" t="s">
        <v>4334</v>
      </c>
      <c r="T1316" t="s">
        <v>4335</v>
      </c>
      <c r="U1316" t="s">
        <v>2171</v>
      </c>
      <c r="V1316" t="s">
        <v>14</v>
      </c>
      <c r="W1316" t="b">
        <v>1</v>
      </c>
      <c r="X1316" t="s">
        <v>4336</v>
      </c>
      <c r="Y1316" t="b">
        <v>1</v>
      </c>
      <c r="Z1316" t="s">
        <v>2032</v>
      </c>
    </row>
    <row r="1317" spans="1:26" x14ac:dyDescent="0.35">
      <c r="A1317" t="s">
        <v>749</v>
      </c>
      <c r="B1317" t="s">
        <v>750</v>
      </c>
      <c r="C1317" t="s">
        <v>3167</v>
      </c>
      <c r="D1317" t="s">
        <v>1963</v>
      </c>
      <c r="E1317" t="s">
        <v>2020</v>
      </c>
      <c r="F1317" t="s">
        <v>2055</v>
      </c>
      <c r="G1317" t="s">
        <v>2056</v>
      </c>
      <c r="H1317" t="s">
        <v>2023</v>
      </c>
      <c r="I1317" t="s">
        <v>4339</v>
      </c>
      <c r="J1317" t="s">
        <v>1963</v>
      </c>
      <c r="K1317" t="s">
        <v>4330</v>
      </c>
      <c r="L1317" t="s">
        <v>2046</v>
      </c>
      <c r="M1317" t="s">
        <v>4340</v>
      </c>
      <c r="N1317" t="s">
        <v>4341</v>
      </c>
      <c r="O1317" t="s">
        <v>2635</v>
      </c>
      <c r="P1317" t="s">
        <v>2636</v>
      </c>
      <c r="Q1317" t="s">
        <v>4333</v>
      </c>
      <c r="R1317" t="s">
        <v>14</v>
      </c>
      <c r="S1317" t="s">
        <v>4334</v>
      </c>
      <c r="T1317" t="s">
        <v>4335</v>
      </c>
      <c r="U1317" t="s">
        <v>2171</v>
      </c>
      <c r="V1317" t="s">
        <v>14</v>
      </c>
      <c r="W1317" t="b">
        <v>1</v>
      </c>
      <c r="X1317" t="s">
        <v>4336</v>
      </c>
      <c r="Y1317" t="b">
        <v>1</v>
      </c>
      <c r="Z1317" t="s">
        <v>2032</v>
      </c>
    </row>
    <row r="1318" spans="1:26" x14ac:dyDescent="0.35">
      <c r="A1318" t="s">
        <v>749</v>
      </c>
      <c r="B1318" t="s">
        <v>750</v>
      </c>
      <c r="C1318" t="s">
        <v>3167</v>
      </c>
      <c r="D1318" t="s">
        <v>1963</v>
      </c>
      <c r="E1318" t="s">
        <v>2020</v>
      </c>
      <c r="F1318" t="s">
        <v>2055</v>
      </c>
      <c r="G1318" t="s">
        <v>2056</v>
      </c>
      <c r="H1318" t="s">
        <v>2023</v>
      </c>
      <c r="I1318" t="s">
        <v>4342</v>
      </c>
      <c r="J1318" t="s">
        <v>1963</v>
      </c>
      <c r="K1318" t="s">
        <v>4330</v>
      </c>
      <c r="L1318" t="s">
        <v>2046</v>
      </c>
      <c r="M1318" t="s">
        <v>4331</v>
      </c>
      <c r="N1318" t="s">
        <v>4332</v>
      </c>
      <c r="O1318" t="s">
        <v>2635</v>
      </c>
      <c r="P1318" t="s">
        <v>2636</v>
      </c>
      <c r="Q1318" t="s">
        <v>4333</v>
      </c>
      <c r="R1318" t="s">
        <v>14</v>
      </c>
      <c r="S1318" t="s">
        <v>4334</v>
      </c>
      <c r="T1318" t="s">
        <v>4335</v>
      </c>
      <c r="U1318" t="s">
        <v>2171</v>
      </c>
      <c r="V1318" t="s">
        <v>14</v>
      </c>
      <c r="W1318" t="b">
        <v>1</v>
      </c>
      <c r="X1318" t="s">
        <v>4336</v>
      </c>
      <c r="Y1318" t="b">
        <v>1</v>
      </c>
      <c r="Z1318" t="s">
        <v>2032</v>
      </c>
    </row>
    <row r="1319" spans="1:26" x14ac:dyDescent="0.35">
      <c r="A1319" t="s">
        <v>749</v>
      </c>
      <c r="B1319" t="s">
        <v>750</v>
      </c>
      <c r="C1319" t="s">
        <v>3167</v>
      </c>
      <c r="D1319" t="s">
        <v>1963</v>
      </c>
      <c r="E1319" t="s">
        <v>2020</v>
      </c>
      <c r="F1319" t="s">
        <v>2055</v>
      </c>
      <c r="G1319" t="s">
        <v>2056</v>
      </c>
      <c r="H1319" t="s">
        <v>2023</v>
      </c>
      <c r="I1319" t="s">
        <v>4343</v>
      </c>
      <c r="J1319" t="s">
        <v>1963</v>
      </c>
      <c r="K1319" t="s">
        <v>4330</v>
      </c>
      <c r="L1319" t="s">
        <v>2046</v>
      </c>
      <c r="M1319" t="s">
        <v>2635</v>
      </c>
      <c r="N1319" t="s">
        <v>2636</v>
      </c>
      <c r="O1319" t="s">
        <v>2635</v>
      </c>
      <c r="P1319" t="s">
        <v>2636</v>
      </c>
      <c r="Q1319" t="s">
        <v>4333</v>
      </c>
      <c r="R1319" t="s">
        <v>14</v>
      </c>
      <c r="S1319" t="s">
        <v>4334</v>
      </c>
      <c r="T1319" t="s">
        <v>4335</v>
      </c>
      <c r="U1319" t="s">
        <v>2171</v>
      </c>
      <c r="V1319" t="s">
        <v>14</v>
      </c>
      <c r="W1319" t="b">
        <v>1</v>
      </c>
      <c r="X1319" t="s">
        <v>4336</v>
      </c>
      <c r="Y1319" t="b">
        <v>1</v>
      </c>
      <c r="Z1319" t="s">
        <v>2032</v>
      </c>
    </row>
    <row r="1320" spans="1:26" x14ac:dyDescent="0.35">
      <c r="A1320" t="s">
        <v>751</v>
      </c>
      <c r="B1320" t="s">
        <v>752</v>
      </c>
      <c r="C1320" t="s">
        <v>3167</v>
      </c>
      <c r="D1320" t="s">
        <v>1963</v>
      </c>
      <c r="E1320" t="s">
        <v>2020</v>
      </c>
      <c r="F1320" t="s">
        <v>2055</v>
      </c>
      <c r="G1320" t="s">
        <v>2056</v>
      </c>
      <c r="H1320" t="s">
        <v>2023</v>
      </c>
      <c r="I1320" t="s">
        <v>4337</v>
      </c>
      <c r="J1320" t="s">
        <v>1963</v>
      </c>
      <c r="K1320" t="s">
        <v>4344</v>
      </c>
      <c r="L1320" t="s">
        <v>2046</v>
      </c>
      <c r="M1320" t="s">
        <v>3366</v>
      </c>
      <c r="N1320" t="s">
        <v>3367</v>
      </c>
      <c r="O1320" t="s">
        <v>2635</v>
      </c>
      <c r="P1320" t="s">
        <v>2636</v>
      </c>
      <c r="Q1320" t="s">
        <v>4333</v>
      </c>
      <c r="R1320" t="s">
        <v>14</v>
      </c>
      <c r="S1320" t="s">
        <v>4334</v>
      </c>
      <c r="T1320" t="s">
        <v>4335</v>
      </c>
      <c r="U1320" t="s">
        <v>2171</v>
      </c>
      <c r="V1320" t="s">
        <v>14</v>
      </c>
      <c r="W1320" t="b">
        <v>1</v>
      </c>
      <c r="X1320" t="s">
        <v>4345</v>
      </c>
      <c r="Y1320" t="b">
        <v>1</v>
      </c>
      <c r="Z1320" t="s">
        <v>2032</v>
      </c>
    </row>
    <row r="1321" spans="1:26" x14ac:dyDescent="0.35">
      <c r="A1321" t="s">
        <v>751</v>
      </c>
      <c r="B1321" t="s">
        <v>752</v>
      </c>
      <c r="C1321" t="s">
        <v>3167</v>
      </c>
      <c r="D1321" t="s">
        <v>1963</v>
      </c>
      <c r="E1321" t="s">
        <v>2020</v>
      </c>
      <c r="F1321" t="s">
        <v>2055</v>
      </c>
      <c r="G1321" t="s">
        <v>2056</v>
      </c>
      <c r="H1321" t="s">
        <v>2023</v>
      </c>
      <c r="I1321" t="s">
        <v>4338</v>
      </c>
      <c r="J1321" t="s">
        <v>1963</v>
      </c>
      <c r="K1321" t="s">
        <v>4344</v>
      </c>
      <c r="L1321" t="s">
        <v>2046</v>
      </c>
      <c r="M1321" t="s">
        <v>3366</v>
      </c>
      <c r="N1321" t="s">
        <v>3367</v>
      </c>
      <c r="O1321" t="s">
        <v>2635</v>
      </c>
      <c r="P1321" t="s">
        <v>2636</v>
      </c>
      <c r="Q1321" t="s">
        <v>4333</v>
      </c>
      <c r="R1321" t="s">
        <v>14</v>
      </c>
      <c r="S1321" t="s">
        <v>4334</v>
      </c>
      <c r="T1321" t="s">
        <v>4335</v>
      </c>
      <c r="U1321" t="s">
        <v>2171</v>
      </c>
      <c r="V1321" t="s">
        <v>14</v>
      </c>
      <c r="W1321" t="b">
        <v>1</v>
      </c>
      <c r="X1321" t="s">
        <v>4345</v>
      </c>
      <c r="Y1321" t="b">
        <v>1</v>
      </c>
      <c r="Z1321" t="s">
        <v>2032</v>
      </c>
    </row>
    <row r="1322" spans="1:26" x14ac:dyDescent="0.35">
      <c r="A1322" t="s">
        <v>751</v>
      </c>
      <c r="B1322" t="s">
        <v>752</v>
      </c>
      <c r="C1322" t="s">
        <v>3167</v>
      </c>
      <c r="D1322" t="s">
        <v>1963</v>
      </c>
      <c r="E1322" t="s">
        <v>2020</v>
      </c>
      <c r="F1322" t="s">
        <v>2055</v>
      </c>
      <c r="G1322" t="s">
        <v>2056</v>
      </c>
      <c r="H1322" t="s">
        <v>2023</v>
      </c>
      <c r="I1322" t="s">
        <v>4342</v>
      </c>
      <c r="J1322" t="s">
        <v>1963</v>
      </c>
      <c r="K1322" t="s">
        <v>4344</v>
      </c>
      <c r="L1322" t="s">
        <v>2046</v>
      </c>
      <c r="M1322" t="s">
        <v>4331</v>
      </c>
      <c r="N1322" t="s">
        <v>4332</v>
      </c>
      <c r="O1322" t="s">
        <v>2635</v>
      </c>
      <c r="P1322" t="s">
        <v>2636</v>
      </c>
      <c r="Q1322" t="s">
        <v>4333</v>
      </c>
      <c r="R1322" t="s">
        <v>14</v>
      </c>
      <c r="S1322" t="s">
        <v>4334</v>
      </c>
      <c r="T1322" t="s">
        <v>4335</v>
      </c>
      <c r="U1322" t="s">
        <v>2171</v>
      </c>
      <c r="V1322" t="s">
        <v>14</v>
      </c>
      <c r="W1322" t="b">
        <v>1</v>
      </c>
      <c r="X1322" t="s">
        <v>4345</v>
      </c>
      <c r="Y1322" t="b">
        <v>1</v>
      </c>
      <c r="Z1322" t="s">
        <v>2032</v>
      </c>
    </row>
    <row r="1323" spans="1:26" x14ac:dyDescent="0.35">
      <c r="A1323" t="s">
        <v>751</v>
      </c>
      <c r="B1323" t="s">
        <v>752</v>
      </c>
      <c r="C1323" t="s">
        <v>3167</v>
      </c>
      <c r="D1323" t="s">
        <v>1963</v>
      </c>
      <c r="E1323" t="s">
        <v>2020</v>
      </c>
      <c r="F1323" t="s">
        <v>2055</v>
      </c>
      <c r="G1323" t="s">
        <v>2056</v>
      </c>
      <c r="H1323" t="s">
        <v>2023</v>
      </c>
      <c r="I1323" t="s">
        <v>4343</v>
      </c>
      <c r="J1323" t="s">
        <v>1963</v>
      </c>
      <c r="K1323" t="s">
        <v>4344</v>
      </c>
      <c r="L1323" t="s">
        <v>2046</v>
      </c>
      <c r="M1323" t="s">
        <v>2635</v>
      </c>
      <c r="N1323" t="s">
        <v>2636</v>
      </c>
      <c r="O1323" t="s">
        <v>2635</v>
      </c>
      <c r="P1323" t="s">
        <v>2636</v>
      </c>
      <c r="Q1323" t="s">
        <v>4333</v>
      </c>
      <c r="R1323" t="s">
        <v>14</v>
      </c>
      <c r="S1323" t="s">
        <v>4334</v>
      </c>
      <c r="T1323" t="s">
        <v>4335</v>
      </c>
      <c r="U1323" t="s">
        <v>2171</v>
      </c>
      <c r="V1323" t="s">
        <v>14</v>
      </c>
      <c r="W1323" t="b">
        <v>1</v>
      </c>
      <c r="X1323" t="s">
        <v>4345</v>
      </c>
      <c r="Y1323" t="b">
        <v>1</v>
      </c>
      <c r="Z1323" t="s">
        <v>2032</v>
      </c>
    </row>
    <row r="1324" spans="1:26" x14ac:dyDescent="0.35">
      <c r="A1324" t="s">
        <v>751</v>
      </c>
      <c r="B1324" t="s">
        <v>752</v>
      </c>
      <c r="C1324" t="s">
        <v>3167</v>
      </c>
      <c r="D1324" t="s">
        <v>1963</v>
      </c>
      <c r="E1324" t="s">
        <v>2020</v>
      </c>
      <c r="F1324" t="s">
        <v>2055</v>
      </c>
      <c r="G1324" t="s">
        <v>2056</v>
      </c>
      <c r="H1324" t="s">
        <v>2023</v>
      </c>
      <c r="I1324" t="s">
        <v>4329</v>
      </c>
      <c r="J1324" t="s">
        <v>1963</v>
      </c>
      <c r="K1324" t="s">
        <v>4344</v>
      </c>
      <c r="L1324" t="s">
        <v>2046</v>
      </c>
      <c r="M1324" t="s">
        <v>4331</v>
      </c>
      <c r="N1324" t="s">
        <v>4332</v>
      </c>
      <c r="O1324" t="s">
        <v>2635</v>
      </c>
      <c r="P1324" t="s">
        <v>2636</v>
      </c>
      <c r="Q1324" t="s">
        <v>4333</v>
      </c>
      <c r="R1324" t="s">
        <v>14</v>
      </c>
      <c r="S1324" t="s">
        <v>4334</v>
      </c>
      <c r="T1324" t="s">
        <v>4335</v>
      </c>
      <c r="U1324" t="s">
        <v>2171</v>
      </c>
      <c r="V1324" t="s">
        <v>14</v>
      </c>
      <c r="W1324" t="b">
        <v>1</v>
      </c>
      <c r="X1324" t="s">
        <v>4345</v>
      </c>
      <c r="Y1324" t="b">
        <v>1</v>
      </c>
      <c r="Z1324" t="s">
        <v>2032</v>
      </c>
    </row>
    <row r="1325" spans="1:26" x14ac:dyDescent="0.35">
      <c r="A1325" t="s">
        <v>751</v>
      </c>
      <c r="B1325" t="s">
        <v>752</v>
      </c>
      <c r="C1325" t="s">
        <v>3167</v>
      </c>
      <c r="D1325" t="s">
        <v>1963</v>
      </c>
      <c r="E1325" t="s">
        <v>2020</v>
      </c>
      <c r="F1325" t="s">
        <v>2055</v>
      </c>
      <c r="G1325" t="s">
        <v>2056</v>
      </c>
      <c r="H1325" t="s">
        <v>2023</v>
      </c>
      <c r="I1325" t="s">
        <v>4339</v>
      </c>
      <c r="J1325" t="s">
        <v>1963</v>
      </c>
      <c r="K1325" t="s">
        <v>4344</v>
      </c>
      <c r="L1325" t="s">
        <v>2046</v>
      </c>
      <c r="M1325" t="s">
        <v>4340</v>
      </c>
      <c r="N1325" t="s">
        <v>4341</v>
      </c>
      <c r="O1325" t="s">
        <v>2635</v>
      </c>
      <c r="P1325" t="s">
        <v>2636</v>
      </c>
      <c r="Q1325" t="s">
        <v>4333</v>
      </c>
      <c r="R1325" t="s">
        <v>14</v>
      </c>
      <c r="S1325" t="s">
        <v>4334</v>
      </c>
      <c r="T1325" t="s">
        <v>4335</v>
      </c>
      <c r="U1325" t="s">
        <v>2171</v>
      </c>
      <c r="V1325" t="s">
        <v>14</v>
      </c>
      <c r="W1325" t="b">
        <v>1</v>
      </c>
      <c r="X1325" t="s">
        <v>4345</v>
      </c>
      <c r="Y1325" t="b">
        <v>1</v>
      </c>
      <c r="Z1325" t="s">
        <v>2032</v>
      </c>
    </row>
    <row r="1326" spans="1:26" x14ac:dyDescent="0.35">
      <c r="A1326" t="s">
        <v>753</v>
      </c>
      <c r="B1326" t="s">
        <v>754</v>
      </c>
      <c r="C1326" t="s">
        <v>3167</v>
      </c>
      <c r="D1326" t="s">
        <v>1963</v>
      </c>
      <c r="E1326" t="s">
        <v>2020</v>
      </c>
      <c r="F1326" t="s">
        <v>2055</v>
      </c>
      <c r="G1326" t="s">
        <v>2056</v>
      </c>
      <c r="H1326" t="s">
        <v>2023</v>
      </c>
      <c r="I1326" t="s">
        <v>4339</v>
      </c>
      <c r="J1326" t="s">
        <v>1963</v>
      </c>
      <c r="K1326" t="s">
        <v>4346</v>
      </c>
      <c r="L1326" t="s">
        <v>2046</v>
      </c>
      <c r="M1326" t="s">
        <v>4340</v>
      </c>
      <c r="N1326" t="s">
        <v>4341</v>
      </c>
      <c r="O1326" t="s">
        <v>2635</v>
      </c>
      <c r="P1326" t="s">
        <v>2636</v>
      </c>
      <c r="Q1326" t="s">
        <v>4333</v>
      </c>
      <c r="R1326" t="s">
        <v>14</v>
      </c>
      <c r="S1326" t="s">
        <v>4334</v>
      </c>
      <c r="T1326" t="s">
        <v>4335</v>
      </c>
      <c r="U1326" t="s">
        <v>2171</v>
      </c>
      <c r="V1326" t="s">
        <v>14</v>
      </c>
      <c r="W1326" t="b">
        <v>1</v>
      </c>
      <c r="X1326" t="s">
        <v>4347</v>
      </c>
      <c r="Y1326" t="b">
        <v>1</v>
      </c>
      <c r="Z1326" t="s">
        <v>2032</v>
      </c>
    </row>
    <row r="1327" spans="1:26" x14ac:dyDescent="0.35">
      <c r="A1327" t="s">
        <v>753</v>
      </c>
      <c r="B1327" t="s">
        <v>754</v>
      </c>
      <c r="C1327" t="s">
        <v>3167</v>
      </c>
      <c r="D1327" t="s">
        <v>1963</v>
      </c>
      <c r="E1327" t="s">
        <v>2020</v>
      </c>
      <c r="F1327" t="s">
        <v>2055</v>
      </c>
      <c r="G1327" t="s">
        <v>2056</v>
      </c>
      <c r="H1327" t="s">
        <v>2023</v>
      </c>
      <c r="I1327" t="s">
        <v>4342</v>
      </c>
      <c r="J1327" t="s">
        <v>1963</v>
      </c>
      <c r="K1327" t="s">
        <v>4346</v>
      </c>
      <c r="L1327" t="s">
        <v>2046</v>
      </c>
      <c r="M1327" t="s">
        <v>4331</v>
      </c>
      <c r="N1327" t="s">
        <v>4332</v>
      </c>
      <c r="O1327" t="s">
        <v>2635</v>
      </c>
      <c r="P1327" t="s">
        <v>2636</v>
      </c>
      <c r="Q1327" t="s">
        <v>4333</v>
      </c>
      <c r="R1327" t="s">
        <v>14</v>
      </c>
      <c r="S1327" t="s">
        <v>4334</v>
      </c>
      <c r="T1327" t="s">
        <v>4335</v>
      </c>
      <c r="U1327" t="s">
        <v>2171</v>
      </c>
      <c r="V1327" t="s">
        <v>14</v>
      </c>
      <c r="W1327" t="b">
        <v>1</v>
      </c>
      <c r="X1327" t="s">
        <v>4347</v>
      </c>
      <c r="Y1327" t="b">
        <v>1</v>
      </c>
      <c r="Z1327" t="s">
        <v>2032</v>
      </c>
    </row>
    <row r="1328" spans="1:26" x14ac:dyDescent="0.35">
      <c r="A1328" t="s">
        <v>753</v>
      </c>
      <c r="B1328" t="s">
        <v>754</v>
      </c>
      <c r="C1328" t="s">
        <v>3167</v>
      </c>
      <c r="D1328" t="s">
        <v>1963</v>
      </c>
      <c r="E1328" t="s">
        <v>2020</v>
      </c>
      <c r="F1328" t="s">
        <v>2055</v>
      </c>
      <c r="G1328" t="s">
        <v>2056</v>
      </c>
      <c r="H1328" t="s">
        <v>2023</v>
      </c>
      <c r="I1328" t="s">
        <v>4338</v>
      </c>
      <c r="J1328" t="s">
        <v>1963</v>
      </c>
      <c r="K1328" t="s">
        <v>4346</v>
      </c>
      <c r="L1328" t="s">
        <v>2046</v>
      </c>
      <c r="M1328" t="s">
        <v>3366</v>
      </c>
      <c r="N1328" t="s">
        <v>3367</v>
      </c>
      <c r="O1328" t="s">
        <v>2635</v>
      </c>
      <c r="P1328" t="s">
        <v>2636</v>
      </c>
      <c r="Q1328" t="s">
        <v>4333</v>
      </c>
      <c r="R1328" t="s">
        <v>14</v>
      </c>
      <c r="S1328" t="s">
        <v>4334</v>
      </c>
      <c r="T1328" t="s">
        <v>4335</v>
      </c>
      <c r="U1328" t="s">
        <v>2171</v>
      </c>
      <c r="V1328" t="s">
        <v>14</v>
      </c>
      <c r="W1328" t="b">
        <v>1</v>
      </c>
      <c r="X1328" t="s">
        <v>4347</v>
      </c>
      <c r="Y1328" t="b">
        <v>1</v>
      </c>
      <c r="Z1328" t="s">
        <v>2032</v>
      </c>
    </row>
    <row r="1329" spans="1:26" x14ac:dyDescent="0.35">
      <c r="A1329" t="s">
        <v>753</v>
      </c>
      <c r="B1329" t="s">
        <v>754</v>
      </c>
      <c r="C1329" t="s">
        <v>3167</v>
      </c>
      <c r="D1329" t="s">
        <v>1963</v>
      </c>
      <c r="E1329" t="s">
        <v>2020</v>
      </c>
      <c r="F1329" t="s">
        <v>2055</v>
      </c>
      <c r="G1329" t="s">
        <v>2056</v>
      </c>
      <c r="H1329" t="s">
        <v>2023</v>
      </c>
      <c r="I1329" t="s">
        <v>4329</v>
      </c>
      <c r="J1329" t="s">
        <v>1963</v>
      </c>
      <c r="K1329" t="s">
        <v>4346</v>
      </c>
      <c r="L1329" t="s">
        <v>2046</v>
      </c>
      <c r="M1329" t="s">
        <v>4331</v>
      </c>
      <c r="N1329" t="s">
        <v>4332</v>
      </c>
      <c r="O1329" t="s">
        <v>2635</v>
      </c>
      <c r="P1329" t="s">
        <v>2636</v>
      </c>
      <c r="Q1329" t="s">
        <v>4333</v>
      </c>
      <c r="R1329" t="s">
        <v>14</v>
      </c>
      <c r="S1329" t="s">
        <v>4334</v>
      </c>
      <c r="T1329" t="s">
        <v>4335</v>
      </c>
      <c r="U1329" t="s">
        <v>2171</v>
      </c>
      <c r="V1329" t="s">
        <v>14</v>
      </c>
      <c r="W1329" t="b">
        <v>1</v>
      </c>
      <c r="X1329" t="s">
        <v>4347</v>
      </c>
      <c r="Y1329" t="b">
        <v>1</v>
      </c>
      <c r="Z1329" t="s">
        <v>2032</v>
      </c>
    </row>
    <row r="1330" spans="1:26" x14ac:dyDescent="0.35">
      <c r="A1330" t="s">
        <v>753</v>
      </c>
      <c r="B1330" t="s">
        <v>754</v>
      </c>
      <c r="C1330" t="s">
        <v>3167</v>
      </c>
      <c r="D1330" t="s">
        <v>1963</v>
      </c>
      <c r="E1330" t="s">
        <v>2020</v>
      </c>
      <c r="F1330" t="s">
        <v>2055</v>
      </c>
      <c r="G1330" t="s">
        <v>2056</v>
      </c>
      <c r="H1330" t="s">
        <v>2023</v>
      </c>
      <c r="I1330" t="s">
        <v>4337</v>
      </c>
      <c r="J1330" t="s">
        <v>1963</v>
      </c>
      <c r="K1330" t="s">
        <v>4346</v>
      </c>
      <c r="L1330" t="s">
        <v>2046</v>
      </c>
      <c r="M1330" t="s">
        <v>3366</v>
      </c>
      <c r="N1330" t="s">
        <v>3367</v>
      </c>
      <c r="O1330" t="s">
        <v>2635</v>
      </c>
      <c r="P1330" t="s">
        <v>2636</v>
      </c>
      <c r="Q1330" t="s">
        <v>4333</v>
      </c>
      <c r="R1330" t="s">
        <v>14</v>
      </c>
      <c r="S1330" t="s">
        <v>4334</v>
      </c>
      <c r="T1330" t="s">
        <v>4335</v>
      </c>
      <c r="U1330" t="s">
        <v>2171</v>
      </c>
      <c r="V1330" t="s">
        <v>14</v>
      </c>
      <c r="W1330" t="b">
        <v>1</v>
      </c>
      <c r="X1330" t="s">
        <v>4347</v>
      </c>
      <c r="Y1330" t="b">
        <v>1</v>
      </c>
      <c r="Z1330" t="s">
        <v>2032</v>
      </c>
    </row>
    <row r="1331" spans="1:26" x14ac:dyDescent="0.35">
      <c r="A1331" t="s">
        <v>755</v>
      </c>
      <c r="B1331" t="s">
        <v>756</v>
      </c>
      <c r="C1331" t="s">
        <v>3167</v>
      </c>
      <c r="D1331" t="s">
        <v>1963</v>
      </c>
      <c r="E1331" t="s">
        <v>2020</v>
      </c>
      <c r="F1331" t="s">
        <v>2055</v>
      </c>
      <c r="G1331" t="s">
        <v>2056</v>
      </c>
      <c r="H1331" t="s">
        <v>2023</v>
      </c>
      <c r="I1331" t="s">
        <v>4337</v>
      </c>
      <c r="J1331" t="s">
        <v>1963</v>
      </c>
      <c r="K1331" t="s">
        <v>4348</v>
      </c>
      <c r="L1331" t="s">
        <v>2046</v>
      </c>
      <c r="M1331" t="s">
        <v>3366</v>
      </c>
      <c r="N1331" t="s">
        <v>3367</v>
      </c>
      <c r="O1331" t="s">
        <v>2635</v>
      </c>
      <c r="P1331" t="s">
        <v>2636</v>
      </c>
      <c r="Q1331" t="s">
        <v>4333</v>
      </c>
      <c r="R1331" t="s">
        <v>14</v>
      </c>
      <c r="S1331" t="s">
        <v>4334</v>
      </c>
      <c r="T1331" t="s">
        <v>4335</v>
      </c>
      <c r="U1331" t="s">
        <v>2171</v>
      </c>
      <c r="V1331" t="s">
        <v>14</v>
      </c>
      <c r="W1331" t="b">
        <v>1</v>
      </c>
      <c r="X1331" t="s">
        <v>4349</v>
      </c>
      <c r="Y1331" t="b">
        <v>1</v>
      </c>
      <c r="Z1331" t="s">
        <v>2032</v>
      </c>
    </row>
    <row r="1332" spans="1:26" x14ac:dyDescent="0.35">
      <c r="A1332" t="s">
        <v>755</v>
      </c>
      <c r="B1332" t="s">
        <v>756</v>
      </c>
      <c r="C1332" t="s">
        <v>3167</v>
      </c>
      <c r="D1332" t="s">
        <v>1963</v>
      </c>
      <c r="E1332" t="s">
        <v>2020</v>
      </c>
      <c r="F1332" t="s">
        <v>2055</v>
      </c>
      <c r="G1332" t="s">
        <v>2056</v>
      </c>
      <c r="H1332" t="s">
        <v>2023</v>
      </c>
      <c r="I1332" t="s">
        <v>4343</v>
      </c>
      <c r="J1332" t="s">
        <v>1963</v>
      </c>
      <c r="K1332" t="s">
        <v>4348</v>
      </c>
      <c r="L1332" t="s">
        <v>2046</v>
      </c>
      <c r="M1332" t="s">
        <v>2635</v>
      </c>
      <c r="N1332" t="s">
        <v>2636</v>
      </c>
      <c r="O1332" t="s">
        <v>2635</v>
      </c>
      <c r="P1332" t="s">
        <v>2636</v>
      </c>
      <c r="Q1332" t="s">
        <v>4333</v>
      </c>
      <c r="R1332" t="s">
        <v>14</v>
      </c>
      <c r="S1332" t="s">
        <v>4334</v>
      </c>
      <c r="T1332" t="s">
        <v>4335</v>
      </c>
      <c r="U1332" t="s">
        <v>2171</v>
      </c>
      <c r="V1332" t="s">
        <v>14</v>
      </c>
      <c r="W1332" t="b">
        <v>1</v>
      </c>
      <c r="X1332" t="s">
        <v>4349</v>
      </c>
      <c r="Y1332" t="b">
        <v>1</v>
      </c>
      <c r="Z1332" t="s">
        <v>2032</v>
      </c>
    </row>
    <row r="1333" spans="1:26" x14ac:dyDescent="0.35">
      <c r="A1333" t="s">
        <v>755</v>
      </c>
      <c r="B1333" t="s">
        <v>756</v>
      </c>
      <c r="C1333" t="s">
        <v>3167</v>
      </c>
      <c r="D1333" t="s">
        <v>1963</v>
      </c>
      <c r="E1333" t="s">
        <v>2020</v>
      </c>
      <c r="F1333" t="s">
        <v>2055</v>
      </c>
      <c r="G1333" t="s">
        <v>2056</v>
      </c>
      <c r="H1333" t="s">
        <v>2023</v>
      </c>
      <c r="I1333" t="s">
        <v>4329</v>
      </c>
      <c r="J1333" t="s">
        <v>1963</v>
      </c>
      <c r="K1333" t="s">
        <v>4348</v>
      </c>
      <c r="L1333" t="s">
        <v>2046</v>
      </c>
      <c r="M1333" t="s">
        <v>4331</v>
      </c>
      <c r="N1333" t="s">
        <v>4332</v>
      </c>
      <c r="O1333" t="s">
        <v>2635</v>
      </c>
      <c r="P1333" t="s">
        <v>2636</v>
      </c>
      <c r="Q1333" t="s">
        <v>4333</v>
      </c>
      <c r="R1333" t="s">
        <v>14</v>
      </c>
      <c r="S1333" t="s">
        <v>4334</v>
      </c>
      <c r="T1333" t="s">
        <v>4335</v>
      </c>
      <c r="U1333" t="s">
        <v>2171</v>
      </c>
      <c r="V1333" t="s">
        <v>14</v>
      </c>
      <c r="W1333" t="b">
        <v>1</v>
      </c>
      <c r="X1333" t="s">
        <v>4349</v>
      </c>
      <c r="Y1333" t="b">
        <v>1</v>
      </c>
      <c r="Z1333" t="s">
        <v>2032</v>
      </c>
    </row>
    <row r="1334" spans="1:26" x14ac:dyDescent="0.35">
      <c r="A1334" t="s">
        <v>755</v>
      </c>
      <c r="B1334" t="s">
        <v>756</v>
      </c>
      <c r="C1334" t="s">
        <v>3167</v>
      </c>
      <c r="D1334" t="s">
        <v>1963</v>
      </c>
      <c r="E1334" t="s">
        <v>2020</v>
      </c>
      <c r="F1334" t="s">
        <v>2055</v>
      </c>
      <c r="G1334" t="s">
        <v>2056</v>
      </c>
      <c r="H1334" t="s">
        <v>2023</v>
      </c>
      <c r="I1334" t="s">
        <v>4342</v>
      </c>
      <c r="J1334" t="s">
        <v>1963</v>
      </c>
      <c r="K1334" t="s">
        <v>4348</v>
      </c>
      <c r="L1334" t="s">
        <v>2046</v>
      </c>
      <c r="M1334" t="s">
        <v>4331</v>
      </c>
      <c r="N1334" t="s">
        <v>4332</v>
      </c>
      <c r="O1334" t="s">
        <v>2635</v>
      </c>
      <c r="P1334" t="s">
        <v>2636</v>
      </c>
      <c r="Q1334" t="s">
        <v>4333</v>
      </c>
      <c r="R1334" t="s">
        <v>14</v>
      </c>
      <c r="S1334" t="s">
        <v>4334</v>
      </c>
      <c r="T1334" t="s">
        <v>4335</v>
      </c>
      <c r="U1334" t="s">
        <v>2171</v>
      </c>
      <c r="V1334" t="s">
        <v>14</v>
      </c>
      <c r="W1334" t="b">
        <v>1</v>
      </c>
      <c r="X1334" t="s">
        <v>4349</v>
      </c>
      <c r="Y1334" t="b">
        <v>1</v>
      </c>
      <c r="Z1334" t="s">
        <v>2032</v>
      </c>
    </row>
    <row r="1335" spans="1:26" x14ac:dyDescent="0.35">
      <c r="A1335" t="s">
        <v>755</v>
      </c>
      <c r="B1335" t="s">
        <v>756</v>
      </c>
      <c r="C1335" t="s">
        <v>3167</v>
      </c>
      <c r="D1335" t="s">
        <v>1963</v>
      </c>
      <c r="E1335" t="s">
        <v>2020</v>
      </c>
      <c r="F1335" t="s">
        <v>2055</v>
      </c>
      <c r="G1335" t="s">
        <v>2056</v>
      </c>
      <c r="H1335" t="s">
        <v>2023</v>
      </c>
      <c r="I1335" t="s">
        <v>4339</v>
      </c>
      <c r="J1335" t="s">
        <v>1963</v>
      </c>
      <c r="K1335" t="s">
        <v>4348</v>
      </c>
      <c r="L1335" t="s">
        <v>2046</v>
      </c>
      <c r="M1335" t="s">
        <v>4340</v>
      </c>
      <c r="N1335" t="s">
        <v>4341</v>
      </c>
      <c r="O1335" t="s">
        <v>2635</v>
      </c>
      <c r="P1335" t="s">
        <v>2636</v>
      </c>
      <c r="Q1335" t="s">
        <v>4333</v>
      </c>
      <c r="R1335" t="s">
        <v>14</v>
      </c>
      <c r="S1335" t="s">
        <v>4334</v>
      </c>
      <c r="T1335" t="s">
        <v>4335</v>
      </c>
      <c r="U1335" t="s">
        <v>2171</v>
      </c>
      <c r="V1335" t="s">
        <v>14</v>
      </c>
      <c r="W1335" t="b">
        <v>1</v>
      </c>
      <c r="X1335" t="s">
        <v>4349</v>
      </c>
      <c r="Y1335" t="b">
        <v>1</v>
      </c>
      <c r="Z1335" t="s">
        <v>2032</v>
      </c>
    </row>
    <row r="1336" spans="1:26" x14ac:dyDescent="0.35">
      <c r="A1336" t="s">
        <v>755</v>
      </c>
      <c r="B1336" t="s">
        <v>756</v>
      </c>
      <c r="C1336" t="s">
        <v>3167</v>
      </c>
      <c r="D1336" t="s">
        <v>1963</v>
      </c>
      <c r="E1336" t="s">
        <v>2020</v>
      </c>
      <c r="F1336" t="s">
        <v>2055</v>
      </c>
      <c r="G1336" t="s">
        <v>2056</v>
      </c>
      <c r="H1336" t="s">
        <v>2023</v>
      </c>
      <c r="I1336" t="s">
        <v>4338</v>
      </c>
      <c r="J1336" t="s">
        <v>1963</v>
      </c>
      <c r="K1336" t="s">
        <v>4348</v>
      </c>
      <c r="L1336" t="s">
        <v>2046</v>
      </c>
      <c r="M1336" t="s">
        <v>3366</v>
      </c>
      <c r="N1336" t="s">
        <v>3367</v>
      </c>
      <c r="O1336" t="s">
        <v>2635</v>
      </c>
      <c r="P1336" t="s">
        <v>2636</v>
      </c>
      <c r="Q1336" t="s">
        <v>4333</v>
      </c>
      <c r="R1336" t="s">
        <v>14</v>
      </c>
      <c r="S1336" t="s">
        <v>4334</v>
      </c>
      <c r="T1336" t="s">
        <v>4335</v>
      </c>
      <c r="U1336" t="s">
        <v>2171</v>
      </c>
      <c r="V1336" t="s">
        <v>14</v>
      </c>
      <c r="W1336" t="b">
        <v>1</v>
      </c>
      <c r="X1336" t="s">
        <v>4349</v>
      </c>
      <c r="Y1336" t="b">
        <v>1</v>
      </c>
      <c r="Z1336" t="s">
        <v>2032</v>
      </c>
    </row>
    <row r="1337" spans="1:26" x14ac:dyDescent="0.35">
      <c r="A1337" t="s">
        <v>757</v>
      </c>
      <c r="B1337" t="s">
        <v>758</v>
      </c>
      <c r="C1337" t="s">
        <v>3167</v>
      </c>
      <c r="D1337" t="s">
        <v>1963</v>
      </c>
      <c r="E1337" t="s">
        <v>2020</v>
      </c>
      <c r="F1337" t="s">
        <v>2021</v>
      </c>
      <c r="G1337" t="s">
        <v>2022</v>
      </c>
      <c r="H1337" t="s">
        <v>2023</v>
      </c>
      <c r="I1337" t="s">
        <v>72</v>
      </c>
      <c r="J1337" t="s">
        <v>1963</v>
      </c>
      <c r="K1337" t="s">
        <v>4350</v>
      </c>
      <c r="L1337" t="s">
        <v>2046</v>
      </c>
      <c r="M1337" t="s">
        <v>4351</v>
      </c>
      <c r="N1337" t="s">
        <v>4352</v>
      </c>
      <c r="O1337" t="s">
        <v>2167</v>
      </c>
      <c r="P1337" t="s">
        <v>2168</v>
      </c>
      <c r="Q1337" t="s">
        <v>14</v>
      </c>
      <c r="R1337" t="s">
        <v>14</v>
      </c>
      <c r="S1337" t="s">
        <v>2169</v>
      </c>
      <c r="T1337" t="s">
        <v>2170</v>
      </c>
      <c r="U1337" t="s">
        <v>2171</v>
      </c>
      <c r="V1337" t="s">
        <v>14</v>
      </c>
      <c r="W1337" t="b">
        <v>1</v>
      </c>
      <c r="X1337" t="s">
        <v>4353</v>
      </c>
      <c r="Y1337" t="b">
        <v>0</v>
      </c>
      <c r="Z1337" t="s">
        <v>2053</v>
      </c>
    </row>
    <row r="1338" spans="1:26" x14ac:dyDescent="0.35">
      <c r="A1338" t="s">
        <v>759</v>
      </c>
      <c r="B1338" t="s">
        <v>760</v>
      </c>
      <c r="C1338" t="s">
        <v>3167</v>
      </c>
      <c r="D1338" t="s">
        <v>1963</v>
      </c>
      <c r="E1338" t="s">
        <v>2020</v>
      </c>
      <c r="F1338" t="s">
        <v>2055</v>
      </c>
      <c r="G1338" t="s">
        <v>2056</v>
      </c>
      <c r="H1338" t="s">
        <v>2023</v>
      </c>
      <c r="I1338" t="s">
        <v>761</v>
      </c>
      <c r="J1338" t="s">
        <v>1963</v>
      </c>
      <c r="K1338" t="s">
        <v>4354</v>
      </c>
      <c r="L1338" t="s">
        <v>2046</v>
      </c>
      <c r="M1338" t="s">
        <v>2120</v>
      </c>
      <c r="N1338" t="s">
        <v>2121</v>
      </c>
      <c r="O1338" t="s">
        <v>2060</v>
      </c>
      <c r="P1338" t="s">
        <v>2061</v>
      </c>
      <c r="Q1338" t="s">
        <v>3892</v>
      </c>
      <c r="R1338" t="s">
        <v>14</v>
      </c>
      <c r="S1338" t="s">
        <v>2123</v>
      </c>
      <c r="T1338" t="s">
        <v>2124</v>
      </c>
      <c r="U1338" t="s">
        <v>2052</v>
      </c>
      <c r="V1338" t="s">
        <v>14</v>
      </c>
      <c r="W1338" t="b">
        <v>1</v>
      </c>
      <c r="X1338" t="s">
        <v>4355</v>
      </c>
      <c r="Y1338" t="b">
        <v>0</v>
      </c>
      <c r="Z1338" t="s">
        <v>2053</v>
      </c>
    </row>
    <row r="1339" spans="1:26" x14ac:dyDescent="0.35">
      <c r="A1339" t="s">
        <v>762</v>
      </c>
      <c r="B1339" t="s">
        <v>763</v>
      </c>
      <c r="C1339" t="s">
        <v>3167</v>
      </c>
      <c r="D1339" t="s">
        <v>1963</v>
      </c>
      <c r="E1339" t="s">
        <v>3072</v>
      </c>
      <c r="F1339" t="s">
        <v>3073</v>
      </c>
      <c r="G1339" t="s">
        <v>3992</v>
      </c>
      <c r="H1339" t="s">
        <v>2023</v>
      </c>
      <c r="I1339" t="s">
        <v>3752</v>
      </c>
      <c r="J1339" t="s">
        <v>1963</v>
      </c>
      <c r="K1339" t="s">
        <v>4079</v>
      </c>
      <c r="L1339" t="s">
        <v>2046</v>
      </c>
      <c r="M1339" t="s">
        <v>3754</v>
      </c>
      <c r="N1339" t="s">
        <v>3755</v>
      </c>
      <c r="O1339" t="s">
        <v>3754</v>
      </c>
      <c r="P1339" t="s">
        <v>3755</v>
      </c>
      <c r="Q1339" t="s">
        <v>2077</v>
      </c>
      <c r="R1339" t="s">
        <v>14</v>
      </c>
      <c r="S1339" t="s">
        <v>3756</v>
      </c>
      <c r="T1339" t="s">
        <v>3757</v>
      </c>
      <c r="U1339" t="s">
        <v>3758</v>
      </c>
      <c r="V1339" t="s">
        <v>14</v>
      </c>
      <c r="W1339" t="b">
        <v>1</v>
      </c>
      <c r="X1339" t="s">
        <v>4356</v>
      </c>
      <c r="Y1339" t="b">
        <v>0</v>
      </c>
      <c r="Z1339" t="s">
        <v>2053</v>
      </c>
    </row>
    <row r="1340" spans="1:26" x14ac:dyDescent="0.35">
      <c r="A1340" t="s">
        <v>764</v>
      </c>
      <c r="B1340" t="s">
        <v>765</v>
      </c>
      <c r="C1340" t="s">
        <v>3167</v>
      </c>
      <c r="D1340" t="s">
        <v>1963</v>
      </c>
      <c r="E1340" t="s">
        <v>3072</v>
      </c>
      <c r="F1340" t="s">
        <v>3073</v>
      </c>
      <c r="G1340" t="s">
        <v>3992</v>
      </c>
      <c r="H1340" t="s">
        <v>2023</v>
      </c>
      <c r="I1340" t="s">
        <v>3752</v>
      </c>
      <c r="J1340" t="s">
        <v>1963</v>
      </c>
      <c r="K1340" t="s">
        <v>4079</v>
      </c>
      <c r="L1340" t="s">
        <v>2046</v>
      </c>
      <c r="M1340" t="s">
        <v>3754</v>
      </c>
      <c r="N1340" t="s">
        <v>3755</v>
      </c>
      <c r="O1340" t="s">
        <v>3754</v>
      </c>
      <c r="P1340" t="s">
        <v>3755</v>
      </c>
      <c r="Q1340" t="s">
        <v>2077</v>
      </c>
      <c r="R1340" t="s">
        <v>14</v>
      </c>
      <c r="S1340" t="s">
        <v>3756</v>
      </c>
      <c r="T1340" t="s">
        <v>3757</v>
      </c>
      <c r="U1340" t="s">
        <v>3758</v>
      </c>
      <c r="V1340" t="s">
        <v>14</v>
      </c>
      <c r="W1340" t="b">
        <v>1</v>
      </c>
      <c r="X1340" t="s">
        <v>4357</v>
      </c>
      <c r="Y1340" t="b">
        <v>0</v>
      </c>
      <c r="Z1340" t="s">
        <v>2053</v>
      </c>
    </row>
    <row r="1341" spans="1:26" x14ac:dyDescent="0.35">
      <c r="A1341" t="s">
        <v>766</v>
      </c>
      <c r="B1341" t="s">
        <v>767</v>
      </c>
      <c r="C1341" t="s">
        <v>3167</v>
      </c>
      <c r="D1341" t="s">
        <v>1963</v>
      </c>
      <c r="E1341" t="s">
        <v>2020</v>
      </c>
      <c r="F1341" t="s">
        <v>2021</v>
      </c>
      <c r="G1341" t="s">
        <v>2022</v>
      </c>
      <c r="H1341" t="s">
        <v>2023</v>
      </c>
      <c r="I1341" t="s">
        <v>76</v>
      </c>
      <c r="J1341" t="s">
        <v>1963</v>
      </c>
      <c r="K1341" t="s">
        <v>4358</v>
      </c>
      <c r="L1341" t="s">
        <v>2046</v>
      </c>
      <c r="M1341" t="s">
        <v>3821</v>
      </c>
      <c r="N1341" t="s">
        <v>3822</v>
      </c>
      <c r="O1341" t="s">
        <v>3579</v>
      </c>
      <c r="P1341" t="s">
        <v>3580</v>
      </c>
      <c r="Q1341" t="s">
        <v>3823</v>
      </c>
      <c r="R1341" t="s">
        <v>14</v>
      </c>
      <c r="S1341" t="s">
        <v>3831</v>
      </c>
      <c r="T1341" t="s">
        <v>3832</v>
      </c>
      <c r="U1341" t="s">
        <v>2390</v>
      </c>
      <c r="V1341" t="s">
        <v>14</v>
      </c>
      <c r="W1341" t="b">
        <v>1</v>
      </c>
      <c r="X1341" t="s">
        <v>4359</v>
      </c>
      <c r="Y1341" t="b">
        <v>0</v>
      </c>
      <c r="Z1341" t="s">
        <v>2032</v>
      </c>
    </row>
    <row r="1342" spans="1:26" x14ac:dyDescent="0.35">
      <c r="A1342" t="s">
        <v>768</v>
      </c>
      <c r="B1342" t="s">
        <v>769</v>
      </c>
      <c r="C1342" t="s">
        <v>3167</v>
      </c>
      <c r="D1342" t="s">
        <v>1963</v>
      </c>
      <c r="E1342" t="s">
        <v>2020</v>
      </c>
      <c r="F1342" t="s">
        <v>2021</v>
      </c>
      <c r="G1342" t="s">
        <v>2022</v>
      </c>
      <c r="H1342" t="s">
        <v>2023</v>
      </c>
      <c r="I1342" t="s">
        <v>3174</v>
      </c>
      <c r="J1342" t="s">
        <v>1963</v>
      </c>
      <c r="K1342" t="s">
        <v>4360</v>
      </c>
      <c r="L1342" t="s">
        <v>2046</v>
      </c>
      <c r="M1342" t="s">
        <v>3176</v>
      </c>
      <c r="N1342" t="s">
        <v>3177</v>
      </c>
      <c r="O1342" t="s">
        <v>3154</v>
      </c>
      <c r="P1342" t="s">
        <v>3155</v>
      </c>
      <c r="Q1342" t="s">
        <v>3178</v>
      </c>
      <c r="R1342" t="s">
        <v>14</v>
      </c>
      <c r="S1342" t="s">
        <v>3179</v>
      </c>
      <c r="T1342" t="s">
        <v>3180</v>
      </c>
      <c r="U1342" t="s">
        <v>3015</v>
      </c>
      <c r="V1342" t="s">
        <v>14</v>
      </c>
      <c r="W1342" t="b">
        <v>1</v>
      </c>
      <c r="X1342" t="s">
        <v>4361</v>
      </c>
      <c r="Y1342" t="b">
        <v>0</v>
      </c>
      <c r="Z1342" t="s">
        <v>2032</v>
      </c>
    </row>
    <row r="1343" spans="1:26" x14ac:dyDescent="0.35">
      <c r="A1343" t="s">
        <v>770</v>
      </c>
      <c r="B1343" t="s">
        <v>771</v>
      </c>
      <c r="C1343" t="s">
        <v>3167</v>
      </c>
      <c r="D1343" t="s">
        <v>1963</v>
      </c>
      <c r="E1343" t="s">
        <v>2020</v>
      </c>
      <c r="F1343" t="s">
        <v>2021</v>
      </c>
      <c r="G1343" t="s">
        <v>2022</v>
      </c>
      <c r="H1343" t="s">
        <v>2023</v>
      </c>
      <c r="I1343" t="s">
        <v>3826</v>
      </c>
      <c r="J1343" t="s">
        <v>1963</v>
      </c>
      <c r="K1343" t="s">
        <v>4362</v>
      </c>
      <c r="L1343" t="s">
        <v>2046</v>
      </c>
      <c r="M1343" t="s">
        <v>3577</v>
      </c>
      <c r="N1343" t="s">
        <v>3578</v>
      </c>
      <c r="O1343" t="s">
        <v>3579</v>
      </c>
      <c r="P1343" t="s">
        <v>3580</v>
      </c>
      <c r="Q1343" t="s">
        <v>14</v>
      </c>
      <c r="R1343" t="s">
        <v>14</v>
      </c>
      <c r="S1343" t="s">
        <v>3818</v>
      </c>
      <c r="T1343" t="s">
        <v>3819</v>
      </c>
      <c r="U1343" t="s">
        <v>2390</v>
      </c>
      <c r="V1343" t="s">
        <v>14</v>
      </c>
      <c r="W1343" t="b">
        <v>1</v>
      </c>
      <c r="X1343" t="s">
        <v>4363</v>
      </c>
      <c r="Y1343" t="b">
        <v>1</v>
      </c>
      <c r="Z1343" t="s">
        <v>2032</v>
      </c>
    </row>
    <row r="1344" spans="1:26" x14ac:dyDescent="0.35">
      <c r="A1344" t="s">
        <v>772</v>
      </c>
      <c r="B1344" t="s">
        <v>14</v>
      </c>
      <c r="C1344" t="s">
        <v>3167</v>
      </c>
      <c r="D1344" t="s">
        <v>1963</v>
      </c>
      <c r="E1344" t="s">
        <v>3072</v>
      </c>
      <c r="F1344" t="s">
        <v>14</v>
      </c>
      <c r="G1344" t="s">
        <v>4364</v>
      </c>
      <c r="H1344" t="s">
        <v>2023</v>
      </c>
      <c r="I1344" t="s">
        <v>784</v>
      </c>
      <c r="J1344" t="s">
        <v>1963</v>
      </c>
      <c r="K1344" t="s">
        <v>4365</v>
      </c>
      <c r="L1344" t="s">
        <v>2046</v>
      </c>
      <c r="M1344" t="s">
        <v>3207</v>
      </c>
      <c r="N1344" t="s">
        <v>3208</v>
      </c>
      <c r="O1344" t="s">
        <v>3207</v>
      </c>
      <c r="P1344" t="s">
        <v>3208</v>
      </c>
      <c r="Q1344" t="s">
        <v>14</v>
      </c>
      <c r="R1344" t="s">
        <v>14</v>
      </c>
      <c r="S1344" t="s">
        <v>14</v>
      </c>
      <c r="T1344" t="s">
        <v>14</v>
      </c>
      <c r="U1344" t="s">
        <v>2030</v>
      </c>
      <c r="V1344" t="s">
        <v>14</v>
      </c>
      <c r="W1344" t="b">
        <v>0</v>
      </c>
      <c r="X1344" t="s">
        <v>14</v>
      </c>
      <c r="Y1344" t="b">
        <v>0</v>
      </c>
      <c r="Z1344" t="s">
        <v>2053</v>
      </c>
    </row>
    <row r="1345" spans="1:26" x14ac:dyDescent="0.35">
      <c r="A1345" t="s">
        <v>772</v>
      </c>
      <c r="B1345" t="s">
        <v>773</v>
      </c>
      <c r="C1345" t="s">
        <v>3167</v>
      </c>
      <c r="D1345" t="s">
        <v>1963</v>
      </c>
      <c r="E1345" t="s">
        <v>3072</v>
      </c>
      <c r="F1345" t="s">
        <v>3073</v>
      </c>
      <c r="G1345" t="s">
        <v>3992</v>
      </c>
      <c r="H1345" t="s">
        <v>2023</v>
      </c>
      <c r="I1345" t="s">
        <v>784</v>
      </c>
      <c r="J1345" t="s">
        <v>1963</v>
      </c>
      <c r="K1345" t="s">
        <v>4365</v>
      </c>
      <c r="L1345" t="s">
        <v>2046</v>
      </c>
      <c r="M1345" t="s">
        <v>3207</v>
      </c>
      <c r="N1345" t="s">
        <v>3208</v>
      </c>
      <c r="O1345" t="s">
        <v>3207</v>
      </c>
      <c r="P1345" t="s">
        <v>3208</v>
      </c>
      <c r="Q1345" t="s">
        <v>14</v>
      </c>
      <c r="R1345" t="s">
        <v>14</v>
      </c>
      <c r="S1345" t="s">
        <v>14</v>
      </c>
      <c r="T1345" t="s">
        <v>14</v>
      </c>
      <c r="U1345" t="s">
        <v>2030</v>
      </c>
      <c r="V1345" t="s">
        <v>14</v>
      </c>
      <c r="W1345" t="b">
        <v>1</v>
      </c>
      <c r="X1345" t="s">
        <v>4366</v>
      </c>
      <c r="Y1345" t="b">
        <v>0</v>
      </c>
      <c r="Z1345" t="s">
        <v>2053</v>
      </c>
    </row>
    <row r="1346" spans="1:26" x14ac:dyDescent="0.35">
      <c r="A1346" t="s">
        <v>774</v>
      </c>
      <c r="B1346" t="s">
        <v>775</v>
      </c>
      <c r="C1346" t="s">
        <v>3167</v>
      </c>
      <c r="D1346" t="s">
        <v>1963</v>
      </c>
      <c r="E1346" t="s">
        <v>3072</v>
      </c>
      <c r="F1346" t="s">
        <v>3073</v>
      </c>
      <c r="G1346" t="s">
        <v>3992</v>
      </c>
      <c r="H1346" t="s">
        <v>2023</v>
      </c>
      <c r="I1346" t="s">
        <v>784</v>
      </c>
      <c r="J1346" t="s">
        <v>1963</v>
      </c>
      <c r="K1346" t="s">
        <v>4367</v>
      </c>
      <c r="L1346" t="s">
        <v>2046</v>
      </c>
      <c r="M1346" t="s">
        <v>3207</v>
      </c>
      <c r="N1346" t="s">
        <v>3208</v>
      </c>
      <c r="O1346" t="s">
        <v>3207</v>
      </c>
      <c r="P1346" t="s">
        <v>3208</v>
      </c>
      <c r="Q1346" t="s">
        <v>14</v>
      </c>
      <c r="R1346" t="s">
        <v>14</v>
      </c>
      <c r="S1346" t="s">
        <v>14</v>
      </c>
      <c r="T1346" t="s">
        <v>14</v>
      </c>
      <c r="U1346" t="s">
        <v>2030</v>
      </c>
      <c r="V1346" t="s">
        <v>14</v>
      </c>
      <c r="W1346" t="b">
        <v>1</v>
      </c>
      <c r="X1346" t="s">
        <v>4368</v>
      </c>
      <c r="Y1346" t="b">
        <v>0</v>
      </c>
      <c r="Z1346" t="s">
        <v>2053</v>
      </c>
    </row>
    <row r="1347" spans="1:26" x14ac:dyDescent="0.35">
      <c r="A1347" t="s">
        <v>774</v>
      </c>
      <c r="B1347" t="s">
        <v>14</v>
      </c>
      <c r="C1347" t="s">
        <v>3167</v>
      </c>
      <c r="D1347" t="s">
        <v>1963</v>
      </c>
      <c r="E1347" t="s">
        <v>3072</v>
      </c>
      <c r="F1347" t="s">
        <v>14</v>
      </c>
      <c r="G1347" t="s">
        <v>4364</v>
      </c>
      <c r="H1347" t="s">
        <v>2023</v>
      </c>
      <c r="I1347" t="s">
        <v>784</v>
      </c>
      <c r="J1347" t="s">
        <v>1963</v>
      </c>
      <c r="K1347" t="s">
        <v>4367</v>
      </c>
      <c r="L1347" t="s">
        <v>2046</v>
      </c>
      <c r="M1347" t="s">
        <v>3207</v>
      </c>
      <c r="N1347" t="s">
        <v>3208</v>
      </c>
      <c r="O1347" t="s">
        <v>3207</v>
      </c>
      <c r="P1347" t="s">
        <v>3208</v>
      </c>
      <c r="Q1347" t="s">
        <v>14</v>
      </c>
      <c r="R1347" t="s">
        <v>14</v>
      </c>
      <c r="S1347" t="s">
        <v>14</v>
      </c>
      <c r="T1347" t="s">
        <v>14</v>
      </c>
      <c r="U1347" t="s">
        <v>2030</v>
      </c>
      <c r="V1347" t="s">
        <v>14</v>
      </c>
      <c r="W1347" t="b">
        <v>0</v>
      </c>
      <c r="X1347" t="s">
        <v>14</v>
      </c>
      <c r="Y1347" t="b">
        <v>0</v>
      </c>
      <c r="Z1347" t="s">
        <v>2053</v>
      </c>
    </row>
    <row r="1348" spans="1:26" x14ac:dyDescent="0.35">
      <c r="A1348" t="s">
        <v>776</v>
      </c>
      <c r="B1348" t="s">
        <v>777</v>
      </c>
      <c r="C1348" t="s">
        <v>3167</v>
      </c>
      <c r="D1348" t="s">
        <v>1963</v>
      </c>
      <c r="E1348" t="s">
        <v>3072</v>
      </c>
      <c r="F1348" t="s">
        <v>3073</v>
      </c>
      <c r="G1348" t="s">
        <v>3992</v>
      </c>
      <c r="H1348" t="s">
        <v>2023</v>
      </c>
      <c r="I1348" t="s">
        <v>784</v>
      </c>
      <c r="J1348" t="s">
        <v>1963</v>
      </c>
      <c r="K1348" t="s">
        <v>4369</v>
      </c>
      <c r="L1348" t="s">
        <v>2046</v>
      </c>
      <c r="M1348" t="s">
        <v>3207</v>
      </c>
      <c r="N1348" t="s">
        <v>3208</v>
      </c>
      <c r="O1348" t="s">
        <v>3207</v>
      </c>
      <c r="P1348" t="s">
        <v>3208</v>
      </c>
      <c r="Q1348" t="s">
        <v>14</v>
      </c>
      <c r="R1348" t="s">
        <v>14</v>
      </c>
      <c r="S1348" t="s">
        <v>14</v>
      </c>
      <c r="T1348" t="s">
        <v>14</v>
      </c>
      <c r="U1348" t="s">
        <v>2030</v>
      </c>
      <c r="V1348" t="s">
        <v>14</v>
      </c>
      <c r="W1348" t="b">
        <v>1</v>
      </c>
      <c r="X1348" t="s">
        <v>4370</v>
      </c>
      <c r="Y1348" t="b">
        <v>0</v>
      </c>
      <c r="Z1348" t="s">
        <v>2053</v>
      </c>
    </row>
    <row r="1349" spans="1:26" x14ac:dyDescent="0.35">
      <c r="A1349" t="s">
        <v>776</v>
      </c>
      <c r="B1349" t="s">
        <v>14</v>
      </c>
      <c r="C1349" t="s">
        <v>3167</v>
      </c>
      <c r="D1349" t="s">
        <v>1963</v>
      </c>
      <c r="E1349" t="s">
        <v>3072</v>
      </c>
      <c r="F1349" t="s">
        <v>14</v>
      </c>
      <c r="G1349" t="s">
        <v>4364</v>
      </c>
      <c r="H1349" t="s">
        <v>2023</v>
      </c>
      <c r="I1349" t="s">
        <v>784</v>
      </c>
      <c r="J1349" t="s">
        <v>1963</v>
      </c>
      <c r="K1349" t="s">
        <v>4369</v>
      </c>
      <c r="L1349" t="s">
        <v>2046</v>
      </c>
      <c r="M1349" t="s">
        <v>3207</v>
      </c>
      <c r="N1349" t="s">
        <v>3208</v>
      </c>
      <c r="O1349" t="s">
        <v>3207</v>
      </c>
      <c r="P1349" t="s">
        <v>3208</v>
      </c>
      <c r="Q1349" t="s">
        <v>14</v>
      </c>
      <c r="R1349" t="s">
        <v>14</v>
      </c>
      <c r="S1349" t="s">
        <v>14</v>
      </c>
      <c r="T1349" t="s">
        <v>14</v>
      </c>
      <c r="U1349" t="s">
        <v>2030</v>
      </c>
      <c r="V1349" t="s">
        <v>14</v>
      </c>
      <c r="W1349" t="b">
        <v>0</v>
      </c>
      <c r="X1349" t="s">
        <v>14</v>
      </c>
      <c r="Y1349" t="b">
        <v>0</v>
      </c>
      <c r="Z1349" t="s">
        <v>2053</v>
      </c>
    </row>
    <row r="1350" spans="1:26" x14ac:dyDescent="0.35">
      <c r="A1350" t="s">
        <v>778</v>
      </c>
      <c r="B1350" t="s">
        <v>779</v>
      </c>
      <c r="C1350" t="s">
        <v>3167</v>
      </c>
      <c r="D1350" t="s">
        <v>1963</v>
      </c>
      <c r="E1350" t="s">
        <v>3072</v>
      </c>
      <c r="F1350" t="s">
        <v>3073</v>
      </c>
      <c r="G1350" t="s">
        <v>3992</v>
      </c>
      <c r="H1350" t="s">
        <v>2023</v>
      </c>
      <c r="I1350" t="s">
        <v>784</v>
      </c>
      <c r="J1350" t="s">
        <v>1963</v>
      </c>
      <c r="K1350" t="s">
        <v>4371</v>
      </c>
      <c r="L1350" t="s">
        <v>2046</v>
      </c>
      <c r="M1350" t="s">
        <v>3207</v>
      </c>
      <c r="N1350" t="s">
        <v>3208</v>
      </c>
      <c r="O1350" t="s">
        <v>3207</v>
      </c>
      <c r="P1350" t="s">
        <v>3208</v>
      </c>
      <c r="Q1350" t="s">
        <v>14</v>
      </c>
      <c r="R1350" t="s">
        <v>14</v>
      </c>
      <c r="S1350" t="s">
        <v>14</v>
      </c>
      <c r="T1350" t="s">
        <v>14</v>
      </c>
      <c r="U1350" t="s">
        <v>2030</v>
      </c>
      <c r="V1350" t="s">
        <v>14</v>
      </c>
      <c r="W1350" t="b">
        <v>1</v>
      </c>
      <c r="X1350" t="s">
        <v>4372</v>
      </c>
      <c r="Y1350" t="b">
        <v>0</v>
      </c>
      <c r="Z1350" t="s">
        <v>2053</v>
      </c>
    </row>
    <row r="1351" spans="1:26" x14ac:dyDescent="0.35">
      <c r="A1351" t="s">
        <v>778</v>
      </c>
      <c r="B1351" t="s">
        <v>14</v>
      </c>
      <c r="C1351" t="s">
        <v>3167</v>
      </c>
      <c r="D1351" t="s">
        <v>1963</v>
      </c>
      <c r="E1351" t="s">
        <v>3072</v>
      </c>
      <c r="F1351" t="s">
        <v>14</v>
      </c>
      <c r="G1351" t="s">
        <v>4364</v>
      </c>
      <c r="H1351" t="s">
        <v>2023</v>
      </c>
      <c r="I1351" t="s">
        <v>784</v>
      </c>
      <c r="J1351" t="s">
        <v>1963</v>
      </c>
      <c r="K1351" t="s">
        <v>4371</v>
      </c>
      <c r="L1351" t="s">
        <v>2046</v>
      </c>
      <c r="M1351" t="s">
        <v>3207</v>
      </c>
      <c r="N1351" t="s">
        <v>3208</v>
      </c>
      <c r="O1351" t="s">
        <v>3207</v>
      </c>
      <c r="P1351" t="s">
        <v>3208</v>
      </c>
      <c r="Q1351" t="s">
        <v>14</v>
      </c>
      <c r="R1351" t="s">
        <v>14</v>
      </c>
      <c r="S1351" t="s">
        <v>14</v>
      </c>
      <c r="T1351" t="s">
        <v>14</v>
      </c>
      <c r="U1351" t="s">
        <v>2030</v>
      </c>
      <c r="V1351" t="s">
        <v>14</v>
      </c>
      <c r="W1351" t="b">
        <v>0</v>
      </c>
      <c r="X1351" t="s">
        <v>14</v>
      </c>
      <c r="Y1351" t="b">
        <v>0</v>
      </c>
      <c r="Z1351" t="s">
        <v>2053</v>
      </c>
    </row>
    <row r="1352" spans="1:26" x14ac:dyDescent="0.35">
      <c r="A1352" t="s">
        <v>780</v>
      </c>
      <c r="B1352" t="s">
        <v>781</v>
      </c>
      <c r="C1352" t="s">
        <v>3167</v>
      </c>
      <c r="D1352" t="s">
        <v>1963</v>
      </c>
      <c r="E1352" t="s">
        <v>3072</v>
      </c>
      <c r="F1352" t="s">
        <v>3073</v>
      </c>
      <c r="G1352" t="s">
        <v>3992</v>
      </c>
      <c r="H1352" t="s">
        <v>2023</v>
      </c>
      <c r="I1352" t="s">
        <v>784</v>
      </c>
      <c r="J1352" t="s">
        <v>1963</v>
      </c>
      <c r="K1352" t="s">
        <v>4373</v>
      </c>
      <c r="L1352" t="s">
        <v>2046</v>
      </c>
      <c r="M1352" t="s">
        <v>3207</v>
      </c>
      <c r="N1352" t="s">
        <v>3208</v>
      </c>
      <c r="O1352" t="s">
        <v>3207</v>
      </c>
      <c r="P1352" t="s">
        <v>3208</v>
      </c>
      <c r="Q1352" t="s">
        <v>14</v>
      </c>
      <c r="R1352" t="s">
        <v>14</v>
      </c>
      <c r="S1352" t="s">
        <v>14</v>
      </c>
      <c r="T1352" t="s">
        <v>14</v>
      </c>
      <c r="U1352" t="s">
        <v>2030</v>
      </c>
      <c r="V1352" t="s">
        <v>14</v>
      </c>
      <c r="W1352" t="b">
        <v>1</v>
      </c>
      <c r="X1352" t="s">
        <v>4374</v>
      </c>
      <c r="Y1352" t="b">
        <v>0</v>
      </c>
      <c r="Z1352" t="s">
        <v>2053</v>
      </c>
    </row>
    <row r="1353" spans="1:26" x14ac:dyDescent="0.35">
      <c r="A1353" t="s">
        <v>780</v>
      </c>
      <c r="B1353" t="s">
        <v>14</v>
      </c>
      <c r="C1353" t="s">
        <v>3167</v>
      </c>
      <c r="D1353" t="s">
        <v>1963</v>
      </c>
      <c r="E1353" t="s">
        <v>3072</v>
      </c>
      <c r="F1353" t="s">
        <v>14</v>
      </c>
      <c r="G1353" t="s">
        <v>4364</v>
      </c>
      <c r="H1353" t="s">
        <v>2023</v>
      </c>
      <c r="I1353" t="s">
        <v>784</v>
      </c>
      <c r="J1353" t="s">
        <v>1963</v>
      </c>
      <c r="K1353" t="s">
        <v>4373</v>
      </c>
      <c r="L1353" t="s">
        <v>2046</v>
      </c>
      <c r="M1353" t="s">
        <v>3207</v>
      </c>
      <c r="N1353" t="s">
        <v>3208</v>
      </c>
      <c r="O1353" t="s">
        <v>3207</v>
      </c>
      <c r="P1353" t="s">
        <v>3208</v>
      </c>
      <c r="Q1353" t="s">
        <v>14</v>
      </c>
      <c r="R1353" t="s">
        <v>14</v>
      </c>
      <c r="S1353" t="s">
        <v>14</v>
      </c>
      <c r="T1353" t="s">
        <v>14</v>
      </c>
      <c r="U1353" t="s">
        <v>2030</v>
      </c>
      <c r="V1353" t="s">
        <v>14</v>
      </c>
      <c r="W1353" t="b">
        <v>0</v>
      </c>
      <c r="X1353" t="s">
        <v>14</v>
      </c>
      <c r="Y1353" t="b">
        <v>0</v>
      </c>
      <c r="Z1353" t="s">
        <v>2053</v>
      </c>
    </row>
    <row r="1354" spans="1:26" x14ac:dyDescent="0.35">
      <c r="A1354" t="s">
        <v>782</v>
      </c>
      <c r="B1354" t="s">
        <v>783</v>
      </c>
      <c r="C1354" t="s">
        <v>3167</v>
      </c>
      <c r="D1354" t="s">
        <v>1963</v>
      </c>
      <c r="E1354" t="s">
        <v>3072</v>
      </c>
      <c r="F1354" t="s">
        <v>3073</v>
      </c>
      <c r="G1354" t="s">
        <v>3992</v>
      </c>
      <c r="H1354" t="s">
        <v>2023</v>
      </c>
      <c r="I1354" t="s">
        <v>784</v>
      </c>
      <c r="J1354" t="s">
        <v>1963</v>
      </c>
      <c r="K1354" t="s">
        <v>4375</v>
      </c>
      <c r="L1354" t="s">
        <v>2046</v>
      </c>
      <c r="M1354" t="s">
        <v>3207</v>
      </c>
      <c r="N1354" t="s">
        <v>3208</v>
      </c>
      <c r="O1354" t="s">
        <v>3207</v>
      </c>
      <c r="P1354" t="s">
        <v>3208</v>
      </c>
      <c r="Q1354" t="s">
        <v>14</v>
      </c>
      <c r="R1354" t="s">
        <v>14</v>
      </c>
      <c r="S1354" t="s">
        <v>14</v>
      </c>
      <c r="T1354" t="s">
        <v>14</v>
      </c>
      <c r="U1354" t="s">
        <v>2030</v>
      </c>
      <c r="V1354" t="s">
        <v>14</v>
      </c>
      <c r="W1354" t="b">
        <v>1</v>
      </c>
      <c r="X1354" t="s">
        <v>4376</v>
      </c>
      <c r="Y1354" t="b">
        <v>0</v>
      </c>
      <c r="Z1354" t="s">
        <v>2053</v>
      </c>
    </row>
    <row r="1355" spans="1:26" x14ac:dyDescent="0.35">
      <c r="A1355" t="s">
        <v>782</v>
      </c>
      <c r="B1355" t="s">
        <v>14</v>
      </c>
      <c r="C1355" t="s">
        <v>3167</v>
      </c>
      <c r="D1355" t="s">
        <v>1963</v>
      </c>
      <c r="E1355" t="s">
        <v>3072</v>
      </c>
      <c r="F1355" t="s">
        <v>14</v>
      </c>
      <c r="G1355" t="s">
        <v>4364</v>
      </c>
      <c r="H1355" t="s">
        <v>2023</v>
      </c>
      <c r="I1355" t="s">
        <v>784</v>
      </c>
      <c r="J1355" t="s">
        <v>1963</v>
      </c>
      <c r="K1355" t="s">
        <v>4375</v>
      </c>
      <c r="L1355" t="s">
        <v>2046</v>
      </c>
      <c r="M1355" t="s">
        <v>3207</v>
      </c>
      <c r="N1355" t="s">
        <v>3208</v>
      </c>
      <c r="O1355" t="s">
        <v>3207</v>
      </c>
      <c r="P1355" t="s">
        <v>3208</v>
      </c>
      <c r="Q1355" t="s">
        <v>14</v>
      </c>
      <c r="R1355" t="s">
        <v>14</v>
      </c>
      <c r="S1355" t="s">
        <v>14</v>
      </c>
      <c r="T1355" t="s">
        <v>14</v>
      </c>
      <c r="U1355" t="s">
        <v>2030</v>
      </c>
      <c r="V1355" t="s">
        <v>14</v>
      </c>
      <c r="W1355" t="b">
        <v>0</v>
      </c>
      <c r="X1355" t="s">
        <v>14</v>
      </c>
      <c r="Y1355" t="b">
        <v>0</v>
      </c>
      <c r="Z1355" t="s">
        <v>2053</v>
      </c>
    </row>
    <row r="1356" spans="1:26" x14ac:dyDescent="0.35">
      <c r="A1356" t="s">
        <v>785</v>
      </c>
      <c r="B1356" t="s">
        <v>786</v>
      </c>
      <c r="C1356" t="s">
        <v>3167</v>
      </c>
      <c r="D1356" t="s">
        <v>1963</v>
      </c>
      <c r="E1356" t="s">
        <v>2020</v>
      </c>
      <c r="F1356" t="s">
        <v>2021</v>
      </c>
      <c r="G1356" t="s">
        <v>2022</v>
      </c>
      <c r="H1356" t="s">
        <v>2023</v>
      </c>
      <c r="I1356" t="s">
        <v>4377</v>
      </c>
      <c r="J1356" t="s">
        <v>1963</v>
      </c>
      <c r="K1356" t="s">
        <v>4378</v>
      </c>
      <c r="L1356" t="s">
        <v>2046</v>
      </c>
      <c r="M1356" t="s">
        <v>4379</v>
      </c>
      <c r="N1356" t="s">
        <v>4380</v>
      </c>
      <c r="O1356" t="s">
        <v>2635</v>
      </c>
      <c r="P1356" t="s">
        <v>2636</v>
      </c>
      <c r="Q1356" t="s">
        <v>14</v>
      </c>
      <c r="R1356" t="s">
        <v>14</v>
      </c>
      <c r="S1356" t="s">
        <v>14</v>
      </c>
      <c r="T1356" t="s">
        <v>14</v>
      </c>
      <c r="U1356" t="s">
        <v>2171</v>
      </c>
      <c r="V1356" t="s">
        <v>14</v>
      </c>
      <c r="W1356" t="b">
        <v>1</v>
      </c>
      <c r="X1356" t="s">
        <v>4381</v>
      </c>
      <c r="Y1356" t="b">
        <v>0</v>
      </c>
      <c r="Z1356" t="s">
        <v>2053</v>
      </c>
    </row>
    <row r="1357" spans="1:26" x14ac:dyDescent="0.35">
      <c r="A1357" t="s">
        <v>787</v>
      </c>
      <c r="B1357" t="s">
        <v>788</v>
      </c>
      <c r="C1357" t="s">
        <v>3167</v>
      </c>
      <c r="D1357" t="s">
        <v>1963</v>
      </c>
      <c r="E1357" t="s">
        <v>2020</v>
      </c>
      <c r="F1357" t="s">
        <v>2021</v>
      </c>
      <c r="G1357" t="s">
        <v>2022</v>
      </c>
      <c r="H1357" t="s">
        <v>2023</v>
      </c>
      <c r="I1357" t="s">
        <v>4382</v>
      </c>
      <c r="J1357" t="s">
        <v>1963</v>
      </c>
      <c r="K1357" t="s">
        <v>4383</v>
      </c>
      <c r="L1357" t="s">
        <v>2046</v>
      </c>
      <c r="M1357" t="s">
        <v>4384</v>
      </c>
      <c r="N1357" t="s">
        <v>4385</v>
      </c>
      <c r="O1357" t="s">
        <v>2167</v>
      </c>
      <c r="P1357" t="s">
        <v>2168</v>
      </c>
      <c r="Q1357" t="s">
        <v>14</v>
      </c>
      <c r="R1357" t="s">
        <v>14</v>
      </c>
      <c r="S1357" t="s">
        <v>4386</v>
      </c>
      <c r="T1357" t="s">
        <v>4387</v>
      </c>
      <c r="U1357" t="s">
        <v>2171</v>
      </c>
      <c r="V1357" t="s">
        <v>14</v>
      </c>
      <c r="W1357" t="b">
        <v>1</v>
      </c>
      <c r="X1357" t="s">
        <v>4388</v>
      </c>
      <c r="Y1357" t="b">
        <v>1</v>
      </c>
      <c r="Z1357" t="s">
        <v>2032</v>
      </c>
    </row>
    <row r="1358" spans="1:26" x14ac:dyDescent="0.35">
      <c r="A1358" t="s">
        <v>789</v>
      </c>
      <c r="B1358" t="s">
        <v>790</v>
      </c>
      <c r="C1358" t="s">
        <v>3167</v>
      </c>
      <c r="D1358" t="s">
        <v>1963</v>
      </c>
      <c r="E1358" t="s">
        <v>2020</v>
      </c>
      <c r="F1358" t="s">
        <v>2021</v>
      </c>
      <c r="G1358" t="s">
        <v>2022</v>
      </c>
      <c r="H1358" t="s">
        <v>2023</v>
      </c>
      <c r="I1358" t="s">
        <v>4382</v>
      </c>
      <c r="J1358" t="s">
        <v>1963</v>
      </c>
      <c r="K1358" t="s">
        <v>4389</v>
      </c>
      <c r="L1358" t="s">
        <v>2046</v>
      </c>
      <c r="M1358" t="s">
        <v>4384</v>
      </c>
      <c r="N1358" t="s">
        <v>4385</v>
      </c>
      <c r="O1358" t="s">
        <v>2167</v>
      </c>
      <c r="P1358" t="s">
        <v>2168</v>
      </c>
      <c r="Q1358" t="s">
        <v>14</v>
      </c>
      <c r="R1358" t="s">
        <v>14</v>
      </c>
      <c r="S1358" t="s">
        <v>4386</v>
      </c>
      <c r="T1358" t="s">
        <v>4387</v>
      </c>
      <c r="U1358" t="s">
        <v>2171</v>
      </c>
      <c r="V1358" t="s">
        <v>14</v>
      </c>
      <c r="W1358" t="b">
        <v>1</v>
      </c>
      <c r="X1358" t="s">
        <v>4390</v>
      </c>
      <c r="Y1358" t="b">
        <v>1</v>
      </c>
      <c r="Z1358" t="s">
        <v>2032</v>
      </c>
    </row>
    <row r="1359" spans="1:26" x14ac:dyDescent="0.35">
      <c r="A1359" t="s">
        <v>791</v>
      </c>
      <c r="B1359" t="s">
        <v>792</v>
      </c>
      <c r="C1359" t="s">
        <v>3167</v>
      </c>
      <c r="D1359" t="s">
        <v>1963</v>
      </c>
      <c r="E1359" t="s">
        <v>2020</v>
      </c>
      <c r="F1359" t="s">
        <v>2021</v>
      </c>
      <c r="G1359" t="s">
        <v>2022</v>
      </c>
      <c r="H1359" t="s">
        <v>2023</v>
      </c>
      <c r="I1359" t="s">
        <v>4382</v>
      </c>
      <c r="J1359" t="s">
        <v>1963</v>
      </c>
      <c r="K1359" t="s">
        <v>4391</v>
      </c>
      <c r="L1359" t="s">
        <v>2046</v>
      </c>
      <c r="M1359" t="s">
        <v>4384</v>
      </c>
      <c r="N1359" t="s">
        <v>4385</v>
      </c>
      <c r="O1359" t="s">
        <v>2167</v>
      </c>
      <c r="P1359" t="s">
        <v>2168</v>
      </c>
      <c r="Q1359" t="s">
        <v>14</v>
      </c>
      <c r="R1359" t="s">
        <v>14</v>
      </c>
      <c r="S1359" t="s">
        <v>4386</v>
      </c>
      <c r="T1359" t="s">
        <v>4387</v>
      </c>
      <c r="U1359" t="s">
        <v>2171</v>
      </c>
      <c r="V1359" t="s">
        <v>14</v>
      </c>
      <c r="W1359" t="b">
        <v>1</v>
      </c>
      <c r="X1359" t="s">
        <v>4392</v>
      </c>
      <c r="Y1359" t="b">
        <v>1</v>
      </c>
      <c r="Z1359" t="s">
        <v>2032</v>
      </c>
    </row>
    <row r="1360" spans="1:26" x14ac:dyDescent="0.35">
      <c r="A1360" t="s">
        <v>793</v>
      </c>
      <c r="B1360" t="s">
        <v>794</v>
      </c>
      <c r="C1360" t="s">
        <v>3167</v>
      </c>
      <c r="D1360" t="s">
        <v>1963</v>
      </c>
      <c r="E1360" t="s">
        <v>2020</v>
      </c>
      <c r="F1360" t="s">
        <v>2021</v>
      </c>
      <c r="G1360" t="s">
        <v>2022</v>
      </c>
      <c r="H1360" t="s">
        <v>2023</v>
      </c>
      <c r="I1360" t="s">
        <v>4382</v>
      </c>
      <c r="J1360" t="s">
        <v>1963</v>
      </c>
      <c r="K1360" t="s">
        <v>4393</v>
      </c>
      <c r="L1360" t="s">
        <v>2046</v>
      </c>
      <c r="M1360" t="s">
        <v>4384</v>
      </c>
      <c r="N1360" t="s">
        <v>4385</v>
      </c>
      <c r="O1360" t="s">
        <v>2167</v>
      </c>
      <c r="P1360" t="s">
        <v>2168</v>
      </c>
      <c r="Q1360" t="s">
        <v>14</v>
      </c>
      <c r="R1360" t="s">
        <v>14</v>
      </c>
      <c r="S1360" t="s">
        <v>4386</v>
      </c>
      <c r="T1360" t="s">
        <v>4387</v>
      </c>
      <c r="U1360" t="s">
        <v>2171</v>
      </c>
      <c r="V1360" t="s">
        <v>14</v>
      </c>
      <c r="W1360" t="b">
        <v>1</v>
      </c>
      <c r="X1360" t="s">
        <v>4394</v>
      </c>
      <c r="Y1360" t="b">
        <v>1</v>
      </c>
      <c r="Z1360" t="s">
        <v>2032</v>
      </c>
    </row>
    <row r="1361" spans="1:26" x14ac:dyDescent="0.35">
      <c r="A1361" t="s">
        <v>795</v>
      </c>
      <c r="B1361" t="s">
        <v>796</v>
      </c>
      <c r="C1361" t="s">
        <v>3167</v>
      </c>
      <c r="D1361" t="s">
        <v>1963</v>
      </c>
      <c r="E1361" t="s">
        <v>2020</v>
      </c>
      <c r="F1361" t="s">
        <v>2055</v>
      </c>
      <c r="G1361" t="s">
        <v>2056</v>
      </c>
      <c r="H1361" t="s">
        <v>2023</v>
      </c>
      <c r="I1361" t="s">
        <v>4395</v>
      </c>
      <c r="J1361" t="s">
        <v>1963</v>
      </c>
      <c r="K1361" t="s">
        <v>4396</v>
      </c>
      <c r="L1361" t="s">
        <v>2046</v>
      </c>
      <c r="M1361" t="s">
        <v>4397</v>
      </c>
      <c r="N1361" t="s">
        <v>4398</v>
      </c>
      <c r="O1361" t="s">
        <v>3485</v>
      </c>
      <c r="P1361" t="s">
        <v>3486</v>
      </c>
      <c r="Q1361" t="s">
        <v>14</v>
      </c>
      <c r="R1361" t="s">
        <v>14</v>
      </c>
      <c r="S1361" t="s">
        <v>4399</v>
      </c>
      <c r="T1361" t="s">
        <v>4400</v>
      </c>
      <c r="U1361" t="s">
        <v>2171</v>
      </c>
      <c r="V1361" t="s">
        <v>14</v>
      </c>
      <c r="W1361" t="b">
        <v>1</v>
      </c>
      <c r="X1361" t="s">
        <v>4401</v>
      </c>
      <c r="Y1361" t="b">
        <v>0</v>
      </c>
      <c r="Z1361" t="s">
        <v>2081</v>
      </c>
    </row>
    <row r="1362" spans="1:26" x14ac:dyDescent="0.35">
      <c r="A1362" t="s">
        <v>797</v>
      </c>
      <c r="B1362" t="s">
        <v>798</v>
      </c>
      <c r="C1362" t="s">
        <v>3167</v>
      </c>
      <c r="D1362" t="s">
        <v>1963</v>
      </c>
      <c r="E1362" t="s">
        <v>2020</v>
      </c>
      <c r="F1362" t="s">
        <v>2021</v>
      </c>
      <c r="G1362" t="s">
        <v>2022</v>
      </c>
      <c r="H1362" t="s">
        <v>2023</v>
      </c>
      <c r="I1362" t="s">
        <v>1798</v>
      </c>
      <c r="J1362" t="s">
        <v>1963</v>
      </c>
      <c r="K1362" t="s">
        <v>4402</v>
      </c>
      <c r="L1362" t="s">
        <v>2046</v>
      </c>
      <c r="M1362" t="s">
        <v>2243</v>
      </c>
      <c r="N1362" t="s">
        <v>2244</v>
      </c>
      <c r="O1362" t="s">
        <v>2214</v>
      </c>
      <c r="P1362" t="s">
        <v>2215</v>
      </c>
      <c r="Q1362" t="s">
        <v>2245</v>
      </c>
      <c r="R1362" t="s">
        <v>14</v>
      </c>
      <c r="S1362" t="s">
        <v>2205</v>
      </c>
      <c r="T1362" t="s">
        <v>2206</v>
      </c>
      <c r="U1362" t="s">
        <v>2052</v>
      </c>
      <c r="V1362" t="s">
        <v>14</v>
      </c>
      <c r="W1362" t="b">
        <v>1</v>
      </c>
      <c r="X1362" t="s">
        <v>4403</v>
      </c>
      <c r="Y1362" t="b">
        <v>0</v>
      </c>
      <c r="Z1362" t="s">
        <v>2053</v>
      </c>
    </row>
    <row r="1363" spans="1:26" x14ac:dyDescent="0.35">
      <c r="A1363" t="s">
        <v>799</v>
      </c>
      <c r="B1363" t="s">
        <v>800</v>
      </c>
      <c r="C1363" t="s">
        <v>3167</v>
      </c>
      <c r="D1363" t="s">
        <v>1963</v>
      </c>
      <c r="E1363" t="s">
        <v>2020</v>
      </c>
      <c r="F1363" t="s">
        <v>2021</v>
      </c>
      <c r="G1363" t="s">
        <v>2022</v>
      </c>
      <c r="H1363" t="s">
        <v>2023</v>
      </c>
      <c r="I1363" t="s">
        <v>4404</v>
      </c>
      <c r="J1363" t="s">
        <v>1963</v>
      </c>
      <c r="K1363" t="s">
        <v>4405</v>
      </c>
      <c r="L1363" t="s">
        <v>2046</v>
      </c>
      <c r="M1363" t="s">
        <v>4406</v>
      </c>
      <c r="N1363" t="s">
        <v>4407</v>
      </c>
      <c r="O1363" t="s">
        <v>2340</v>
      </c>
      <c r="P1363" t="s">
        <v>2341</v>
      </c>
      <c r="Q1363" t="s">
        <v>14</v>
      </c>
      <c r="R1363" t="s">
        <v>14</v>
      </c>
      <c r="S1363" t="s">
        <v>4408</v>
      </c>
      <c r="T1363" t="s">
        <v>4409</v>
      </c>
      <c r="U1363" t="s">
        <v>2171</v>
      </c>
      <c r="V1363" t="s">
        <v>14</v>
      </c>
      <c r="W1363" t="b">
        <v>1</v>
      </c>
      <c r="X1363" t="s">
        <v>4410</v>
      </c>
      <c r="Y1363" t="b">
        <v>0</v>
      </c>
      <c r="Z1363" t="s">
        <v>2081</v>
      </c>
    </row>
    <row r="1364" spans="1:26" x14ac:dyDescent="0.35">
      <c r="A1364" t="s">
        <v>801</v>
      </c>
      <c r="B1364" t="s">
        <v>802</v>
      </c>
      <c r="C1364" t="s">
        <v>3167</v>
      </c>
      <c r="D1364" t="s">
        <v>1963</v>
      </c>
      <c r="E1364" t="s">
        <v>2020</v>
      </c>
      <c r="F1364" t="s">
        <v>2021</v>
      </c>
      <c r="G1364" t="s">
        <v>2022</v>
      </c>
      <c r="H1364" t="s">
        <v>2023</v>
      </c>
      <c r="I1364" t="s">
        <v>803</v>
      </c>
      <c r="J1364" t="s">
        <v>1963</v>
      </c>
      <c r="K1364" t="s">
        <v>4411</v>
      </c>
      <c r="L1364" t="s">
        <v>2046</v>
      </c>
      <c r="M1364" t="s">
        <v>4379</v>
      </c>
      <c r="N1364" t="s">
        <v>4380</v>
      </c>
      <c r="O1364" t="s">
        <v>2635</v>
      </c>
      <c r="P1364" t="s">
        <v>2636</v>
      </c>
      <c r="Q1364" t="s">
        <v>14</v>
      </c>
      <c r="R1364" t="s">
        <v>14</v>
      </c>
      <c r="S1364" t="s">
        <v>14</v>
      </c>
      <c r="T1364" t="s">
        <v>14</v>
      </c>
      <c r="U1364" t="s">
        <v>2171</v>
      </c>
      <c r="V1364" t="s">
        <v>14</v>
      </c>
      <c r="W1364" t="b">
        <v>1</v>
      </c>
      <c r="X1364" t="s">
        <v>4412</v>
      </c>
      <c r="Y1364" t="b">
        <v>0</v>
      </c>
      <c r="Z1364" t="s">
        <v>2053</v>
      </c>
    </row>
    <row r="1365" spans="1:26" x14ac:dyDescent="0.35">
      <c r="A1365" t="s">
        <v>804</v>
      </c>
      <c r="B1365" t="s">
        <v>805</v>
      </c>
      <c r="C1365" t="s">
        <v>2967</v>
      </c>
      <c r="D1365" t="s">
        <v>1963</v>
      </c>
      <c r="E1365" t="s">
        <v>2020</v>
      </c>
      <c r="F1365" t="s">
        <v>2021</v>
      </c>
      <c r="G1365" t="s">
        <v>2022</v>
      </c>
      <c r="H1365" t="s">
        <v>2023</v>
      </c>
      <c r="I1365" t="s">
        <v>4413</v>
      </c>
      <c r="J1365" t="s">
        <v>1963</v>
      </c>
      <c r="K1365" t="s">
        <v>4414</v>
      </c>
      <c r="L1365" t="s">
        <v>2046</v>
      </c>
      <c r="M1365" t="s">
        <v>4415</v>
      </c>
      <c r="N1365" t="s">
        <v>4416</v>
      </c>
      <c r="O1365" t="s">
        <v>2401</v>
      </c>
      <c r="P1365" t="s">
        <v>2402</v>
      </c>
      <c r="Q1365" t="s">
        <v>14</v>
      </c>
      <c r="R1365" t="s">
        <v>14</v>
      </c>
      <c r="S1365" t="s">
        <v>14</v>
      </c>
      <c r="T1365" t="s">
        <v>14</v>
      </c>
      <c r="U1365" t="s">
        <v>4283</v>
      </c>
      <c r="V1365" t="s">
        <v>14</v>
      </c>
      <c r="W1365" t="b">
        <v>1</v>
      </c>
      <c r="X1365" t="s">
        <v>4417</v>
      </c>
      <c r="Y1365" t="b">
        <v>0</v>
      </c>
      <c r="Z1365" t="s">
        <v>2053</v>
      </c>
    </row>
    <row r="1366" spans="1:26" x14ac:dyDescent="0.35">
      <c r="A1366" t="s">
        <v>806</v>
      </c>
      <c r="B1366" t="s">
        <v>807</v>
      </c>
      <c r="C1366" t="s">
        <v>3167</v>
      </c>
      <c r="D1366" t="s">
        <v>1963</v>
      </c>
      <c r="E1366" t="s">
        <v>2020</v>
      </c>
      <c r="F1366" t="s">
        <v>2021</v>
      </c>
      <c r="G1366" t="s">
        <v>2022</v>
      </c>
      <c r="H1366" t="s">
        <v>2023</v>
      </c>
      <c r="I1366" t="s">
        <v>3932</v>
      </c>
      <c r="J1366" t="s">
        <v>1963</v>
      </c>
      <c r="K1366" t="s">
        <v>4418</v>
      </c>
      <c r="L1366" t="s">
        <v>2046</v>
      </c>
      <c r="M1366" t="s">
        <v>3934</v>
      </c>
      <c r="N1366" t="s">
        <v>3935</v>
      </c>
      <c r="O1366" t="s">
        <v>3936</v>
      </c>
      <c r="P1366" t="s">
        <v>3937</v>
      </c>
      <c r="Q1366" t="s">
        <v>14</v>
      </c>
      <c r="R1366" t="s">
        <v>14</v>
      </c>
      <c r="S1366" t="s">
        <v>14</v>
      </c>
      <c r="T1366" t="s">
        <v>14</v>
      </c>
      <c r="U1366" t="s">
        <v>2030</v>
      </c>
      <c r="V1366" t="s">
        <v>14</v>
      </c>
      <c r="W1366" t="b">
        <v>1</v>
      </c>
      <c r="X1366" t="s">
        <v>4419</v>
      </c>
      <c r="Y1366" t="b">
        <v>0</v>
      </c>
      <c r="Z1366" t="s">
        <v>2081</v>
      </c>
    </row>
    <row r="1367" spans="1:26" x14ac:dyDescent="0.35">
      <c r="A1367" t="s">
        <v>808</v>
      </c>
      <c r="B1367" t="s">
        <v>809</v>
      </c>
      <c r="C1367" t="s">
        <v>3167</v>
      </c>
      <c r="D1367" t="s">
        <v>1963</v>
      </c>
      <c r="E1367" t="s">
        <v>2020</v>
      </c>
      <c r="F1367" t="s">
        <v>2140</v>
      </c>
      <c r="G1367" t="s">
        <v>2141</v>
      </c>
      <c r="H1367" t="s">
        <v>2023</v>
      </c>
      <c r="I1367" t="s">
        <v>77</v>
      </c>
      <c r="J1367" t="s">
        <v>1963</v>
      </c>
      <c r="K1367" t="s">
        <v>4420</v>
      </c>
      <c r="L1367" t="s">
        <v>2046</v>
      </c>
      <c r="M1367" t="s">
        <v>2338</v>
      </c>
      <c r="N1367" t="s">
        <v>2339</v>
      </c>
      <c r="O1367" t="s">
        <v>2340</v>
      </c>
      <c r="P1367" t="s">
        <v>2341</v>
      </c>
      <c r="Q1367" t="s">
        <v>14</v>
      </c>
      <c r="R1367" t="s">
        <v>14</v>
      </c>
      <c r="S1367" t="s">
        <v>2436</v>
      </c>
      <c r="T1367" t="s">
        <v>2437</v>
      </c>
      <c r="U1367" t="s">
        <v>2171</v>
      </c>
      <c r="V1367" t="s">
        <v>14</v>
      </c>
      <c r="W1367" t="b">
        <v>1</v>
      </c>
      <c r="X1367" t="s">
        <v>4421</v>
      </c>
      <c r="Y1367" t="b">
        <v>0</v>
      </c>
      <c r="Z1367" t="s">
        <v>2081</v>
      </c>
    </row>
    <row r="1368" spans="1:26" x14ac:dyDescent="0.35">
      <c r="A1368" t="s">
        <v>810</v>
      </c>
      <c r="B1368" t="s">
        <v>811</v>
      </c>
      <c r="C1368" t="s">
        <v>3167</v>
      </c>
      <c r="D1368" t="s">
        <v>1963</v>
      </c>
      <c r="E1368" t="s">
        <v>2020</v>
      </c>
      <c r="F1368" t="s">
        <v>2021</v>
      </c>
      <c r="G1368" t="s">
        <v>2022</v>
      </c>
      <c r="H1368" t="s">
        <v>2023</v>
      </c>
      <c r="I1368" t="s">
        <v>78</v>
      </c>
      <c r="J1368" t="s">
        <v>1963</v>
      </c>
      <c r="K1368" t="s">
        <v>4422</v>
      </c>
      <c r="L1368" t="s">
        <v>2046</v>
      </c>
      <c r="M1368" t="s">
        <v>2348</v>
      </c>
      <c r="N1368" t="s">
        <v>2349</v>
      </c>
      <c r="O1368" t="s">
        <v>2348</v>
      </c>
      <c r="P1368" t="s">
        <v>2349</v>
      </c>
      <c r="Q1368" t="s">
        <v>4423</v>
      </c>
      <c r="R1368" t="s">
        <v>14</v>
      </c>
      <c r="S1368" t="s">
        <v>14</v>
      </c>
      <c r="T1368" t="s">
        <v>14</v>
      </c>
      <c r="U1368" t="s">
        <v>2030</v>
      </c>
      <c r="V1368" t="s">
        <v>14</v>
      </c>
      <c r="W1368" t="b">
        <v>1</v>
      </c>
      <c r="X1368" t="s">
        <v>4424</v>
      </c>
      <c r="Y1368" t="b">
        <v>0</v>
      </c>
      <c r="Z1368" t="s">
        <v>2081</v>
      </c>
    </row>
    <row r="1369" spans="1:26" x14ac:dyDescent="0.35">
      <c r="A1369" t="s">
        <v>810</v>
      </c>
      <c r="B1369" t="s">
        <v>811</v>
      </c>
      <c r="C1369" t="s">
        <v>3167</v>
      </c>
      <c r="D1369" t="s">
        <v>1963</v>
      </c>
      <c r="E1369" t="s">
        <v>2020</v>
      </c>
      <c r="F1369" t="s">
        <v>2021</v>
      </c>
      <c r="G1369" t="s">
        <v>2022</v>
      </c>
      <c r="H1369" t="s">
        <v>2023</v>
      </c>
      <c r="I1369" t="s">
        <v>4425</v>
      </c>
      <c r="J1369" t="s">
        <v>1963</v>
      </c>
      <c r="K1369" t="s">
        <v>4422</v>
      </c>
      <c r="L1369" t="s">
        <v>2046</v>
      </c>
      <c r="M1369" t="s">
        <v>4426</v>
      </c>
      <c r="N1369" t="s">
        <v>4427</v>
      </c>
      <c r="O1369" t="s">
        <v>4426</v>
      </c>
      <c r="P1369" t="s">
        <v>4427</v>
      </c>
      <c r="Q1369" t="s">
        <v>4423</v>
      </c>
      <c r="R1369" t="s">
        <v>14</v>
      </c>
      <c r="S1369" t="s">
        <v>4296</v>
      </c>
      <c r="T1369" t="s">
        <v>4297</v>
      </c>
      <c r="U1369" t="s">
        <v>2030</v>
      </c>
      <c r="V1369" t="s">
        <v>14</v>
      </c>
      <c r="W1369" t="b">
        <v>1</v>
      </c>
      <c r="X1369" t="s">
        <v>4424</v>
      </c>
      <c r="Y1369" t="b">
        <v>0</v>
      </c>
      <c r="Z1369" t="s">
        <v>2081</v>
      </c>
    </row>
    <row r="1370" spans="1:26" x14ac:dyDescent="0.35">
      <c r="A1370" t="s">
        <v>812</v>
      </c>
      <c r="B1370" t="s">
        <v>813</v>
      </c>
      <c r="C1370" t="s">
        <v>3167</v>
      </c>
      <c r="D1370" t="s">
        <v>1963</v>
      </c>
      <c r="E1370" t="s">
        <v>2020</v>
      </c>
      <c r="F1370" t="s">
        <v>2021</v>
      </c>
      <c r="G1370" t="s">
        <v>2022</v>
      </c>
      <c r="H1370" t="s">
        <v>2023</v>
      </c>
      <c r="I1370" t="s">
        <v>78</v>
      </c>
      <c r="J1370" t="s">
        <v>1963</v>
      </c>
      <c r="K1370" t="s">
        <v>4428</v>
      </c>
      <c r="L1370" t="s">
        <v>2046</v>
      </c>
      <c r="M1370" t="s">
        <v>2348</v>
      </c>
      <c r="N1370" t="s">
        <v>2349</v>
      </c>
      <c r="O1370" t="s">
        <v>2348</v>
      </c>
      <c r="P1370" t="s">
        <v>2349</v>
      </c>
      <c r="Q1370" t="s">
        <v>4423</v>
      </c>
      <c r="R1370" t="s">
        <v>14</v>
      </c>
      <c r="S1370" t="s">
        <v>14</v>
      </c>
      <c r="T1370" t="s">
        <v>14</v>
      </c>
      <c r="U1370" t="s">
        <v>2030</v>
      </c>
      <c r="V1370" t="s">
        <v>14</v>
      </c>
      <c r="W1370" t="b">
        <v>1</v>
      </c>
      <c r="X1370" t="s">
        <v>4429</v>
      </c>
      <c r="Y1370" t="b">
        <v>0</v>
      </c>
      <c r="Z1370" t="s">
        <v>2081</v>
      </c>
    </row>
    <row r="1371" spans="1:26" x14ac:dyDescent="0.35">
      <c r="A1371" t="s">
        <v>812</v>
      </c>
      <c r="B1371" t="s">
        <v>813</v>
      </c>
      <c r="C1371" t="s">
        <v>3167</v>
      </c>
      <c r="D1371" t="s">
        <v>1963</v>
      </c>
      <c r="E1371" t="s">
        <v>2020</v>
      </c>
      <c r="F1371" t="s">
        <v>2021</v>
      </c>
      <c r="G1371" t="s">
        <v>2022</v>
      </c>
      <c r="H1371" t="s">
        <v>2023</v>
      </c>
      <c r="I1371" t="s">
        <v>4425</v>
      </c>
      <c r="J1371" t="s">
        <v>1963</v>
      </c>
      <c r="K1371" t="s">
        <v>4428</v>
      </c>
      <c r="L1371" t="s">
        <v>2046</v>
      </c>
      <c r="M1371" t="s">
        <v>4426</v>
      </c>
      <c r="N1371" t="s">
        <v>4427</v>
      </c>
      <c r="O1371" t="s">
        <v>4426</v>
      </c>
      <c r="P1371" t="s">
        <v>4427</v>
      </c>
      <c r="Q1371" t="s">
        <v>4423</v>
      </c>
      <c r="R1371" t="s">
        <v>14</v>
      </c>
      <c r="S1371" t="s">
        <v>4296</v>
      </c>
      <c r="T1371" t="s">
        <v>4297</v>
      </c>
      <c r="U1371" t="s">
        <v>2030</v>
      </c>
      <c r="V1371" t="s">
        <v>14</v>
      </c>
      <c r="W1371" t="b">
        <v>1</v>
      </c>
      <c r="X1371" t="s">
        <v>4429</v>
      </c>
      <c r="Y1371" t="b">
        <v>0</v>
      </c>
      <c r="Z1371" t="s">
        <v>2081</v>
      </c>
    </row>
    <row r="1372" spans="1:26" x14ac:dyDescent="0.35">
      <c r="A1372" t="s">
        <v>814</v>
      </c>
      <c r="B1372" t="s">
        <v>815</v>
      </c>
      <c r="C1372" t="s">
        <v>3167</v>
      </c>
      <c r="D1372" t="s">
        <v>1963</v>
      </c>
      <c r="E1372" t="s">
        <v>2020</v>
      </c>
      <c r="F1372" t="s">
        <v>2021</v>
      </c>
      <c r="G1372" t="s">
        <v>2022</v>
      </c>
      <c r="H1372" t="s">
        <v>2023</v>
      </c>
      <c r="I1372" t="s">
        <v>4425</v>
      </c>
      <c r="J1372" t="s">
        <v>1963</v>
      </c>
      <c r="K1372" t="s">
        <v>4430</v>
      </c>
      <c r="L1372" t="s">
        <v>2046</v>
      </c>
      <c r="M1372" t="s">
        <v>4426</v>
      </c>
      <c r="N1372" t="s">
        <v>4427</v>
      </c>
      <c r="O1372" t="s">
        <v>4426</v>
      </c>
      <c r="P1372" t="s">
        <v>4427</v>
      </c>
      <c r="Q1372" t="s">
        <v>4423</v>
      </c>
      <c r="R1372" t="s">
        <v>14</v>
      </c>
      <c r="S1372" t="s">
        <v>4296</v>
      </c>
      <c r="T1372" t="s">
        <v>4297</v>
      </c>
      <c r="U1372" t="s">
        <v>2030</v>
      </c>
      <c r="V1372" t="s">
        <v>14</v>
      </c>
      <c r="W1372" t="b">
        <v>1</v>
      </c>
      <c r="X1372" t="s">
        <v>4431</v>
      </c>
      <c r="Y1372" t="b">
        <v>0</v>
      </c>
      <c r="Z1372" t="s">
        <v>2081</v>
      </c>
    </row>
    <row r="1373" spans="1:26" x14ac:dyDescent="0.35">
      <c r="A1373" t="s">
        <v>814</v>
      </c>
      <c r="B1373" t="s">
        <v>815</v>
      </c>
      <c r="C1373" t="s">
        <v>3167</v>
      </c>
      <c r="D1373" t="s">
        <v>1963</v>
      </c>
      <c r="E1373" t="s">
        <v>2020</v>
      </c>
      <c r="F1373" t="s">
        <v>2021</v>
      </c>
      <c r="G1373" t="s">
        <v>2022</v>
      </c>
      <c r="H1373" t="s">
        <v>2023</v>
      </c>
      <c r="I1373" t="s">
        <v>78</v>
      </c>
      <c r="J1373" t="s">
        <v>1963</v>
      </c>
      <c r="K1373" t="s">
        <v>4430</v>
      </c>
      <c r="L1373" t="s">
        <v>2046</v>
      </c>
      <c r="M1373" t="s">
        <v>2348</v>
      </c>
      <c r="N1373" t="s">
        <v>2349</v>
      </c>
      <c r="O1373" t="s">
        <v>2348</v>
      </c>
      <c r="P1373" t="s">
        <v>2349</v>
      </c>
      <c r="Q1373" t="s">
        <v>4423</v>
      </c>
      <c r="R1373" t="s">
        <v>14</v>
      </c>
      <c r="S1373" t="s">
        <v>14</v>
      </c>
      <c r="T1373" t="s">
        <v>14</v>
      </c>
      <c r="U1373" t="s">
        <v>2030</v>
      </c>
      <c r="V1373" t="s">
        <v>14</v>
      </c>
      <c r="W1373" t="b">
        <v>1</v>
      </c>
      <c r="X1373" t="s">
        <v>4431</v>
      </c>
      <c r="Y1373" t="b">
        <v>0</v>
      </c>
      <c r="Z1373" t="s">
        <v>2081</v>
      </c>
    </row>
    <row r="1374" spans="1:26" x14ac:dyDescent="0.35">
      <c r="A1374" t="s">
        <v>817</v>
      </c>
      <c r="B1374" t="s">
        <v>818</v>
      </c>
      <c r="C1374" t="s">
        <v>3167</v>
      </c>
      <c r="D1374" t="s">
        <v>1963</v>
      </c>
      <c r="E1374" t="s">
        <v>2020</v>
      </c>
      <c r="F1374" t="s">
        <v>2055</v>
      </c>
      <c r="G1374" t="s">
        <v>2056</v>
      </c>
      <c r="H1374" t="s">
        <v>2023</v>
      </c>
      <c r="I1374" t="s">
        <v>3400</v>
      </c>
      <c r="J1374" t="s">
        <v>1963</v>
      </c>
      <c r="K1374" t="s">
        <v>4432</v>
      </c>
      <c r="L1374" t="s">
        <v>2046</v>
      </c>
      <c r="M1374" t="s">
        <v>3402</v>
      </c>
      <c r="N1374" t="s">
        <v>3403</v>
      </c>
      <c r="O1374" t="s">
        <v>3404</v>
      </c>
      <c r="P1374" t="s">
        <v>3405</v>
      </c>
      <c r="Q1374" t="s">
        <v>3406</v>
      </c>
      <c r="R1374" t="s">
        <v>14</v>
      </c>
      <c r="S1374" t="s">
        <v>3402</v>
      </c>
      <c r="T1374" t="s">
        <v>3403</v>
      </c>
      <c r="U1374" t="s">
        <v>2030</v>
      </c>
      <c r="V1374" t="s">
        <v>14</v>
      </c>
      <c r="W1374" t="b">
        <v>1</v>
      </c>
      <c r="X1374" t="s">
        <v>4433</v>
      </c>
      <c r="Y1374" t="b">
        <v>0</v>
      </c>
      <c r="Z1374" t="s">
        <v>2081</v>
      </c>
    </row>
    <row r="1375" spans="1:26" x14ac:dyDescent="0.35">
      <c r="A1375" t="s">
        <v>819</v>
      </c>
      <c r="B1375" t="s">
        <v>820</v>
      </c>
      <c r="C1375" t="s">
        <v>3167</v>
      </c>
      <c r="D1375" t="s">
        <v>1963</v>
      </c>
      <c r="E1375" t="s">
        <v>2020</v>
      </c>
      <c r="F1375" t="s">
        <v>2021</v>
      </c>
      <c r="G1375" t="s">
        <v>2022</v>
      </c>
      <c r="H1375" t="s">
        <v>2023</v>
      </c>
      <c r="I1375" t="s">
        <v>4434</v>
      </c>
      <c r="J1375" t="s">
        <v>1963</v>
      </c>
      <c r="K1375" t="s">
        <v>4435</v>
      </c>
      <c r="L1375" t="s">
        <v>4436</v>
      </c>
      <c r="M1375" t="s">
        <v>4437</v>
      </c>
      <c r="N1375" t="s">
        <v>4438</v>
      </c>
      <c r="O1375" t="s">
        <v>2635</v>
      </c>
      <c r="P1375" t="s">
        <v>2636</v>
      </c>
      <c r="Q1375" t="s">
        <v>14</v>
      </c>
      <c r="R1375" t="s">
        <v>14</v>
      </c>
      <c r="S1375" t="s">
        <v>4439</v>
      </c>
      <c r="T1375" t="s">
        <v>4440</v>
      </c>
      <c r="U1375" t="s">
        <v>2171</v>
      </c>
      <c r="V1375" t="s">
        <v>14</v>
      </c>
      <c r="W1375" t="b">
        <v>1</v>
      </c>
      <c r="X1375" t="s">
        <v>4441</v>
      </c>
      <c r="Y1375" t="b">
        <v>1</v>
      </c>
      <c r="Z1375" t="s">
        <v>2032</v>
      </c>
    </row>
    <row r="1376" spans="1:26" x14ac:dyDescent="0.35">
      <c r="A1376" t="s">
        <v>821</v>
      </c>
      <c r="B1376" t="s">
        <v>822</v>
      </c>
      <c r="C1376" t="s">
        <v>3167</v>
      </c>
      <c r="D1376" t="s">
        <v>1963</v>
      </c>
      <c r="E1376" t="s">
        <v>2020</v>
      </c>
      <c r="F1376" t="s">
        <v>2055</v>
      </c>
      <c r="G1376" t="s">
        <v>2056</v>
      </c>
      <c r="H1376" t="s">
        <v>2023</v>
      </c>
      <c r="I1376" t="s">
        <v>3448</v>
      </c>
      <c r="J1376" t="s">
        <v>1963</v>
      </c>
      <c r="K1376" t="s">
        <v>4442</v>
      </c>
      <c r="L1376" t="s">
        <v>2046</v>
      </c>
      <c r="M1376" t="s">
        <v>3449</v>
      </c>
      <c r="N1376" t="s">
        <v>3450</v>
      </c>
      <c r="O1376" t="s">
        <v>2101</v>
      </c>
      <c r="P1376" t="s">
        <v>2102</v>
      </c>
      <c r="Q1376" t="s">
        <v>2103</v>
      </c>
      <c r="R1376" t="s">
        <v>14</v>
      </c>
      <c r="S1376" t="s">
        <v>2101</v>
      </c>
      <c r="T1376" t="s">
        <v>2102</v>
      </c>
      <c r="U1376" t="s">
        <v>2052</v>
      </c>
      <c r="V1376" t="s">
        <v>14</v>
      </c>
      <c r="W1376" t="b">
        <v>1</v>
      </c>
      <c r="X1376" t="s">
        <v>4443</v>
      </c>
      <c r="Y1376" t="b">
        <v>0</v>
      </c>
      <c r="Z1376" t="s">
        <v>2053</v>
      </c>
    </row>
    <row r="1377" spans="1:26" x14ac:dyDescent="0.35">
      <c r="A1377" t="s">
        <v>823</v>
      </c>
      <c r="B1377" t="s">
        <v>824</v>
      </c>
      <c r="C1377" t="s">
        <v>3167</v>
      </c>
      <c r="D1377" t="s">
        <v>1963</v>
      </c>
      <c r="E1377" t="s">
        <v>2020</v>
      </c>
      <c r="F1377" t="s">
        <v>2055</v>
      </c>
      <c r="G1377" t="s">
        <v>2056</v>
      </c>
      <c r="H1377" t="s">
        <v>2023</v>
      </c>
      <c r="I1377" t="s">
        <v>3448</v>
      </c>
      <c r="J1377" t="s">
        <v>1963</v>
      </c>
      <c r="K1377" t="s">
        <v>4444</v>
      </c>
      <c r="L1377" t="s">
        <v>2046</v>
      </c>
      <c r="M1377" t="s">
        <v>3449</v>
      </c>
      <c r="N1377" t="s">
        <v>3450</v>
      </c>
      <c r="O1377" t="s">
        <v>2101</v>
      </c>
      <c r="P1377" t="s">
        <v>2102</v>
      </c>
      <c r="Q1377" t="s">
        <v>2103</v>
      </c>
      <c r="R1377" t="s">
        <v>14</v>
      </c>
      <c r="S1377" t="s">
        <v>2101</v>
      </c>
      <c r="T1377" t="s">
        <v>2102</v>
      </c>
      <c r="U1377" t="s">
        <v>2052</v>
      </c>
      <c r="V1377" t="s">
        <v>14</v>
      </c>
      <c r="W1377" t="b">
        <v>1</v>
      </c>
      <c r="X1377" t="s">
        <v>4445</v>
      </c>
      <c r="Y1377" t="b">
        <v>0</v>
      </c>
      <c r="Z1377" t="s">
        <v>2053</v>
      </c>
    </row>
    <row r="1378" spans="1:26" x14ac:dyDescent="0.35">
      <c r="A1378" t="s">
        <v>825</v>
      </c>
      <c r="B1378" t="s">
        <v>826</v>
      </c>
      <c r="C1378" t="s">
        <v>3167</v>
      </c>
      <c r="D1378" t="s">
        <v>1963</v>
      </c>
      <c r="E1378" t="s">
        <v>2020</v>
      </c>
      <c r="F1378" t="s">
        <v>2021</v>
      </c>
      <c r="G1378" t="s">
        <v>2022</v>
      </c>
      <c r="H1378" t="s">
        <v>2023</v>
      </c>
      <c r="I1378" t="s">
        <v>3461</v>
      </c>
      <c r="J1378" t="s">
        <v>1963</v>
      </c>
      <c r="K1378" t="s">
        <v>4446</v>
      </c>
      <c r="L1378" t="s">
        <v>2046</v>
      </c>
      <c r="M1378" t="s">
        <v>3463</v>
      </c>
      <c r="N1378" t="s">
        <v>3464</v>
      </c>
      <c r="O1378" t="s">
        <v>2214</v>
      </c>
      <c r="P1378" t="s">
        <v>2215</v>
      </c>
      <c r="Q1378" t="s">
        <v>3465</v>
      </c>
      <c r="R1378" t="s">
        <v>14</v>
      </c>
      <c r="S1378" t="s">
        <v>3466</v>
      </c>
      <c r="T1378" t="s">
        <v>3467</v>
      </c>
      <c r="U1378" t="s">
        <v>2052</v>
      </c>
      <c r="V1378" t="s">
        <v>14</v>
      </c>
      <c r="W1378" t="b">
        <v>1</v>
      </c>
      <c r="X1378" t="s">
        <v>4447</v>
      </c>
      <c r="Y1378" t="b">
        <v>0</v>
      </c>
      <c r="Z1378" t="s">
        <v>2053</v>
      </c>
    </row>
    <row r="1379" spans="1:26" x14ac:dyDescent="0.35">
      <c r="A1379" t="s">
        <v>827</v>
      </c>
      <c r="B1379" t="s">
        <v>828</v>
      </c>
      <c r="C1379" t="s">
        <v>3167</v>
      </c>
      <c r="D1379" t="s">
        <v>1963</v>
      </c>
      <c r="E1379" t="s">
        <v>2020</v>
      </c>
      <c r="F1379" t="s">
        <v>2021</v>
      </c>
      <c r="G1379" t="s">
        <v>2022</v>
      </c>
      <c r="H1379" t="s">
        <v>2023</v>
      </c>
      <c r="I1379" t="s">
        <v>3461</v>
      </c>
      <c r="J1379" t="s">
        <v>1963</v>
      </c>
      <c r="K1379" t="s">
        <v>4448</v>
      </c>
      <c r="L1379" t="s">
        <v>2046</v>
      </c>
      <c r="M1379" t="s">
        <v>3463</v>
      </c>
      <c r="N1379" t="s">
        <v>3464</v>
      </c>
      <c r="O1379" t="s">
        <v>2214</v>
      </c>
      <c r="P1379" t="s">
        <v>2215</v>
      </c>
      <c r="Q1379" t="s">
        <v>3465</v>
      </c>
      <c r="R1379" t="s">
        <v>14</v>
      </c>
      <c r="S1379" t="s">
        <v>3466</v>
      </c>
      <c r="T1379" t="s">
        <v>3467</v>
      </c>
      <c r="U1379" t="s">
        <v>2052</v>
      </c>
      <c r="V1379" t="s">
        <v>14</v>
      </c>
      <c r="W1379" t="b">
        <v>1</v>
      </c>
      <c r="X1379" t="s">
        <v>4449</v>
      </c>
      <c r="Y1379" t="b">
        <v>0</v>
      </c>
      <c r="Z1379" t="s">
        <v>2053</v>
      </c>
    </row>
    <row r="1380" spans="1:26" x14ac:dyDescent="0.35">
      <c r="A1380" t="s">
        <v>829</v>
      </c>
      <c r="B1380" t="s">
        <v>4450</v>
      </c>
      <c r="C1380" t="s">
        <v>3167</v>
      </c>
      <c r="D1380" t="s">
        <v>1963</v>
      </c>
      <c r="E1380" t="s">
        <v>2020</v>
      </c>
      <c r="F1380" t="s">
        <v>2140</v>
      </c>
      <c r="G1380" t="s">
        <v>2141</v>
      </c>
      <c r="H1380" t="s">
        <v>2023</v>
      </c>
      <c r="I1380" t="s">
        <v>4091</v>
      </c>
      <c r="J1380" t="s">
        <v>1963</v>
      </c>
      <c r="K1380" t="s">
        <v>4451</v>
      </c>
      <c r="L1380" t="s">
        <v>2046</v>
      </c>
      <c r="M1380" t="s">
        <v>4093</v>
      </c>
      <c r="N1380" t="s">
        <v>4094</v>
      </c>
      <c r="O1380" t="s">
        <v>2214</v>
      </c>
      <c r="P1380" t="s">
        <v>2215</v>
      </c>
      <c r="Q1380" t="s">
        <v>3465</v>
      </c>
      <c r="R1380" t="s">
        <v>14</v>
      </c>
      <c r="S1380" t="s">
        <v>4095</v>
      </c>
      <c r="T1380" t="s">
        <v>4096</v>
      </c>
      <c r="U1380" t="s">
        <v>2052</v>
      </c>
      <c r="V1380" t="s">
        <v>14</v>
      </c>
      <c r="W1380" t="b">
        <v>1</v>
      </c>
      <c r="X1380" t="s">
        <v>4452</v>
      </c>
      <c r="Y1380" t="b">
        <v>0</v>
      </c>
      <c r="Z1380" t="s">
        <v>2053</v>
      </c>
    </row>
    <row r="1381" spans="1:26" x14ac:dyDescent="0.35">
      <c r="A1381" t="s">
        <v>830</v>
      </c>
      <c r="B1381" t="s">
        <v>831</v>
      </c>
      <c r="C1381" t="s">
        <v>3167</v>
      </c>
      <c r="D1381" t="s">
        <v>1963</v>
      </c>
      <c r="E1381" t="s">
        <v>2020</v>
      </c>
      <c r="F1381" t="s">
        <v>2021</v>
      </c>
      <c r="G1381" t="s">
        <v>2022</v>
      </c>
      <c r="H1381" t="s">
        <v>2023</v>
      </c>
      <c r="I1381" t="s">
        <v>4091</v>
      </c>
      <c r="J1381" t="s">
        <v>1963</v>
      </c>
      <c r="K1381" t="s">
        <v>4453</v>
      </c>
      <c r="L1381" t="s">
        <v>2046</v>
      </c>
      <c r="M1381" t="s">
        <v>4093</v>
      </c>
      <c r="N1381" t="s">
        <v>4094</v>
      </c>
      <c r="O1381" t="s">
        <v>2214</v>
      </c>
      <c r="P1381" t="s">
        <v>2215</v>
      </c>
      <c r="Q1381" t="s">
        <v>3465</v>
      </c>
      <c r="R1381" t="s">
        <v>14</v>
      </c>
      <c r="S1381" t="s">
        <v>4095</v>
      </c>
      <c r="T1381" t="s">
        <v>4096</v>
      </c>
      <c r="U1381" t="s">
        <v>2052</v>
      </c>
      <c r="V1381" t="s">
        <v>14</v>
      </c>
      <c r="W1381" t="b">
        <v>1</v>
      </c>
      <c r="X1381" t="s">
        <v>4454</v>
      </c>
      <c r="Y1381" t="b">
        <v>0</v>
      </c>
      <c r="Z1381" t="s">
        <v>2053</v>
      </c>
    </row>
    <row r="1382" spans="1:26" x14ac:dyDescent="0.35">
      <c r="A1382" t="s">
        <v>832</v>
      </c>
      <c r="B1382" t="s">
        <v>833</v>
      </c>
      <c r="C1382" t="s">
        <v>3167</v>
      </c>
      <c r="D1382" t="s">
        <v>1963</v>
      </c>
      <c r="E1382" t="s">
        <v>2020</v>
      </c>
      <c r="F1382" t="s">
        <v>2021</v>
      </c>
      <c r="G1382" t="s">
        <v>2022</v>
      </c>
      <c r="H1382" t="s">
        <v>2023</v>
      </c>
      <c r="I1382" t="s">
        <v>3400</v>
      </c>
      <c r="J1382" t="s">
        <v>1963</v>
      </c>
      <c r="K1382" t="s">
        <v>4455</v>
      </c>
      <c r="L1382" t="s">
        <v>2046</v>
      </c>
      <c r="M1382" t="s">
        <v>3402</v>
      </c>
      <c r="N1382" t="s">
        <v>3403</v>
      </c>
      <c r="O1382" t="s">
        <v>3404</v>
      </c>
      <c r="P1382" t="s">
        <v>3405</v>
      </c>
      <c r="Q1382" t="s">
        <v>3406</v>
      </c>
      <c r="R1382" t="s">
        <v>14</v>
      </c>
      <c r="S1382" t="s">
        <v>3402</v>
      </c>
      <c r="T1382" t="s">
        <v>3403</v>
      </c>
      <c r="U1382" t="s">
        <v>2030</v>
      </c>
      <c r="V1382" t="s">
        <v>14</v>
      </c>
      <c r="W1382" t="b">
        <v>1</v>
      </c>
      <c r="X1382" t="s">
        <v>4456</v>
      </c>
      <c r="Y1382" t="b">
        <v>0</v>
      </c>
      <c r="Z1382" t="s">
        <v>2081</v>
      </c>
    </row>
    <row r="1383" spans="1:26" x14ac:dyDescent="0.35">
      <c r="A1383" t="s">
        <v>834</v>
      </c>
      <c r="B1383" t="s">
        <v>835</v>
      </c>
      <c r="C1383" t="s">
        <v>3167</v>
      </c>
      <c r="D1383" t="s">
        <v>1963</v>
      </c>
      <c r="E1383" t="s">
        <v>2020</v>
      </c>
      <c r="F1383" t="s">
        <v>4457</v>
      </c>
      <c r="G1383" t="s">
        <v>2910</v>
      </c>
      <c r="H1383" t="s">
        <v>2023</v>
      </c>
      <c r="I1383" t="s">
        <v>1432</v>
      </c>
      <c r="J1383" t="s">
        <v>1963</v>
      </c>
      <c r="K1383" t="s">
        <v>4458</v>
      </c>
      <c r="L1383" t="s">
        <v>2046</v>
      </c>
      <c r="M1383" t="s">
        <v>2073</v>
      </c>
      <c r="N1383" t="s">
        <v>2074</v>
      </c>
      <c r="O1383" t="s">
        <v>2075</v>
      </c>
      <c r="P1383" t="s">
        <v>2076</v>
      </c>
      <c r="Q1383" t="s">
        <v>2077</v>
      </c>
      <c r="R1383" t="s">
        <v>14</v>
      </c>
      <c r="S1383" t="s">
        <v>2078</v>
      </c>
      <c r="T1383" t="s">
        <v>2079</v>
      </c>
      <c r="U1383" t="s">
        <v>2080</v>
      </c>
      <c r="V1383" t="s">
        <v>14</v>
      </c>
      <c r="W1383" t="b">
        <v>1</v>
      </c>
      <c r="X1383" t="s">
        <v>4459</v>
      </c>
      <c r="Y1383" t="b">
        <v>0</v>
      </c>
      <c r="Z1383" t="s">
        <v>2053</v>
      </c>
    </row>
    <row r="1384" spans="1:26" x14ac:dyDescent="0.35">
      <c r="A1384" t="s">
        <v>836</v>
      </c>
      <c r="B1384" t="s">
        <v>837</v>
      </c>
      <c r="C1384" t="s">
        <v>2967</v>
      </c>
      <c r="D1384" t="s">
        <v>1963</v>
      </c>
      <c r="E1384" t="s">
        <v>2020</v>
      </c>
      <c r="F1384" t="s">
        <v>2021</v>
      </c>
      <c r="G1384" t="s">
        <v>2022</v>
      </c>
      <c r="H1384" t="s">
        <v>2023</v>
      </c>
      <c r="I1384" t="s">
        <v>3786</v>
      </c>
      <c r="J1384" t="s">
        <v>1963</v>
      </c>
      <c r="K1384" t="s">
        <v>4460</v>
      </c>
      <c r="L1384" t="s">
        <v>2046</v>
      </c>
      <c r="M1384" t="s">
        <v>2026</v>
      </c>
      <c r="N1384" t="s">
        <v>2027</v>
      </c>
      <c r="O1384" t="s">
        <v>3783</v>
      </c>
      <c r="P1384" t="s">
        <v>3784</v>
      </c>
      <c r="Q1384" t="s">
        <v>14</v>
      </c>
      <c r="R1384" t="s">
        <v>14</v>
      </c>
      <c r="S1384" t="s">
        <v>3083</v>
      </c>
      <c r="T1384" t="s">
        <v>3084</v>
      </c>
      <c r="U1384" t="s">
        <v>2030</v>
      </c>
      <c r="V1384" t="s">
        <v>14</v>
      </c>
      <c r="W1384" t="b">
        <v>1</v>
      </c>
      <c r="X1384" t="s">
        <v>4461</v>
      </c>
      <c r="Y1384" t="b">
        <v>0</v>
      </c>
      <c r="Z1384" t="s">
        <v>2081</v>
      </c>
    </row>
    <row r="1385" spans="1:26" x14ac:dyDescent="0.35">
      <c r="A1385" t="s">
        <v>836</v>
      </c>
      <c r="B1385" t="s">
        <v>837</v>
      </c>
      <c r="C1385" t="s">
        <v>2967</v>
      </c>
      <c r="D1385" t="s">
        <v>1963</v>
      </c>
      <c r="E1385" t="s">
        <v>2020</v>
      </c>
      <c r="F1385" t="s">
        <v>2021</v>
      </c>
      <c r="G1385" t="s">
        <v>2022</v>
      </c>
      <c r="H1385" t="s">
        <v>2023</v>
      </c>
      <c r="I1385" t="s">
        <v>3781</v>
      </c>
      <c r="J1385" t="s">
        <v>1963</v>
      </c>
      <c r="K1385" t="s">
        <v>4460</v>
      </c>
      <c r="L1385" t="s">
        <v>2046</v>
      </c>
      <c r="M1385" t="s">
        <v>2026</v>
      </c>
      <c r="N1385" t="s">
        <v>2027</v>
      </c>
      <c r="O1385" t="s">
        <v>3783</v>
      </c>
      <c r="P1385" t="s">
        <v>3784</v>
      </c>
      <c r="Q1385" t="s">
        <v>14</v>
      </c>
      <c r="R1385" t="s">
        <v>14</v>
      </c>
      <c r="S1385" t="s">
        <v>14</v>
      </c>
      <c r="T1385" t="s">
        <v>14</v>
      </c>
      <c r="U1385" t="s">
        <v>2030</v>
      </c>
      <c r="V1385" t="s">
        <v>14</v>
      </c>
      <c r="W1385" t="b">
        <v>1</v>
      </c>
      <c r="X1385" t="s">
        <v>4461</v>
      </c>
      <c r="Y1385" t="b">
        <v>0</v>
      </c>
      <c r="Z1385" t="s">
        <v>2081</v>
      </c>
    </row>
    <row r="1386" spans="1:26" x14ac:dyDescent="0.35">
      <c r="A1386" t="s">
        <v>838</v>
      </c>
      <c r="B1386" t="s">
        <v>839</v>
      </c>
      <c r="C1386" t="s">
        <v>2967</v>
      </c>
      <c r="D1386" t="s">
        <v>1963</v>
      </c>
      <c r="E1386" t="s">
        <v>2020</v>
      </c>
      <c r="F1386" t="s">
        <v>2021</v>
      </c>
      <c r="G1386" t="s">
        <v>2022</v>
      </c>
      <c r="H1386" t="s">
        <v>2023</v>
      </c>
      <c r="I1386" t="s">
        <v>3786</v>
      </c>
      <c r="J1386" t="s">
        <v>1963</v>
      </c>
      <c r="K1386" t="s">
        <v>4462</v>
      </c>
      <c r="L1386" t="s">
        <v>2046</v>
      </c>
      <c r="M1386" t="s">
        <v>2026</v>
      </c>
      <c r="N1386" t="s">
        <v>2027</v>
      </c>
      <c r="O1386" t="s">
        <v>3783</v>
      </c>
      <c r="P1386" t="s">
        <v>3784</v>
      </c>
      <c r="Q1386" t="s">
        <v>14</v>
      </c>
      <c r="R1386" t="s">
        <v>14</v>
      </c>
      <c r="S1386" t="s">
        <v>3083</v>
      </c>
      <c r="T1386" t="s">
        <v>3084</v>
      </c>
      <c r="U1386" t="s">
        <v>2030</v>
      </c>
      <c r="V1386" t="s">
        <v>14</v>
      </c>
      <c r="W1386" t="b">
        <v>1</v>
      </c>
      <c r="X1386" t="s">
        <v>4463</v>
      </c>
      <c r="Y1386" t="b">
        <v>0</v>
      </c>
      <c r="Z1386" t="s">
        <v>2081</v>
      </c>
    </row>
    <row r="1387" spans="1:26" x14ac:dyDescent="0.35">
      <c r="A1387" t="s">
        <v>838</v>
      </c>
      <c r="B1387" t="s">
        <v>839</v>
      </c>
      <c r="C1387" t="s">
        <v>2967</v>
      </c>
      <c r="D1387" t="s">
        <v>1963</v>
      </c>
      <c r="E1387" t="s">
        <v>2020</v>
      </c>
      <c r="F1387" t="s">
        <v>2021</v>
      </c>
      <c r="G1387" t="s">
        <v>2022</v>
      </c>
      <c r="H1387" t="s">
        <v>2023</v>
      </c>
      <c r="I1387" t="s">
        <v>3781</v>
      </c>
      <c r="J1387" t="s">
        <v>1963</v>
      </c>
      <c r="K1387" t="s">
        <v>4462</v>
      </c>
      <c r="L1387" t="s">
        <v>2046</v>
      </c>
      <c r="M1387" t="s">
        <v>2026</v>
      </c>
      <c r="N1387" t="s">
        <v>2027</v>
      </c>
      <c r="O1387" t="s">
        <v>3783</v>
      </c>
      <c r="P1387" t="s">
        <v>3784</v>
      </c>
      <c r="Q1387" t="s">
        <v>14</v>
      </c>
      <c r="R1387" t="s">
        <v>14</v>
      </c>
      <c r="S1387" t="s">
        <v>14</v>
      </c>
      <c r="T1387" t="s">
        <v>14</v>
      </c>
      <c r="U1387" t="s">
        <v>2030</v>
      </c>
      <c r="V1387" t="s">
        <v>14</v>
      </c>
      <c r="W1387" t="b">
        <v>1</v>
      </c>
      <c r="X1387" t="s">
        <v>4463</v>
      </c>
      <c r="Y1387" t="b">
        <v>0</v>
      </c>
      <c r="Z1387" t="s">
        <v>2081</v>
      </c>
    </row>
    <row r="1388" spans="1:26" x14ac:dyDescent="0.35">
      <c r="A1388" t="s">
        <v>840</v>
      </c>
      <c r="B1388" t="s">
        <v>841</v>
      </c>
      <c r="C1388" t="s">
        <v>3167</v>
      </c>
      <c r="D1388" t="s">
        <v>1963</v>
      </c>
      <c r="E1388" t="s">
        <v>2020</v>
      </c>
      <c r="F1388" t="s">
        <v>2021</v>
      </c>
      <c r="G1388" t="s">
        <v>2022</v>
      </c>
      <c r="H1388" t="s">
        <v>2023</v>
      </c>
      <c r="I1388" t="s">
        <v>3781</v>
      </c>
      <c r="J1388" t="s">
        <v>1963</v>
      </c>
      <c r="K1388" t="s">
        <v>4464</v>
      </c>
      <c r="L1388" t="s">
        <v>2046</v>
      </c>
      <c r="M1388" t="s">
        <v>2026</v>
      </c>
      <c r="N1388" t="s">
        <v>2027</v>
      </c>
      <c r="O1388" t="s">
        <v>3783</v>
      </c>
      <c r="P1388" t="s">
        <v>3784</v>
      </c>
      <c r="Q1388" t="s">
        <v>14</v>
      </c>
      <c r="R1388" t="s">
        <v>14</v>
      </c>
      <c r="S1388" t="s">
        <v>14</v>
      </c>
      <c r="T1388" t="s">
        <v>14</v>
      </c>
      <c r="U1388" t="s">
        <v>2030</v>
      </c>
      <c r="V1388" t="s">
        <v>14</v>
      </c>
      <c r="W1388" t="b">
        <v>1</v>
      </c>
      <c r="X1388" t="s">
        <v>4465</v>
      </c>
      <c r="Y1388" t="b">
        <v>0</v>
      </c>
      <c r="Z1388" t="s">
        <v>2081</v>
      </c>
    </row>
    <row r="1389" spans="1:26" x14ac:dyDescent="0.35">
      <c r="A1389" t="s">
        <v>840</v>
      </c>
      <c r="B1389" t="s">
        <v>841</v>
      </c>
      <c r="C1389" t="s">
        <v>3167</v>
      </c>
      <c r="D1389" t="s">
        <v>1963</v>
      </c>
      <c r="E1389" t="s">
        <v>2020</v>
      </c>
      <c r="F1389" t="s">
        <v>2021</v>
      </c>
      <c r="G1389" t="s">
        <v>2022</v>
      </c>
      <c r="H1389" t="s">
        <v>2023</v>
      </c>
      <c r="I1389" t="s">
        <v>3786</v>
      </c>
      <c r="J1389" t="s">
        <v>1963</v>
      </c>
      <c r="K1389" t="s">
        <v>4464</v>
      </c>
      <c r="L1389" t="s">
        <v>2046</v>
      </c>
      <c r="M1389" t="s">
        <v>2026</v>
      </c>
      <c r="N1389" t="s">
        <v>2027</v>
      </c>
      <c r="O1389" t="s">
        <v>3783</v>
      </c>
      <c r="P1389" t="s">
        <v>3784</v>
      </c>
      <c r="Q1389" t="s">
        <v>14</v>
      </c>
      <c r="R1389" t="s">
        <v>14</v>
      </c>
      <c r="S1389" t="s">
        <v>3083</v>
      </c>
      <c r="T1389" t="s">
        <v>3084</v>
      </c>
      <c r="U1389" t="s">
        <v>2030</v>
      </c>
      <c r="V1389" t="s">
        <v>14</v>
      </c>
      <c r="W1389" t="b">
        <v>1</v>
      </c>
      <c r="X1389" t="s">
        <v>4465</v>
      </c>
      <c r="Y1389" t="b">
        <v>0</v>
      </c>
      <c r="Z1389" t="s">
        <v>2081</v>
      </c>
    </row>
    <row r="1390" spans="1:26" x14ac:dyDescent="0.35">
      <c r="A1390" t="s">
        <v>842</v>
      </c>
      <c r="B1390" t="s">
        <v>843</v>
      </c>
      <c r="C1390" t="s">
        <v>3167</v>
      </c>
      <c r="D1390" t="s">
        <v>1963</v>
      </c>
      <c r="E1390" t="s">
        <v>2020</v>
      </c>
      <c r="F1390" t="s">
        <v>2021</v>
      </c>
      <c r="G1390" t="s">
        <v>2022</v>
      </c>
      <c r="H1390" t="s">
        <v>2023</v>
      </c>
      <c r="I1390" t="s">
        <v>3786</v>
      </c>
      <c r="J1390" t="s">
        <v>1963</v>
      </c>
      <c r="K1390" t="s">
        <v>4466</v>
      </c>
      <c r="L1390" t="s">
        <v>2046</v>
      </c>
      <c r="M1390" t="s">
        <v>2026</v>
      </c>
      <c r="N1390" t="s">
        <v>2027</v>
      </c>
      <c r="O1390" t="s">
        <v>3783</v>
      </c>
      <c r="P1390" t="s">
        <v>3784</v>
      </c>
      <c r="Q1390" t="s">
        <v>14</v>
      </c>
      <c r="R1390" t="s">
        <v>14</v>
      </c>
      <c r="S1390" t="s">
        <v>3083</v>
      </c>
      <c r="T1390" t="s">
        <v>3084</v>
      </c>
      <c r="U1390" t="s">
        <v>2030</v>
      </c>
      <c r="V1390" t="s">
        <v>14</v>
      </c>
      <c r="W1390" t="b">
        <v>1</v>
      </c>
      <c r="X1390" t="s">
        <v>4467</v>
      </c>
      <c r="Y1390" t="b">
        <v>0</v>
      </c>
      <c r="Z1390" t="s">
        <v>2081</v>
      </c>
    </row>
    <row r="1391" spans="1:26" x14ac:dyDescent="0.35">
      <c r="A1391" t="s">
        <v>842</v>
      </c>
      <c r="B1391" t="s">
        <v>843</v>
      </c>
      <c r="C1391" t="s">
        <v>3167</v>
      </c>
      <c r="D1391" t="s">
        <v>1963</v>
      </c>
      <c r="E1391" t="s">
        <v>2020</v>
      </c>
      <c r="F1391" t="s">
        <v>2021</v>
      </c>
      <c r="G1391" t="s">
        <v>2022</v>
      </c>
      <c r="H1391" t="s">
        <v>2023</v>
      </c>
      <c r="I1391" t="s">
        <v>3781</v>
      </c>
      <c r="J1391" t="s">
        <v>1963</v>
      </c>
      <c r="K1391" t="s">
        <v>4466</v>
      </c>
      <c r="L1391" t="s">
        <v>2046</v>
      </c>
      <c r="M1391" t="s">
        <v>2026</v>
      </c>
      <c r="N1391" t="s">
        <v>2027</v>
      </c>
      <c r="O1391" t="s">
        <v>3783</v>
      </c>
      <c r="P1391" t="s">
        <v>3784</v>
      </c>
      <c r="Q1391" t="s">
        <v>14</v>
      </c>
      <c r="R1391" t="s">
        <v>14</v>
      </c>
      <c r="S1391" t="s">
        <v>14</v>
      </c>
      <c r="T1391" t="s">
        <v>14</v>
      </c>
      <c r="U1391" t="s">
        <v>2030</v>
      </c>
      <c r="V1391" t="s">
        <v>14</v>
      </c>
      <c r="W1391" t="b">
        <v>1</v>
      </c>
      <c r="X1391" t="s">
        <v>4467</v>
      </c>
      <c r="Y1391" t="b">
        <v>0</v>
      </c>
      <c r="Z1391" t="s">
        <v>2081</v>
      </c>
    </row>
    <row r="1392" spans="1:26" x14ac:dyDescent="0.35">
      <c r="A1392" t="s">
        <v>845</v>
      </c>
      <c r="B1392" t="s">
        <v>846</v>
      </c>
      <c r="C1392" t="s">
        <v>3167</v>
      </c>
      <c r="D1392" t="s">
        <v>1963</v>
      </c>
      <c r="E1392" t="s">
        <v>2020</v>
      </c>
      <c r="F1392" t="s">
        <v>2055</v>
      </c>
      <c r="G1392" t="s">
        <v>2056</v>
      </c>
      <c r="H1392" t="s">
        <v>2023</v>
      </c>
      <c r="I1392" t="s">
        <v>4468</v>
      </c>
      <c r="J1392" t="s">
        <v>1963</v>
      </c>
      <c r="K1392" t="s">
        <v>4469</v>
      </c>
      <c r="L1392" t="s">
        <v>2046</v>
      </c>
      <c r="M1392" t="s">
        <v>4470</v>
      </c>
      <c r="N1392" t="s">
        <v>4471</v>
      </c>
      <c r="O1392" t="s">
        <v>3722</v>
      </c>
      <c r="P1392" t="s">
        <v>3723</v>
      </c>
      <c r="Q1392" t="s">
        <v>14</v>
      </c>
      <c r="R1392" t="s">
        <v>14</v>
      </c>
      <c r="S1392" t="s">
        <v>3724</v>
      </c>
      <c r="T1392" t="s">
        <v>3725</v>
      </c>
      <c r="U1392" t="s">
        <v>2233</v>
      </c>
      <c r="V1392" t="s">
        <v>14</v>
      </c>
      <c r="W1392" t="b">
        <v>1</v>
      </c>
      <c r="X1392" t="s">
        <v>4472</v>
      </c>
      <c r="Y1392" t="b">
        <v>0</v>
      </c>
      <c r="Z1392" t="s">
        <v>2081</v>
      </c>
    </row>
    <row r="1393" spans="1:26" x14ac:dyDescent="0.35">
      <c r="A1393" t="s">
        <v>847</v>
      </c>
      <c r="B1393" t="s">
        <v>848</v>
      </c>
      <c r="C1393" t="s">
        <v>3167</v>
      </c>
      <c r="D1393" t="s">
        <v>1963</v>
      </c>
      <c r="E1393" t="s">
        <v>2020</v>
      </c>
      <c r="F1393" t="s">
        <v>2021</v>
      </c>
      <c r="G1393" t="s">
        <v>2022</v>
      </c>
      <c r="H1393" t="s">
        <v>2023</v>
      </c>
      <c r="I1393" t="s">
        <v>4473</v>
      </c>
      <c r="J1393" t="s">
        <v>1963</v>
      </c>
      <c r="K1393" t="s">
        <v>4474</v>
      </c>
      <c r="L1393" t="s">
        <v>2046</v>
      </c>
      <c r="M1393" t="s">
        <v>4397</v>
      </c>
      <c r="N1393" t="s">
        <v>4398</v>
      </c>
      <c r="O1393" t="s">
        <v>3485</v>
      </c>
      <c r="P1393" t="s">
        <v>3486</v>
      </c>
      <c r="Q1393" t="s">
        <v>14</v>
      </c>
      <c r="R1393" t="s">
        <v>14</v>
      </c>
      <c r="S1393" t="s">
        <v>4475</v>
      </c>
      <c r="T1393" t="s">
        <v>4476</v>
      </c>
      <c r="U1393" t="s">
        <v>2171</v>
      </c>
      <c r="V1393" t="s">
        <v>14</v>
      </c>
      <c r="W1393" t="b">
        <v>1</v>
      </c>
      <c r="X1393" t="s">
        <v>4477</v>
      </c>
      <c r="Y1393" t="b">
        <v>0</v>
      </c>
      <c r="Z1393" t="s">
        <v>2081</v>
      </c>
    </row>
    <row r="1394" spans="1:26" x14ac:dyDescent="0.35">
      <c r="A1394" t="s">
        <v>849</v>
      </c>
      <c r="B1394" t="s">
        <v>850</v>
      </c>
      <c r="C1394" t="s">
        <v>3167</v>
      </c>
      <c r="D1394" t="s">
        <v>1963</v>
      </c>
      <c r="E1394" t="s">
        <v>2020</v>
      </c>
      <c r="F1394" t="s">
        <v>2021</v>
      </c>
      <c r="G1394" t="s">
        <v>2022</v>
      </c>
      <c r="H1394" t="s">
        <v>2023</v>
      </c>
      <c r="I1394" t="s">
        <v>4478</v>
      </c>
      <c r="J1394" t="s">
        <v>1963</v>
      </c>
      <c r="K1394" t="s">
        <v>4479</v>
      </c>
      <c r="L1394" t="s">
        <v>2046</v>
      </c>
      <c r="M1394" t="s">
        <v>4397</v>
      </c>
      <c r="N1394" t="s">
        <v>4398</v>
      </c>
      <c r="O1394" t="s">
        <v>3485</v>
      </c>
      <c r="P1394" t="s">
        <v>3486</v>
      </c>
      <c r="Q1394" t="s">
        <v>14</v>
      </c>
      <c r="R1394" t="s">
        <v>14</v>
      </c>
      <c r="S1394" t="s">
        <v>4475</v>
      </c>
      <c r="T1394" t="s">
        <v>4476</v>
      </c>
      <c r="U1394" t="s">
        <v>2171</v>
      </c>
      <c r="V1394" t="s">
        <v>14</v>
      </c>
      <c r="W1394" t="b">
        <v>1</v>
      </c>
      <c r="X1394" t="s">
        <v>4480</v>
      </c>
      <c r="Y1394" t="b">
        <v>0</v>
      </c>
      <c r="Z1394" t="s">
        <v>2081</v>
      </c>
    </row>
    <row r="1395" spans="1:26" x14ac:dyDescent="0.35">
      <c r="A1395" t="s">
        <v>851</v>
      </c>
      <c r="B1395" t="s">
        <v>852</v>
      </c>
      <c r="C1395" t="s">
        <v>3167</v>
      </c>
      <c r="D1395" t="s">
        <v>1963</v>
      </c>
      <c r="E1395" t="s">
        <v>2020</v>
      </c>
      <c r="F1395" t="s">
        <v>2021</v>
      </c>
      <c r="G1395" t="s">
        <v>2022</v>
      </c>
      <c r="H1395" t="s">
        <v>2023</v>
      </c>
      <c r="I1395" t="s">
        <v>4481</v>
      </c>
      <c r="J1395" t="s">
        <v>1963</v>
      </c>
      <c r="K1395" t="s">
        <v>4482</v>
      </c>
      <c r="L1395" t="s">
        <v>2046</v>
      </c>
      <c r="M1395" t="s">
        <v>4397</v>
      </c>
      <c r="N1395" t="s">
        <v>4398</v>
      </c>
      <c r="O1395" t="s">
        <v>3485</v>
      </c>
      <c r="P1395" t="s">
        <v>3486</v>
      </c>
      <c r="Q1395" t="s">
        <v>14</v>
      </c>
      <c r="R1395" t="s">
        <v>14</v>
      </c>
      <c r="S1395" t="s">
        <v>4475</v>
      </c>
      <c r="T1395" t="s">
        <v>4476</v>
      </c>
      <c r="U1395" t="s">
        <v>2171</v>
      </c>
      <c r="V1395" t="s">
        <v>14</v>
      </c>
      <c r="W1395" t="b">
        <v>1</v>
      </c>
      <c r="X1395" t="s">
        <v>4483</v>
      </c>
      <c r="Y1395" t="b">
        <v>0</v>
      </c>
      <c r="Z1395" t="s">
        <v>2081</v>
      </c>
    </row>
    <row r="1396" spans="1:26" x14ac:dyDescent="0.35">
      <c r="A1396" t="s">
        <v>851</v>
      </c>
      <c r="B1396" t="s">
        <v>852</v>
      </c>
      <c r="C1396" t="s">
        <v>3167</v>
      </c>
      <c r="D1396" t="s">
        <v>1963</v>
      </c>
      <c r="E1396" t="s">
        <v>2020</v>
      </c>
      <c r="F1396" t="s">
        <v>2021</v>
      </c>
      <c r="G1396" t="s">
        <v>2022</v>
      </c>
      <c r="H1396" t="s">
        <v>2023</v>
      </c>
      <c r="I1396" t="s">
        <v>4484</v>
      </c>
      <c r="J1396" t="s">
        <v>1963</v>
      </c>
      <c r="K1396" t="s">
        <v>4482</v>
      </c>
      <c r="L1396" t="s">
        <v>2046</v>
      </c>
      <c r="M1396" t="s">
        <v>4397</v>
      </c>
      <c r="N1396" t="s">
        <v>4398</v>
      </c>
      <c r="O1396" t="s">
        <v>3485</v>
      </c>
      <c r="P1396" t="s">
        <v>3486</v>
      </c>
      <c r="Q1396" t="s">
        <v>14</v>
      </c>
      <c r="R1396" t="s">
        <v>14</v>
      </c>
      <c r="S1396" t="s">
        <v>4475</v>
      </c>
      <c r="T1396" t="s">
        <v>4476</v>
      </c>
      <c r="U1396" t="s">
        <v>2171</v>
      </c>
      <c r="V1396" t="s">
        <v>14</v>
      </c>
      <c r="W1396" t="b">
        <v>1</v>
      </c>
      <c r="X1396" t="s">
        <v>4483</v>
      </c>
      <c r="Y1396" t="b">
        <v>0</v>
      </c>
      <c r="Z1396" t="s">
        <v>2081</v>
      </c>
    </row>
    <row r="1397" spans="1:26" x14ac:dyDescent="0.35">
      <c r="A1397" t="s">
        <v>851</v>
      </c>
      <c r="B1397" t="s">
        <v>852</v>
      </c>
      <c r="C1397" t="s">
        <v>3167</v>
      </c>
      <c r="D1397" t="s">
        <v>1963</v>
      </c>
      <c r="E1397" t="s">
        <v>2020</v>
      </c>
      <c r="F1397" t="s">
        <v>2021</v>
      </c>
      <c r="G1397" t="s">
        <v>2022</v>
      </c>
      <c r="H1397" t="s">
        <v>2023</v>
      </c>
      <c r="I1397" t="s">
        <v>4485</v>
      </c>
      <c r="J1397" t="s">
        <v>1963</v>
      </c>
      <c r="K1397" t="s">
        <v>4482</v>
      </c>
      <c r="L1397" t="s">
        <v>2046</v>
      </c>
      <c r="M1397" t="s">
        <v>4397</v>
      </c>
      <c r="N1397" t="s">
        <v>4398</v>
      </c>
      <c r="O1397" t="s">
        <v>3485</v>
      </c>
      <c r="P1397" t="s">
        <v>3486</v>
      </c>
      <c r="Q1397" t="s">
        <v>14</v>
      </c>
      <c r="R1397" t="s">
        <v>14</v>
      </c>
      <c r="S1397" t="s">
        <v>4475</v>
      </c>
      <c r="T1397" t="s">
        <v>4476</v>
      </c>
      <c r="U1397" t="s">
        <v>2171</v>
      </c>
      <c r="V1397" t="s">
        <v>14</v>
      </c>
      <c r="W1397" t="b">
        <v>1</v>
      </c>
      <c r="X1397" t="s">
        <v>4483</v>
      </c>
      <c r="Y1397" t="b">
        <v>0</v>
      </c>
      <c r="Z1397" t="s">
        <v>2081</v>
      </c>
    </row>
    <row r="1398" spans="1:26" x14ac:dyDescent="0.35">
      <c r="A1398" t="s">
        <v>851</v>
      </c>
      <c r="B1398" t="s">
        <v>852</v>
      </c>
      <c r="C1398" t="s">
        <v>3167</v>
      </c>
      <c r="D1398" t="s">
        <v>1963</v>
      </c>
      <c r="E1398" t="s">
        <v>2020</v>
      </c>
      <c r="F1398" t="s">
        <v>2021</v>
      </c>
      <c r="G1398" t="s">
        <v>2022</v>
      </c>
      <c r="H1398" t="s">
        <v>2023</v>
      </c>
      <c r="I1398" t="s">
        <v>4486</v>
      </c>
      <c r="J1398" t="s">
        <v>1963</v>
      </c>
      <c r="K1398" t="s">
        <v>4482</v>
      </c>
      <c r="L1398" t="s">
        <v>2046</v>
      </c>
      <c r="M1398" t="s">
        <v>4397</v>
      </c>
      <c r="N1398" t="s">
        <v>4398</v>
      </c>
      <c r="O1398" t="s">
        <v>3485</v>
      </c>
      <c r="P1398" t="s">
        <v>3486</v>
      </c>
      <c r="Q1398" t="s">
        <v>14</v>
      </c>
      <c r="R1398" t="s">
        <v>14</v>
      </c>
      <c r="S1398" t="s">
        <v>4475</v>
      </c>
      <c r="T1398" t="s">
        <v>4476</v>
      </c>
      <c r="U1398" t="s">
        <v>2171</v>
      </c>
      <c r="V1398" t="s">
        <v>14</v>
      </c>
      <c r="W1398" t="b">
        <v>1</v>
      </c>
      <c r="X1398" t="s">
        <v>4483</v>
      </c>
      <c r="Y1398" t="b">
        <v>0</v>
      </c>
      <c r="Z1398" t="s">
        <v>2032</v>
      </c>
    </row>
    <row r="1399" spans="1:26" x14ac:dyDescent="0.35">
      <c r="A1399" t="s">
        <v>853</v>
      </c>
      <c r="B1399" t="s">
        <v>854</v>
      </c>
      <c r="C1399" t="s">
        <v>3167</v>
      </c>
      <c r="D1399" t="s">
        <v>1963</v>
      </c>
      <c r="E1399" t="s">
        <v>2020</v>
      </c>
      <c r="F1399" t="s">
        <v>2021</v>
      </c>
      <c r="G1399" t="s">
        <v>2022</v>
      </c>
      <c r="H1399" t="s">
        <v>2023</v>
      </c>
      <c r="I1399" t="s">
        <v>3461</v>
      </c>
      <c r="J1399" t="s">
        <v>1963</v>
      </c>
      <c r="K1399" t="s">
        <v>4487</v>
      </c>
      <c r="L1399" t="s">
        <v>2046</v>
      </c>
      <c r="M1399" t="s">
        <v>3463</v>
      </c>
      <c r="N1399" t="s">
        <v>3464</v>
      </c>
      <c r="O1399" t="s">
        <v>2214</v>
      </c>
      <c r="P1399" t="s">
        <v>2215</v>
      </c>
      <c r="Q1399" t="s">
        <v>3465</v>
      </c>
      <c r="R1399" t="s">
        <v>14</v>
      </c>
      <c r="S1399" t="s">
        <v>3466</v>
      </c>
      <c r="T1399" t="s">
        <v>3467</v>
      </c>
      <c r="U1399" t="s">
        <v>2052</v>
      </c>
      <c r="V1399" t="s">
        <v>14</v>
      </c>
      <c r="W1399" t="b">
        <v>1</v>
      </c>
      <c r="X1399" t="s">
        <v>4488</v>
      </c>
      <c r="Y1399" t="b">
        <v>0</v>
      </c>
      <c r="Z1399" t="s">
        <v>2053</v>
      </c>
    </row>
    <row r="1400" spans="1:26" x14ac:dyDescent="0.35">
      <c r="A1400" t="s">
        <v>855</v>
      </c>
      <c r="B1400" t="s">
        <v>856</v>
      </c>
      <c r="C1400" t="s">
        <v>3167</v>
      </c>
      <c r="D1400" t="s">
        <v>1963</v>
      </c>
      <c r="E1400" t="s">
        <v>2020</v>
      </c>
      <c r="F1400" t="s">
        <v>2021</v>
      </c>
      <c r="G1400" t="s">
        <v>2022</v>
      </c>
      <c r="H1400" t="s">
        <v>2023</v>
      </c>
      <c r="I1400" t="s">
        <v>3461</v>
      </c>
      <c r="J1400" t="s">
        <v>1963</v>
      </c>
      <c r="K1400" t="s">
        <v>4489</v>
      </c>
      <c r="L1400" t="s">
        <v>2046</v>
      </c>
      <c r="M1400" t="s">
        <v>3463</v>
      </c>
      <c r="N1400" t="s">
        <v>3464</v>
      </c>
      <c r="O1400" t="s">
        <v>2214</v>
      </c>
      <c r="P1400" t="s">
        <v>2215</v>
      </c>
      <c r="Q1400" t="s">
        <v>3465</v>
      </c>
      <c r="R1400" t="s">
        <v>14</v>
      </c>
      <c r="S1400" t="s">
        <v>3466</v>
      </c>
      <c r="T1400" t="s">
        <v>3467</v>
      </c>
      <c r="U1400" t="s">
        <v>2052</v>
      </c>
      <c r="V1400" t="s">
        <v>14</v>
      </c>
      <c r="W1400" t="b">
        <v>1</v>
      </c>
      <c r="X1400" t="s">
        <v>4490</v>
      </c>
      <c r="Y1400" t="b">
        <v>0</v>
      </c>
      <c r="Z1400" t="s">
        <v>2053</v>
      </c>
    </row>
    <row r="1401" spans="1:26" x14ac:dyDescent="0.35">
      <c r="A1401" t="s">
        <v>857</v>
      </c>
      <c r="B1401" t="s">
        <v>858</v>
      </c>
      <c r="C1401" t="s">
        <v>3167</v>
      </c>
      <c r="D1401" t="s">
        <v>1963</v>
      </c>
      <c r="E1401" t="s">
        <v>2020</v>
      </c>
      <c r="F1401" t="s">
        <v>2021</v>
      </c>
      <c r="G1401" t="s">
        <v>2022</v>
      </c>
      <c r="H1401" t="s">
        <v>2023</v>
      </c>
      <c r="I1401" t="s">
        <v>4091</v>
      </c>
      <c r="J1401" t="s">
        <v>1963</v>
      </c>
      <c r="K1401" t="s">
        <v>4491</v>
      </c>
      <c r="L1401" t="s">
        <v>2046</v>
      </c>
      <c r="M1401" t="s">
        <v>4093</v>
      </c>
      <c r="N1401" t="s">
        <v>4094</v>
      </c>
      <c r="O1401" t="s">
        <v>2214</v>
      </c>
      <c r="P1401" t="s">
        <v>2215</v>
      </c>
      <c r="Q1401" t="s">
        <v>3465</v>
      </c>
      <c r="R1401" t="s">
        <v>14</v>
      </c>
      <c r="S1401" t="s">
        <v>4095</v>
      </c>
      <c r="T1401" t="s">
        <v>4096</v>
      </c>
      <c r="U1401" t="s">
        <v>2052</v>
      </c>
      <c r="V1401" t="s">
        <v>14</v>
      </c>
      <c r="W1401" t="b">
        <v>1</v>
      </c>
      <c r="X1401" t="s">
        <v>4492</v>
      </c>
      <c r="Y1401" t="b">
        <v>0</v>
      </c>
      <c r="Z1401" t="s">
        <v>2053</v>
      </c>
    </row>
    <row r="1402" spans="1:26" x14ac:dyDescent="0.35">
      <c r="A1402" t="s">
        <v>859</v>
      </c>
      <c r="B1402" t="s">
        <v>860</v>
      </c>
      <c r="C1402" t="s">
        <v>3167</v>
      </c>
      <c r="D1402" t="s">
        <v>1963</v>
      </c>
      <c r="E1402" t="s">
        <v>2020</v>
      </c>
      <c r="F1402" t="s">
        <v>2021</v>
      </c>
      <c r="G1402" t="s">
        <v>2022</v>
      </c>
      <c r="H1402" t="s">
        <v>2023</v>
      </c>
      <c r="I1402" t="s">
        <v>4493</v>
      </c>
      <c r="J1402" t="s">
        <v>1963</v>
      </c>
      <c r="K1402" t="s">
        <v>4494</v>
      </c>
      <c r="L1402" t="s">
        <v>2046</v>
      </c>
      <c r="M1402" t="s">
        <v>4406</v>
      </c>
      <c r="N1402" t="s">
        <v>4407</v>
      </c>
      <c r="O1402" t="s">
        <v>2340</v>
      </c>
      <c r="P1402" t="s">
        <v>2341</v>
      </c>
      <c r="Q1402" t="s">
        <v>14</v>
      </c>
      <c r="R1402" t="s">
        <v>14</v>
      </c>
      <c r="S1402" t="s">
        <v>4408</v>
      </c>
      <c r="T1402" t="s">
        <v>4409</v>
      </c>
      <c r="U1402" t="s">
        <v>2171</v>
      </c>
      <c r="V1402" t="s">
        <v>14</v>
      </c>
      <c r="W1402" t="b">
        <v>1</v>
      </c>
      <c r="X1402" t="s">
        <v>4495</v>
      </c>
      <c r="Y1402" t="b">
        <v>0</v>
      </c>
      <c r="Z1402" t="s">
        <v>2032</v>
      </c>
    </row>
    <row r="1403" spans="1:26" x14ac:dyDescent="0.35">
      <c r="A1403" t="s">
        <v>861</v>
      </c>
      <c r="B1403" t="s">
        <v>862</v>
      </c>
      <c r="C1403" t="s">
        <v>2967</v>
      </c>
      <c r="D1403" t="s">
        <v>1963</v>
      </c>
      <c r="E1403" t="s">
        <v>2020</v>
      </c>
      <c r="F1403" t="s">
        <v>2021</v>
      </c>
      <c r="G1403" t="s">
        <v>2022</v>
      </c>
      <c r="H1403" t="s">
        <v>2023</v>
      </c>
      <c r="I1403" t="s">
        <v>1426</v>
      </c>
      <c r="J1403" t="s">
        <v>1963</v>
      </c>
      <c r="K1403" t="s">
        <v>4496</v>
      </c>
      <c r="L1403" t="s">
        <v>2046</v>
      </c>
      <c r="M1403" t="s">
        <v>2058</v>
      </c>
      <c r="N1403" t="s">
        <v>2059</v>
      </c>
      <c r="O1403" t="s">
        <v>2060</v>
      </c>
      <c r="P1403" t="s">
        <v>2061</v>
      </c>
      <c r="Q1403" t="s">
        <v>2062</v>
      </c>
      <c r="R1403" t="s">
        <v>14</v>
      </c>
      <c r="S1403" t="s">
        <v>2063</v>
      </c>
      <c r="T1403" t="s">
        <v>2064</v>
      </c>
      <c r="U1403" t="s">
        <v>2052</v>
      </c>
      <c r="V1403" t="s">
        <v>14</v>
      </c>
      <c r="W1403" t="b">
        <v>1</v>
      </c>
      <c r="X1403" t="s">
        <v>4497</v>
      </c>
      <c r="Y1403" t="b">
        <v>0</v>
      </c>
      <c r="Z1403" t="s">
        <v>2053</v>
      </c>
    </row>
    <row r="1404" spans="1:26" x14ac:dyDescent="0.35">
      <c r="A1404" t="s">
        <v>863</v>
      </c>
      <c r="B1404" t="s">
        <v>864</v>
      </c>
      <c r="C1404" t="s">
        <v>3167</v>
      </c>
      <c r="D1404" t="s">
        <v>1963</v>
      </c>
      <c r="E1404" t="s">
        <v>2020</v>
      </c>
      <c r="F1404" t="s">
        <v>2021</v>
      </c>
      <c r="G1404" t="s">
        <v>2022</v>
      </c>
      <c r="H1404" t="s">
        <v>2023</v>
      </c>
      <c r="I1404" t="s">
        <v>4498</v>
      </c>
      <c r="J1404" t="s">
        <v>1963</v>
      </c>
      <c r="K1404" t="s">
        <v>4499</v>
      </c>
      <c r="L1404" t="s">
        <v>2046</v>
      </c>
      <c r="M1404" t="s">
        <v>3745</v>
      </c>
      <c r="N1404" t="s">
        <v>3746</v>
      </c>
      <c r="O1404" t="s">
        <v>3745</v>
      </c>
      <c r="P1404" t="s">
        <v>3746</v>
      </c>
      <c r="Q1404" t="s">
        <v>14</v>
      </c>
      <c r="R1404" t="s">
        <v>14</v>
      </c>
      <c r="S1404" t="s">
        <v>14</v>
      </c>
      <c r="T1404" t="s">
        <v>14</v>
      </c>
      <c r="U1404" t="s">
        <v>2030</v>
      </c>
      <c r="V1404" t="s">
        <v>14</v>
      </c>
      <c r="W1404" t="b">
        <v>1</v>
      </c>
      <c r="X1404" t="s">
        <v>4500</v>
      </c>
      <c r="Y1404" t="b">
        <v>0</v>
      </c>
      <c r="Z1404" t="s">
        <v>2032</v>
      </c>
    </row>
    <row r="1405" spans="1:26" x14ac:dyDescent="0.35">
      <c r="A1405" t="s">
        <v>865</v>
      </c>
      <c r="B1405" t="s">
        <v>866</v>
      </c>
      <c r="C1405" t="s">
        <v>3167</v>
      </c>
      <c r="D1405" t="s">
        <v>1963</v>
      </c>
      <c r="E1405" t="s">
        <v>2020</v>
      </c>
      <c r="F1405" t="s">
        <v>2021</v>
      </c>
      <c r="G1405" t="s">
        <v>2022</v>
      </c>
      <c r="H1405" t="s">
        <v>2023</v>
      </c>
      <c r="I1405" t="s">
        <v>4498</v>
      </c>
      <c r="J1405" t="s">
        <v>1963</v>
      </c>
      <c r="K1405" t="s">
        <v>4501</v>
      </c>
      <c r="L1405" t="s">
        <v>2046</v>
      </c>
      <c r="M1405" t="s">
        <v>3745</v>
      </c>
      <c r="N1405" t="s">
        <v>3746</v>
      </c>
      <c r="O1405" t="s">
        <v>3745</v>
      </c>
      <c r="P1405" t="s">
        <v>3746</v>
      </c>
      <c r="Q1405" t="s">
        <v>14</v>
      </c>
      <c r="R1405" t="s">
        <v>14</v>
      </c>
      <c r="S1405" t="s">
        <v>14</v>
      </c>
      <c r="T1405" t="s">
        <v>14</v>
      </c>
      <c r="U1405" t="s">
        <v>2030</v>
      </c>
      <c r="V1405" t="s">
        <v>14</v>
      </c>
      <c r="W1405" t="b">
        <v>1</v>
      </c>
      <c r="X1405" t="s">
        <v>4502</v>
      </c>
      <c r="Y1405" t="b">
        <v>0</v>
      </c>
      <c r="Z1405" t="s">
        <v>2032</v>
      </c>
    </row>
    <row r="1406" spans="1:26" x14ac:dyDescent="0.35">
      <c r="A1406" t="s">
        <v>867</v>
      </c>
      <c r="B1406" t="s">
        <v>868</v>
      </c>
      <c r="C1406" t="s">
        <v>3167</v>
      </c>
      <c r="D1406" t="s">
        <v>1963</v>
      </c>
      <c r="E1406" t="s">
        <v>2020</v>
      </c>
      <c r="F1406" t="s">
        <v>2021</v>
      </c>
      <c r="G1406" t="s">
        <v>2022</v>
      </c>
      <c r="H1406" t="s">
        <v>2023</v>
      </c>
      <c r="I1406" t="s">
        <v>4498</v>
      </c>
      <c r="J1406" t="s">
        <v>1963</v>
      </c>
      <c r="K1406" t="s">
        <v>4503</v>
      </c>
      <c r="L1406" t="s">
        <v>2046</v>
      </c>
      <c r="M1406" t="s">
        <v>3745</v>
      </c>
      <c r="N1406" t="s">
        <v>3746</v>
      </c>
      <c r="O1406" t="s">
        <v>3745</v>
      </c>
      <c r="P1406" t="s">
        <v>3746</v>
      </c>
      <c r="Q1406" t="s">
        <v>14</v>
      </c>
      <c r="R1406" t="s">
        <v>14</v>
      </c>
      <c r="S1406" t="s">
        <v>14</v>
      </c>
      <c r="T1406" t="s">
        <v>14</v>
      </c>
      <c r="U1406" t="s">
        <v>2030</v>
      </c>
      <c r="V1406" t="s">
        <v>14</v>
      </c>
      <c r="W1406" t="b">
        <v>1</v>
      </c>
      <c r="X1406" t="s">
        <v>4504</v>
      </c>
      <c r="Y1406" t="b">
        <v>0</v>
      </c>
      <c r="Z1406" t="s">
        <v>2032</v>
      </c>
    </row>
    <row r="1407" spans="1:26" x14ac:dyDescent="0.35">
      <c r="A1407" t="s">
        <v>4505</v>
      </c>
      <c r="B1407" t="s">
        <v>4506</v>
      </c>
      <c r="C1407" t="s">
        <v>3167</v>
      </c>
      <c r="D1407" t="s">
        <v>1963</v>
      </c>
      <c r="E1407" t="s">
        <v>2020</v>
      </c>
      <c r="F1407" t="s">
        <v>2021</v>
      </c>
      <c r="G1407" t="s">
        <v>2022</v>
      </c>
      <c r="H1407" t="s">
        <v>2023</v>
      </c>
      <c r="I1407" t="s">
        <v>4507</v>
      </c>
      <c r="J1407" t="s">
        <v>1963</v>
      </c>
      <c r="K1407" t="s">
        <v>4508</v>
      </c>
      <c r="L1407" t="s">
        <v>2046</v>
      </c>
      <c r="M1407" t="s">
        <v>3577</v>
      </c>
      <c r="N1407" t="s">
        <v>3578</v>
      </c>
      <c r="O1407" t="s">
        <v>3579</v>
      </c>
      <c r="P1407" t="s">
        <v>3580</v>
      </c>
      <c r="Q1407" t="s">
        <v>14</v>
      </c>
      <c r="R1407" t="s">
        <v>14</v>
      </c>
      <c r="S1407" t="s">
        <v>14</v>
      </c>
      <c r="T1407" t="s">
        <v>14</v>
      </c>
      <c r="U1407" t="s">
        <v>2390</v>
      </c>
      <c r="V1407" t="s">
        <v>14</v>
      </c>
      <c r="W1407" t="b">
        <v>1</v>
      </c>
      <c r="X1407" t="s">
        <v>4509</v>
      </c>
      <c r="Y1407" t="b">
        <v>0</v>
      </c>
      <c r="Z1407" t="s">
        <v>2053</v>
      </c>
    </row>
    <row r="1408" spans="1:26" x14ac:dyDescent="0.35">
      <c r="A1408" t="s">
        <v>4510</v>
      </c>
      <c r="B1408" t="s">
        <v>4511</v>
      </c>
      <c r="C1408" t="s">
        <v>3167</v>
      </c>
      <c r="D1408" t="s">
        <v>1963</v>
      </c>
      <c r="E1408" t="s">
        <v>2020</v>
      </c>
      <c r="F1408" t="s">
        <v>2021</v>
      </c>
      <c r="G1408" t="s">
        <v>2022</v>
      </c>
      <c r="H1408" t="s">
        <v>2023</v>
      </c>
      <c r="I1408" t="s">
        <v>4507</v>
      </c>
      <c r="J1408" t="s">
        <v>1963</v>
      </c>
      <c r="K1408" t="s">
        <v>4512</v>
      </c>
      <c r="L1408" t="s">
        <v>2046</v>
      </c>
      <c r="M1408" t="s">
        <v>3577</v>
      </c>
      <c r="N1408" t="s">
        <v>3578</v>
      </c>
      <c r="O1408" t="s">
        <v>3579</v>
      </c>
      <c r="P1408" t="s">
        <v>3580</v>
      </c>
      <c r="Q1408" t="s">
        <v>14</v>
      </c>
      <c r="R1408" t="s">
        <v>14</v>
      </c>
      <c r="S1408" t="s">
        <v>14</v>
      </c>
      <c r="T1408" t="s">
        <v>14</v>
      </c>
      <c r="U1408" t="s">
        <v>2390</v>
      </c>
      <c r="V1408" t="s">
        <v>14</v>
      </c>
      <c r="W1408" t="b">
        <v>1</v>
      </c>
      <c r="X1408" t="s">
        <v>4513</v>
      </c>
      <c r="Y1408" t="b">
        <v>0</v>
      </c>
      <c r="Z1408" t="s">
        <v>2053</v>
      </c>
    </row>
    <row r="1409" spans="1:26" x14ac:dyDescent="0.35">
      <c r="A1409" t="s">
        <v>4514</v>
      </c>
      <c r="B1409" t="s">
        <v>4515</v>
      </c>
      <c r="C1409" t="s">
        <v>3167</v>
      </c>
      <c r="D1409" t="s">
        <v>1963</v>
      </c>
      <c r="E1409" t="s">
        <v>2020</v>
      </c>
      <c r="F1409" t="s">
        <v>2021</v>
      </c>
      <c r="G1409" t="s">
        <v>2022</v>
      </c>
      <c r="H1409" t="s">
        <v>2023</v>
      </c>
      <c r="I1409" t="s">
        <v>4507</v>
      </c>
      <c r="J1409" t="s">
        <v>1963</v>
      </c>
      <c r="K1409" t="s">
        <v>4516</v>
      </c>
      <c r="L1409" t="s">
        <v>2046</v>
      </c>
      <c r="M1409" t="s">
        <v>3577</v>
      </c>
      <c r="N1409" t="s">
        <v>3578</v>
      </c>
      <c r="O1409" t="s">
        <v>3579</v>
      </c>
      <c r="P1409" t="s">
        <v>3580</v>
      </c>
      <c r="Q1409" t="s">
        <v>14</v>
      </c>
      <c r="R1409" t="s">
        <v>14</v>
      </c>
      <c r="S1409" t="s">
        <v>14</v>
      </c>
      <c r="T1409" t="s">
        <v>14</v>
      </c>
      <c r="U1409" t="s">
        <v>2390</v>
      </c>
      <c r="V1409" t="s">
        <v>14</v>
      </c>
      <c r="W1409" t="b">
        <v>1</v>
      </c>
      <c r="X1409" t="s">
        <v>4517</v>
      </c>
      <c r="Y1409" t="b">
        <v>0</v>
      </c>
      <c r="Z1409" t="s">
        <v>2053</v>
      </c>
    </row>
    <row r="1410" spans="1:26" x14ac:dyDescent="0.35">
      <c r="A1410" t="s">
        <v>4518</v>
      </c>
      <c r="B1410" t="s">
        <v>4519</v>
      </c>
      <c r="C1410" t="s">
        <v>3167</v>
      </c>
      <c r="D1410" t="s">
        <v>1963</v>
      </c>
      <c r="E1410" t="s">
        <v>2020</v>
      </c>
      <c r="F1410" t="s">
        <v>2021</v>
      </c>
      <c r="G1410" t="s">
        <v>2022</v>
      </c>
      <c r="H1410" t="s">
        <v>2023</v>
      </c>
      <c r="I1410" t="s">
        <v>4507</v>
      </c>
      <c r="J1410" t="s">
        <v>1963</v>
      </c>
      <c r="K1410" t="s">
        <v>4520</v>
      </c>
      <c r="L1410" t="s">
        <v>2046</v>
      </c>
      <c r="M1410" t="s">
        <v>3577</v>
      </c>
      <c r="N1410" t="s">
        <v>3578</v>
      </c>
      <c r="O1410" t="s">
        <v>3579</v>
      </c>
      <c r="P1410" t="s">
        <v>3580</v>
      </c>
      <c r="Q1410" t="s">
        <v>14</v>
      </c>
      <c r="R1410" t="s">
        <v>14</v>
      </c>
      <c r="S1410" t="s">
        <v>14</v>
      </c>
      <c r="T1410" t="s">
        <v>14</v>
      </c>
      <c r="U1410" t="s">
        <v>2390</v>
      </c>
      <c r="V1410" t="s">
        <v>14</v>
      </c>
      <c r="W1410" t="b">
        <v>1</v>
      </c>
      <c r="X1410" t="s">
        <v>4521</v>
      </c>
      <c r="Y1410" t="b">
        <v>0</v>
      </c>
      <c r="Z1410" t="s">
        <v>2053</v>
      </c>
    </row>
    <row r="1411" spans="1:26" x14ac:dyDescent="0.35">
      <c r="A1411" t="s">
        <v>1947</v>
      </c>
      <c r="B1411" t="s">
        <v>1948</v>
      </c>
      <c r="C1411" t="s">
        <v>3167</v>
      </c>
      <c r="D1411" t="s">
        <v>1963</v>
      </c>
      <c r="E1411" t="s">
        <v>2020</v>
      </c>
      <c r="F1411" t="s">
        <v>2021</v>
      </c>
      <c r="G1411" t="s">
        <v>2022</v>
      </c>
      <c r="H1411" t="s">
        <v>2023</v>
      </c>
      <c r="I1411" t="s">
        <v>4507</v>
      </c>
      <c r="J1411" t="s">
        <v>1963</v>
      </c>
      <c r="K1411" t="s">
        <v>4522</v>
      </c>
      <c r="L1411" t="s">
        <v>2046</v>
      </c>
      <c r="M1411" t="s">
        <v>3577</v>
      </c>
      <c r="N1411" t="s">
        <v>3578</v>
      </c>
      <c r="O1411" t="s">
        <v>3579</v>
      </c>
      <c r="P1411" t="s">
        <v>3580</v>
      </c>
      <c r="Q1411" t="s">
        <v>14</v>
      </c>
      <c r="R1411" t="s">
        <v>14</v>
      </c>
      <c r="S1411" t="s">
        <v>14</v>
      </c>
      <c r="T1411" t="s">
        <v>14</v>
      </c>
      <c r="U1411" t="s">
        <v>2390</v>
      </c>
      <c r="V1411" t="s">
        <v>14</v>
      </c>
      <c r="W1411" t="b">
        <v>1</v>
      </c>
      <c r="X1411" t="s">
        <v>4523</v>
      </c>
      <c r="Y1411" t="b">
        <v>0</v>
      </c>
      <c r="Z1411" t="s">
        <v>2053</v>
      </c>
    </row>
    <row r="1412" spans="1:26" x14ac:dyDescent="0.35">
      <c r="A1412" t="s">
        <v>4524</v>
      </c>
      <c r="B1412" t="s">
        <v>4525</v>
      </c>
      <c r="C1412" t="s">
        <v>3167</v>
      </c>
      <c r="D1412" t="s">
        <v>1963</v>
      </c>
      <c r="E1412" t="s">
        <v>2020</v>
      </c>
      <c r="F1412" t="s">
        <v>2021</v>
      </c>
      <c r="G1412" t="s">
        <v>2022</v>
      </c>
      <c r="H1412" t="s">
        <v>2023</v>
      </c>
      <c r="I1412" t="s">
        <v>4507</v>
      </c>
      <c r="J1412" t="s">
        <v>1963</v>
      </c>
      <c r="K1412" t="s">
        <v>4526</v>
      </c>
      <c r="L1412" t="s">
        <v>2046</v>
      </c>
      <c r="M1412" t="s">
        <v>3577</v>
      </c>
      <c r="N1412" t="s">
        <v>3578</v>
      </c>
      <c r="O1412" t="s">
        <v>3579</v>
      </c>
      <c r="P1412" t="s">
        <v>3580</v>
      </c>
      <c r="Q1412" t="s">
        <v>14</v>
      </c>
      <c r="R1412" t="s">
        <v>14</v>
      </c>
      <c r="S1412" t="s">
        <v>14</v>
      </c>
      <c r="T1412" t="s">
        <v>14</v>
      </c>
      <c r="U1412" t="s">
        <v>2390</v>
      </c>
      <c r="V1412" t="s">
        <v>14</v>
      </c>
      <c r="W1412" t="b">
        <v>1</v>
      </c>
      <c r="X1412" t="s">
        <v>4527</v>
      </c>
      <c r="Y1412" t="b">
        <v>0</v>
      </c>
      <c r="Z1412" t="s">
        <v>2053</v>
      </c>
    </row>
    <row r="1413" spans="1:26" x14ac:dyDescent="0.35">
      <c r="A1413" t="s">
        <v>869</v>
      </c>
      <c r="B1413" t="s">
        <v>870</v>
      </c>
      <c r="C1413" t="s">
        <v>3167</v>
      </c>
      <c r="D1413" t="s">
        <v>1963</v>
      </c>
      <c r="E1413" t="s">
        <v>2020</v>
      </c>
      <c r="F1413" t="s">
        <v>2021</v>
      </c>
      <c r="G1413" t="s">
        <v>2022</v>
      </c>
      <c r="H1413" t="s">
        <v>2023</v>
      </c>
      <c r="I1413" t="s">
        <v>4528</v>
      </c>
      <c r="J1413" t="s">
        <v>1963</v>
      </c>
      <c r="K1413" t="s">
        <v>4529</v>
      </c>
      <c r="L1413" t="s">
        <v>2046</v>
      </c>
      <c r="M1413" t="s">
        <v>4406</v>
      </c>
      <c r="N1413" t="s">
        <v>4407</v>
      </c>
      <c r="O1413" t="s">
        <v>2340</v>
      </c>
      <c r="P1413" t="s">
        <v>2341</v>
      </c>
      <c r="Q1413" t="s">
        <v>14</v>
      </c>
      <c r="R1413" t="s">
        <v>14</v>
      </c>
      <c r="S1413" t="s">
        <v>4408</v>
      </c>
      <c r="T1413" t="s">
        <v>4409</v>
      </c>
      <c r="U1413" t="s">
        <v>2171</v>
      </c>
      <c r="V1413" t="s">
        <v>14</v>
      </c>
      <c r="W1413" t="b">
        <v>1</v>
      </c>
      <c r="X1413" t="s">
        <v>4530</v>
      </c>
      <c r="Y1413" t="b">
        <v>0</v>
      </c>
      <c r="Z1413" t="s">
        <v>2032</v>
      </c>
    </row>
    <row r="1414" spans="1:26" x14ac:dyDescent="0.35">
      <c r="A1414" t="s">
        <v>871</v>
      </c>
      <c r="B1414" t="s">
        <v>872</v>
      </c>
      <c r="C1414" t="s">
        <v>3167</v>
      </c>
      <c r="D1414" t="s">
        <v>1963</v>
      </c>
      <c r="E1414" t="s">
        <v>2020</v>
      </c>
      <c r="F1414" t="s">
        <v>2055</v>
      </c>
      <c r="G1414" t="s">
        <v>2056</v>
      </c>
      <c r="H1414" t="s">
        <v>2023</v>
      </c>
      <c r="I1414" t="s">
        <v>4531</v>
      </c>
      <c r="J1414" t="s">
        <v>1963</v>
      </c>
      <c r="K1414" t="s">
        <v>4532</v>
      </c>
      <c r="L1414" t="s">
        <v>2046</v>
      </c>
      <c r="M1414" t="s">
        <v>2120</v>
      </c>
      <c r="N1414" t="s">
        <v>2121</v>
      </c>
      <c r="O1414" t="s">
        <v>2060</v>
      </c>
      <c r="P1414" t="s">
        <v>2061</v>
      </c>
      <c r="Q1414" t="s">
        <v>2122</v>
      </c>
      <c r="R1414" t="s">
        <v>14</v>
      </c>
      <c r="S1414" t="s">
        <v>2123</v>
      </c>
      <c r="T1414" t="s">
        <v>2124</v>
      </c>
      <c r="U1414" t="s">
        <v>2052</v>
      </c>
      <c r="V1414" t="s">
        <v>14</v>
      </c>
      <c r="W1414" t="b">
        <v>1</v>
      </c>
      <c r="X1414" t="s">
        <v>4533</v>
      </c>
      <c r="Y1414" t="b">
        <v>0</v>
      </c>
      <c r="Z1414" t="s">
        <v>2081</v>
      </c>
    </row>
    <row r="1415" spans="1:26" x14ac:dyDescent="0.35">
      <c r="A1415" t="s">
        <v>873</v>
      </c>
      <c r="B1415" t="s">
        <v>874</v>
      </c>
      <c r="C1415" t="s">
        <v>3167</v>
      </c>
      <c r="D1415" t="s">
        <v>1963</v>
      </c>
      <c r="E1415" t="s">
        <v>2020</v>
      </c>
      <c r="F1415" t="s">
        <v>2021</v>
      </c>
      <c r="G1415" t="s">
        <v>2022</v>
      </c>
      <c r="H1415" t="s">
        <v>2023</v>
      </c>
      <c r="I1415" t="s">
        <v>4534</v>
      </c>
      <c r="J1415" t="s">
        <v>1963</v>
      </c>
      <c r="K1415" t="s">
        <v>4535</v>
      </c>
      <c r="L1415" t="s">
        <v>2046</v>
      </c>
      <c r="M1415" t="s">
        <v>4536</v>
      </c>
      <c r="N1415" t="s">
        <v>4537</v>
      </c>
      <c r="O1415" t="s">
        <v>2635</v>
      </c>
      <c r="P1415" t="s">
        <v>2636</v>
      </c>
      <c r="Q1415" t="s">
        <v>14</v>
      </c>
      <c r="R1415" t="s">
        <v>14</v>
      </c>
      <c r="S1415" t="s">
        <v>14</v>
      </c>
      <c r="T1415" t="s">
        <v>14</v>
      </c>
      <c r="U1415" t="s">
        <v>2171</v>
      </c>
      <c r="V1415" t="s">
        <v>14</v>
      </c>
      <c r="W1415" t="b">
        <v>1</v>
      </c>
      <c r="X1415" t="s">
        <v>4538</v>
      </c>
      <c r="Y1415" t="b">
        <v>0</v>
      </c>
      <c r="Z1415" t="s">
        <v>2032</v>
      </c>
    </row>
    <row r="1416" spans="1:26" x14ac:dyDescent="0.35">
      <c r="A1416" t="s">
        <v>873</v>
      </c>
      <c r="B1416" t="s">
        <v>874</v>
      </c>
      <c r="C1416" t="s">
        <v>3167</v>
      </c>
      <c r="D1416" t="s">
        <v>1963</v>
      </c>
      <c r="E1416" t="s">
        <v>2020</v>
      </c>
      <c r="F1416" t="s">
        <v>2021</v>
      </c>
      <c r="G1416" t="s">
        <v>2022</v>
      </c>
      <c r="H1416" t="s">
        <v>2023</v>
      </c>
      <c r="I1416" t="s">
        <v>4539</v>
      </c>
      <c r="J1416" t="s">
        <v>1963</v>
      </c>
      <c r="K1416" t="s">
        <v>4535</v>
      </c>
      <c r="L1416" t="s">
        <v>2046</v>
      </c>
      <c r="M1416" t="s">
        <v>4540</v>
      </c>
      <c r="N1416" t="s">
        <v>4541</v>
      </c>
      <c r="O1416" t="s">
        <v>3485</v>
      </c>
      <c r="P1416" t="s">
        <v>3486</v>
      </c>
      <c r="Q1416" t="s">
        <v>14</v>
      </c>
      <c r="R1416" t="s">
        <v>14</v>
      </c>
      <c r="S1416" t="s">
        <v>4542</v>
      </c>
      <c r="T1416" t="s">
        <v>4543</v>
      </c>
      <c r="U1416" t="s">
        <v>2171</v>
      </c>
      <c r="V1416" t="s">
        <v>14</v>
      </c>
      <c r="W1416" t="b">
        <v>1</v>
      </c>
      <c r="X1416" t="s">
        <v>4538</v>
      </c>
      <c r="Y1416" t="b">
        <v>0</v>
      </c>
      <c r="Z1416" t="s">
        <v>2032</v>
      </c>
    </row>
    <row r="1417" spans="1:26" x14ac:dyDescent="0.35">
      <c r="A1417" t="s">
        <v>875</v>
      </c>
      <c r="B1417" t="s">
        <v>876</v>
      </c>
      <c r="C1417" t="s">
        <v>3167</v>
      </c>
      <c r="D1417" t="s">
        <v>1963</v>
      </c>
      <c r="E1417" t="s">
        <v>2020</v>
      </c>
      <c r="F1417" t="s">
        <v>2021</v>
      </c>
      <c r="G1417" t="s">
        <v>2022</v>
      </c>
      <c r="H1417" t="s">
        <v>2023</v>
      </c>
      <c r="I1417" t="s">
        <v>4534</v>
      </c>
      <c r="J1417" t="s">
        <v>1963</v>
      </c>
      <c r="K1417" t="s">
        <v>4544</v>
      </c>
      <c r="L1417" t="s">
        <v>2046</v>
      </c>
      <c r="M1417" t="s">
        <v>4536</v>
      </c>
      <c r="N1417" t="s">
        <v>4537</v>
      </c>
      <c r="O1417" t="s">
        <v>2635</v>
      </c>
      <c r="P1417" t="s">
        <v>2636</v>
      </c>
      <c r="Q1417" t="s">
        <v>14</v>
      </c>
      <c r="R1417" t="s">
        <v>14</v>
      </c>
      <c r="S1417" t="s">
        <v>14</v>
      </c>
      <c r="T1417" t="s">
        <v>14</v>
      </c>
      <c r="U1417" t="s">
        <v>2171</v>
      </c>
      <c r="V1417" t="s">
        <v>14</v>
      </c>
      <c r="W1417" t="b">
        <v>1</v>
      </c>
      <c r="X1417" t="s">
        <v>4545</v>
      </c>
      <c r="Y1417" t="b">
        <v>0</v>
      </c>
      <c r="Z1417" t="s">
        <v>2032</v>
      </c>
    </row>
    <row r="1418" spans="1:26" x14ac:dyDescent="0.35">
      <c r="A1418" t="s">
        <v>875</v>
      </c>
      <c r="B1418" t="s">
        <v>876</v>
      </c>
      <c r="C1418" t="s">
        <v>3167</v>
      </c>
      <c r="D1418" t="s">
        <v>1963</v>
      </c>
      <c r="E1418" t="s">
        <v>2020</v>
      </c>
      <c r="F1418" t="s">
        <v>2021</v>
      </c>
      <c r="G1418" t="s">
        <v>2022</v>
      </c>
      <c r="H1418" t="s">
        <v>2023</v>
      </c>
      <c r="I1418" t="s">
        <v>4539</v>
      </c>
      <c r="J1418" t="s">
        <v>1963</v>
      </c>
      <c r="K1418" t="s">
        <v>4544</v>
      </c>
      <c r="L1418" t="s">
        <v>2046</v>
      </c>
      <c r="M1418" t="s">
        <v>4540</v>
      </c>
      <c r="N1418" t="s">
        <v>4541</v>
      </c>
      <c r="O1418" t="s">
        <v>3485</v>
      </c>
      <c r="P1418" t="s">
        <v>3486</v>
      </c>
      <c r="Q1418" t="s">
        <v>14</v>
      </c>
      <c r="R1418" t="s">
        <v>14</v>
      </c>
      <c r="S1418" t="s">
        <v>4542</v>
      </c>
      <c r="T1418" t="s">
        <v>4543</v>
      </c>
      <c r="U1418" t="s">
        <v>2171</v>
      </c>
      <c r="V1418" t="s">
        <v>14</v>
      </c>
      <c r="W1418" t="b">
        <v>1</v>
      </c>
      <c r="X1418" t="s">
        <v>4545</v>
      </c>
      <c r="Y1418" t="b">
        <v>0</v>
      </c>
      <c r="Z1418" t="s">
        <v>2032</v>
      </c>
    </row>
    <row r="1419" spans="1:26" x14ac:dyDescent="0.35">
      <c r="A1419" t="s">
        <v>877</v>
      </c>
      <c r="B1419" t="s">
        <v>878</v>
      </c>
      <c r="C1419" t="s">
        <v>3167</v>
      </c>
      <c r="D1419" t="s">
        <v>1963</v>
      </c>
      <c r="E1419" t="s">
        <v>2020</v>
      </c>
      <c r="F1419" t="s">
        <v>2021</v>
      </c>
      <c r="G1419" t="s">
        <v>2022</v>
      </c>
      <c r="H1419" t="s">
        <v>2023</v>
      </c>
      <c r="I1419" t="s">
        <v>4534</v>
      </c>
      <c r="J1419" t="s">
        <v>1963</v>
      </c>
      <c r="K1419" t="s">
        <v>4546</v>
      </c>
      <c r="L1419" t="s">
        <v>2046</v>
      </c>
      <c r="M1419" t="s">
        <v>4536</v>
      </c>
      <c r="N1419" t="s">
        <v>4537</v>
      </c>
      <c r="O1419" t="s">
        <v>2635</v>
      </c>
      <c r="P1419" t="s">
        <v>2636</v>
      </c>
      <c r="Q1419" t="s">
        <v>14</v>
      </c>
      <c r="R1419" t="s">
        <v>14</v>
      </c>
      <c r="S1419" t="s">
        <v>14</v>
      </c>
      <c r="T1419" t="s">
        <v>14</v>
      </c>
      <c r="U1419" t="s">
        <v>2171</v>
      </c>
      <c r="V1419" t="s">
        <v>14</v>
      </c>
      <c r="W1419" t="b">
        <v>1</v>
      </c>
      <c r="X1419" t="s">
        <v>4547</v>
      </c>
      <c r="Y1419" t="b">
        <v>0</v>
      </c>
      <c r="Z1419" t="s">
        <v>2032</v>
      </c>
    </row>
    <row r="1420" spans="1:26" x14ac:dyDescent="0.35">
      <c r="A1420" t="s">
        <v>879</v>
      </c>
      <c r="B1420" t="s">
        <v>880</v>
      </c>
      <c r="C1420" t="s">
        <v>3167</v>
      </c>
      <c r="D1420" t="s">
        <v>1963</v>
      </c>
      <c r="E1420" t="s">
        <v>2020</v>
      </c>
      <c r="F1420" t="s">
        <v>2021</v>
      </c>
      <c r="G1420" t="s">
        <v>2022</v>
      </c>
      <c r="H1420" t="s">
        <v>2023</v>
      </c>
      <c r="I1420" t="s">
        <v>4534</v>
      </c>
      <c r="J1420" t="s">
        <v>1963</v>
      </c>
      <c r="K1420" t="s">
        <v>4548</v>
      </c>
      <c r="L1420" t="s">
        <v>2046</v>
      </c>
      <c r="M1420" t="s">
        <v>4536</v>
      </c>
      <c r="N1420" t="s">
        <v>4537</v>
      </c>
      <c r="O1420" t="s">
        <v>2635</v>
      </c>
      <c r="P1420" t="s">
        <v>2636</v>
      </c>
      <c r="Q1420" t="s">
        <v>14</v>
      </c>
      <c r="R1420" t="s">
        <v>14</v>
      </c>
      <c r="S1420" t="s">
        <v>14</v>
      </c>
      <c r="T1420" t="s">
        <v>14</v>
      </c>
      <c r="U1420" t="s">
        <v>2171</v>
      </c>
      <c r="V1420" t="s">
        <v>14</v>
      </c>
      <c r="W1420" t="b">
        <v>1</v>
      </c>
      <c r="X1420" t="s">
        <v>4549</v>
      </c>
      <c r="Y1420" t="b">
        <v>0</v>
      </c>
      <c r="Z1420" t="s">
        <v>2032</v>
      </c>
    </row>
    <row r="1421" spans="1:26" x14ac:dyDescent="0.35">
      <c r="A1421" t="s">
        <v>881</v>
      </c>
      <c r="B1421" t="s">
        <v>882</v>
      </c>
      <c r="C1421" t="s">
        <v>3167</v>
      </c>
      <c r="D1421" t="s">
        <v>1963</v>
      </c>
      <c r="E1421" t="s">
        <v>2020</v>
      </c>
      <c r="F1421" t="s">
        <v>2021</v>
      </c>
      <c r="G1421" t="s">
        <v>2022</v>
      </c>
      <c r="H1421" t="s">
        <v>2023</v>
      </c>
      <c r="I1421" t="s">
        <v>4534</v>
      </c>
      <c r="J1421" t="s">
        <v>1963</v>
      </c>
      <c r="K1421" t="s">
        <v>4550</v>
      </c>
      <c r="L1421" t="s">
        <v>2046</v>
      </c>
      <c r="M1421" t="s">
        <v>4536</v>
      </c>
      <c r="N1421" t="s">
        <v>4537</v>
      </c>
      <c r="O1421" t="s">
        <v>2635</v>
      </c>
      <c r="P1421" t="s">
        <v>2636</v>
      </c>
      <c r="Q1421" t="s">
        <v>14</v>
      </c>
      <c r="R1421" t="s">
        <v>14</v>
      </c>
      <c r="S1421" t="s">
        <v>14</v>
      </c>
      <c r="T1421" t="s">
        <v>14</v>
      </c>
      <c r="U1421" t="s">
        <v>2171</v>
      </c>
      <c r="V1421" t="s">
        <v>14</v>
      </c>
      <c r="W1421" t="b">
        <v>1</v>
      </c>
      <c r="X1421" t="s">
        <v>4551</v>
      </c>
      <c r="Y1421" t="b">
        <v>0</v>
      </c>
      <c r="Z1421" t="s">
        <v>2032</v>
      </c>
    </row>
    <row r="1422" spans="1:26" x14ac:dyDescent="0.35">
      <c r="A1422" t="s">
        <v>883</v>
      </c>
      <c r="B1422" t="s">
        <v>884</v>
      </c>
      <c r="C1422" t="s">
        <v>3167</v>
      </c>
      <c r="D1422" t="s">
        <v>1963</v>
      </c>
      <c r="E1422" t="s">
        <v>2020</v>
      </c>
      <c r="F1422" t="s">
        <v>2021</v>
      </c>
      <c r="G1422" t="s">
        <v>2022</v>
      </c>
      <c r="H1422" t="s">
        <v>2023</v>
      </c>
      <c r="I1422" t="s">
        <v>4534</v>
      </c>
      <c r="J1422" t="s">
        <v>1963</v>
      </c>
      <c r="K1422" t="s">
        <v>4552</v>
      </c>
      <c r="L1422" t="s">
        <v>2046</v>
      </c>
      <c r="M1422" t="s">
        <v>4536</v>
      </c>
      <c r="N1422" t="s">
        <v>4537</v>
      </c>
      <c r="O1422" t="s">
        <v>2635</v>
      </c>
      <c r="P1422" t="s">
        <v>2636</v>
      </c>
      <c r="Q1422" t="s">
        <v>14</v>
      </c>
      <c r="R1422" t="s">
        <v>14</v>
      </c>
      <c r="S1422" t="s">
        <v>14</v>
      </c>
      <c r="T1422" t="s">
        <v>14</v>
      </c>
      <c r="U1422" t="s">
        <v>2171</v>
      </c>
      <c r="V1422" t="s">
        <v>14</v>
      </c>
      <c r="W1422" t="b">
        <v>1</v>
      </c>
      <c r="X1422" t="s">
        <v>4553</v>
      </c>
      <c r="Y1422" t="b">
        <v>0</v>
      </c>
      <c r="Z1422" t="s">
        <v>2032</v>
      </c>
    </row>
    <row r="1423" spans="1:26" x14ac:dyDescent="0.35">
      <c r="A1423" t="s">
        <v>885</v>
      </c>
      <c r="B1423" t="s">
        <v>886</v>
      </c>
      <c r="C1423" t="s">
        <v>3167</v>
      </c>
      <c r="D1423" t="s">
        <v>1963</v>
      </c>
      <c r="E1423" t="s">
        <v>2020</v>
      </c>
      <c r="F1423" t="s">
        <v>2021</v>
      </c>
      <c r="G1423" t="s">
        <v>2022</v>
      </c>
      <c r="H1423" t="s">
        <v>2023</v>
      </c>
      <c r="I1423" t="s">
        <v>3448</v>
      </c>
      <c r="J1423" t="s">
        <v>1963</v>
      </c>
      <c r="K1423" t="s">
        <v>4554</v>
      </c>
      <c r="L1423" t="s">
        <v>2046</v>
      </c>
      <c r="M1423" t="s">
        <v>3449</v>
      </c>
      <c r="N1423" t="s">
        <v>3450</v>
      </c>
      <c r="O1423" t="s">
        <v>2101</v>
      </c>
      <c r="P1423" t="s">
        <v>2102</v>
      </c>
      <c r="Q1423" t="s">
        <v>2103</v>
      </c>
      <c r="R1423" t="s">
        <v>14</v>
      </c>
      <c r="S1423" t="s">
        <v>2101</v>
      </c>
      <c r="T1423" t="s">
        <v>2102</v>
      </c>
      <c r="U1423" t="s">
        <v>2052</v>
      </c>
      <c r="V1423" t="s">
        <v>14</v>
      </c>
      <c r="W1423" t="b">
        <v>1</v>
      </c>
      <c r="X1423" t="s">
        <v>4555</v>
      </c>
      <c r="Y1423" t="b">
        <v>0</v>
      </c>
      <c r="Z1423" t="s">
        <v>2053</v>
      </c>
    </row>
    <row r="1424" spans="1:26" x14ac:dyDescent="0.35">
      <c r="A1424" t="s">
        <v>887</v>
      </c>
      <c r="B1424" t="s">
        <v>888</v>
      </c>
      <c r="C1424" t="s">
        <v>3167</v>
      </c>
      <c r="D1424" t="s">
        <v>1963</v>
      </c>
      <c r="E1424" t="s">
        <v>2020</v>
      </c>
      <c r="F1424" t="s">
        <v>2021</v>
      </c>
      <c r="G1424" t="s">
        <v>2022</v>
      </c>
      <c r="H1424" t="s">
        <v>2023</v>
      </c>
      <c r="I1424" t="s">
        <v>3448</v>
      </c>
      <c r="J1424" t="s">
        <v>1963</v>
      </c>
      <c r="K1424" t="s">
        <v>4556</v>
      </c>
      <c r="L1424" t="s">
        <v>2046</v>
      </c>
      <c r="M1424" t="s">
        <v>3449</v>
      </c>
      <c r="N1424" t="s">
        <v>3450</v>
      </c>
      <c r="O1424" t="s">
        <v>2101</v>
      </c>
      <c r="P1424" t="s">
        <v>2102</v>
      </c>
      <c r="Q1424" t="s">
        <v>2103</v>
      </c>
      <c r="R1424" t="s">
        <v>14</v>
      </c>
      <c r="S1424" t="s">
        <v>2101</v>
      </c>
      <c r="T1424" t="s">
        <v>2102</v>
      </c>
      <c r="U1424" t="s">
        <v>2052</v>
      </c>
      <c r="V1424" t="s">
        <v>14</v>
      </c>
      <c r="W1424" t="b">
        <v>1</v>
      </c>
      <c r="X1424" t="s">
        <v>4557</v>
      </c>
      <c r="Y1424" t="b">
        <v>0</v>
      </c>
      <c r="Z1424" t="s">
        <v>2053</v>
      </c>
    </row>
    <row r="1425" spans="1:26" x14ac:dyDescent="0.35">
      <c r="A1425" t="s">
        <v>889</v>
      </c>
      <c r="B1425" t="s">
        <v>890</v>
      </c>
      <c r="C1425" t="s">
        <v>3167</v>
      </c>
      <c r="D1425" t="s">
        <v>1963</v>
      </c>
      <c r="E1425" t="s">
        <v>2020</v>
      </c>
      <c r="F1425" t="s">
        <v>2021</v>
      </c>
      <c r="G1425" t="s">
        <v>2022</v>
      </c>
      <c r="H1425" t="s">
        <v>2023</v>
      </c>
      <c r="I1425" t="s">
        <v>3448</v>
      </c>
      <c r="J1425" t="s">
        <v>1963</v>
      </c>
      <c r="K1425" t="s">
        <v>4558</v>
      </c>
      <c r="L1425" t="s">
        <v>2046</v>
      </c>
      <c r="M1425" t="s">
        <v>3449</v>
      </c>
      <c r="N1425" t="s">
        <v>3450</v>
      </c>
      <c r="O1425" t="s">
        <v>2101</v>
      </c>
      <c r="P1425" t="s">
        <v>2102</v>
      </c>
      <c r="Q1425" t="s">
        <v>2103</v>
      </c>
      <c r="R1425" t="s">
        <v>14</v>
      </c>
      <c r="S1425" t="s">
        <v>2101</v>
      </c>
      <c r="T1425" t="s">
        <v>2102</v>
      </c>
      <c r="U1425" t="s">
        <v>2052</v>
      </c>
      <c r="V1425" t="s">
        <v>14</v>
      </c>
      <c r="W1425" t="b">
        <v>1</v>
      </c>
      <c r="X1425" t="s">
        <v>4559</v>
      </c>
      <c r="Y1425" t="b">
        <v>0</v>
      </c>
      <c r="Z1425" t="s">
        <v>2053</v>
      </c>
    </row>
    <row r="1426" spans="1:26" x14ac:dyDescent="0.35">
      <c r="A1426" t="s">
        <v>891</v>
      </c>
      <c r="B1426" t="s">
        <v>892</v>
      </c>
      <c r="C1426" t="s">
        <v>3167</v>
      </c>
      <c r="D1426" t="s">
        <v>1963</v>
      </c>
      <c r="E1426" t="s">
        <v>2020</v>
      </c>
      <c r="F1426" t="s">
        <v>2021</v>
      </c>
      <c r="G1426" t="s">
        <v>2022</v>
      </c>
      <c r="H1426" t="s">
        <v>2023</v>
      </c>
      <c r="I1426" t="s">
        <v>3448</v>
      </c>
      <c r="J1426" t="s">
        <v>1963</v>
      </c>
      <c r="K1426" t="s">
        <v>4560</v>
      </c>
      <c r="L1426" t="s">
        <v>2046</v>
      </c>
      <c r="M1426" t="s">
        <v>3449</v>
      </c>
      <c r="N1426" t="s">
        <v>3450</v>
      </c>
      <c r="O1426" t="s">
        <v>2101</v>
      </c>
      <c r="P1426" t="s">
        <v>2102</v>
      </c>
      <c r="Q1426" t="s">
        <v>2103</v>
      </c>
      <c r="R1426" t="s">
        <v>14</v>
      </c>
      <c r="S1426" t="s">
        <v>2101</v>
      </c>
      <c r="T1426" t="s">
        <v>2102</v>
      </c>
      <c r="U1426" t="s">
        <v>2052</v>
      </c>
      <c r="V1426" t="s">
        <v>14</v>
      </c>
      <c r="W1426" t="b">
        <v>1</v>
      </c>
      <c r="X1426" t="s">
        <v>4561</v>
      </c>
      <c r="Y1426" t="b">
        <v>0</v>
      </c>
      <c r="Z1426" t="s">
        <v>2053</v>
      </c>
    </row>
    <row r="1427" spans="1:26" x14ac:dyDescent="0.35">
      <c r="A1427" t="s">
        <v>893</v>
      </c>
      <c r="B1427" t="s">
        <v>894</v>
      </c>
      <c r="C1427" t="s">
        <v>3167</v>
      </c>
      <c r="D1427" t="s">
        <v>1963</v>
      </c>
      <c r="E1427" t="s">
        <v>2020</v>
      </c>
      <c r="F1427" t="s">
        <v>2021</v>
      </c>
      <c r="G1427" t="s">
        <v>2022</v>
      </c>
      <c r="H1427" t="s">
        <v>2023</v>
      </c>
      <c r="I1427" t="s">
        <v>3461</v>
      </c>
      <c r="J1427" t="s">
        <v>1963</v>
      </c>
      <c r="K1427" t="s">
        <v>4562</v>
      </c>
      <c r="L1427" t="s">
        <v>2046</v>
      </c>
      <c r="M1427" t="s">
        <v>3463</v>
      </c>
      <c r="N1427" t="s">
        <v>3464</v>
      </c>
      <c r="O1427" t="s">
        <v>2214</v>
      </c>
      <c r="P1427" t="s">
        <v>2215</v>
      </c>
      <c r="Q1427" t="s">
        <v>3465</v>
      </c>
      <c r="R1427" t="s">
        <v>14</v>
      </c>
      <c r="S1427" t="s">
        <v>3466</v>
      </c>
      <c r="T1427" t="s">
        <v>3467</v>
      </c>
      <c r="U1427" t="s">
        <v>2052</v>
      </c>
      <c r="V1427" t="s">
        <v>14</v>
      </c>
      <c r="W1427" t="b">
        <v>1</v>
      </c>
      <c r="X1427" t="s">
        <v>4563</v>
      </c>
      <c r="Y1427" t="b">
        <v>0</v>
      </c>
      <c r="Z1427" t="s">
        <v>2053</v>
      </c>
    </row>
    <row r="1428" spans="1:26" x14ac:dyDescent="0.35">
      <c r="A1428" t="s">
        <v>895</v>
      </c>
      <c r="B1428" t="s">
        <v>896</v>
      </c>
      <c r="C1428" t="s">
        <v>3167</v>
      </c>
      <c r="D1428" t="s">
        <v>1963</v>
      </c>
      <c r="E1428" t="s">
        <v>2020</v>
      </c>
      <c r="F1428" t="s">
        <v>2021</v>
      </c>
      <c r="G1428" t="s">
        <v>2022</v>
      </c>
      <c r="H1428" t="s">
        <v>2023</v>
      </c>
      <c r="I1428" t="s">
        <v>3461</v>
      </c>
      <c r="J1428" t="s">
        <v>1963</v>
      </c>
      <c r="K1428" t="s">
        <v>4564</v>
      </c>
      <c r="L1428" t="s">
        <v>2046</v>
      </c>
      <c r="M1428" t="s">
        <v>3463</v>
      </c>
      <c r="N1428" t="s">
        <v>3464</v>
      </c>
      <c r="O1428" t="s">
        <v>2214</v>
      </c>
      <c r="P1428" t="s">
        <v>2215</v>
      </c>
      <c r="Q1428" t="s">
        <v>3465</v>
      </c>
      <c r="R1428" t="s">
        <v>14</v>
      </c>
      <c r="S1428" t="s">
        <v>3466</v>
      </c>
      <c r="T1428" t="s">
        <v>3467</v>
      </c>
      <c r="U1428" t="s">
        <v>2052</v>
      </c>
      <c r="V1428" t="s">
        <v>14</v>
      </c>
      <c r="W1428" t="b">
        <v>1</v>
      </c>
      <c r="X1428" t="s">
        <v>4565</v>
      </c>
      <c r="Y1428" t="b">
        <v>0</v>
      </c>
      <c r="Z1428" t="s">
        <v>2053</v>
      </c>
    </row>
    <row r="1429" spans="1:26" x14ac:dyDescent="0.35">
      <c r="A1429" t="s">
        <v>897</v>
      </c>
      <c r="B1429" t="s">
        <v>898</v>
      </c>
      <c r="C1429" t="s">
        <v>3167</v>
      </c>
      <c r="D1429" t="s">
        <v>1963</v>
      </c>
      <c r="E1429" t="s">
        <v>2020</v>
      </c>
      <c r="F1429" t="s">
        <v>2021</v>
      </c>
      <c r="G1429" t="s">
        <v>2022</v>
      </c>
      <c r="H1429" t="s">
        <v>2023</v>
      </c>
      <c r="I1429" t="s">
        <v>79</v>
      </c>
      <c r="J1429" t="s">
        <v>1963</v>
      </c>
      <c r="K1429" t="s">
        <v>4566</v>
      </c>
      <c r="L1429" t="s">
        <v>2046</v>
      </c>
      <c r="M1429" t="s">
        <v>4093</v>
      </c>
      <c r="N1429" t="s">
        <v>4094</v>
      </c>
      <c r="O1429" t="s">
        <v>2214</v>
      </c>
      <c r="P1429" t="s">
        <v>2215</v>
      </c>
      <c r="Q1429" t="s">
        <v>3465</v>
      </c>
      <c r="R1429" t="s">
        <v>14</v>
      </c>
      <c r="S1429" t="s">
        <v>3466</v>
      </c>
      <c r="T1429" t="s">
        <v>3467</v>
      </c>
      <c r="U1429" t="s">
        <v>2052</v>
      </c>
      <c r="V1429" t="s">
        <v>14</v>
      </c>
      <c r="W1429" t="b">
        <v>1</v>
      </c>
      <c r="X1429" t="s">
        <v>4567</v>
      </c>
      <c r="Y1429" t="b">
        <v>0</v>
      </c>
      <c r="Z1429" t="s">
        <v>2053</v>
      </c>
    </row>
    <row r="1430" spans="1:26" x14ac:dyDescent="0.35">
      <c r="A1430" t="s">
        <v>899</v>
      </c>
      <c r="B1430" t="s">
        <v>900</v>
      </c>
      <c r="C1430" t="s">
        <v>3167</v>
      </c>
      <c r="D1430" t="s">
        <v>1963</v>
      </c>
      <c r="E1430" t="s">
        <v>2020</v>
      </c>
      <c r="F1430" t="s">
        <v>2021</v>
      </c>
      <c r="G1430" t="s">
        <v>2022</v>
      </c>
      <c r="H1430" t="s">
        <v>2023</v>
      </c>
      <c r="I1430" t="s">
        <v>4568</v>
      </c>
      <c r="J1430" t="s">
        <v>1963</v>
      </c>
      <c r="K1430" t="s">
        <v>4569</v>
      </c>
      <c r="L1430" t="s">
        <v>2046</v>
      </c>
      <c r="M1430" t="s">
        <v>4570</v>
      </c>
      <c r="N1430" t="s">
        <v>4571</v>
      </c>
      <c r="O1430" t="s">
        <v>2362</v>
      </c>
      <c r="P1430" t="s">
        <v>2363</v>
      </c>
      <c r="Q1430" t="s">
        <v>2844</v>
      </c>
      <c r="R1430" t="s">
        <v>14</v>
      </c>
      <c r="S1430" t="s">
        <v>3005</v>
      </c>
      <c r="T1430" t="s">
        <v>3006</v>
      </c>
      <c r="U1430" t="s">
        <v>2171</v>
      </c>
      <c r="V1430" t="s">
        <v>14</v>
      </c>
      <c r="W1430" t="b">
        <v>1</v>
      </c>
      <c r="X1430" t="s">
        <v>4572</v>
      </c>
      <c r="Y1430" t="b">
        <v>0</v>
      </c>
      <c r="Z1430" t="s">
        <v>2081</v>
      </c>
    </row>
    <row r="1431" spans="1:26" x14ac:dyDescent="0.35">
      <c r="A1431" t="s">
        <v>901</v>
      </c>
      <c r="B1431" t="s">
        <v>902</v>
      </c>
      <c r="C1431" t="s">
        <v>3167</v>
      </c>
      <c r="D1431" t="s">
        <v>1963</v>
      </c>
      <c r="E1431" t="s">
        <v>2020</v>
      </c>
      <c r="F1431" t="s">
        <v>2021</v>
      </c>
      <c r="G1431" t="s">
        <v>2022</v>
      </c>
      <c r="H1431" t="s">
        <v>2023</v>
      </c>
      <c r="I1431" t="s">
        <v>3461</v>
      </c>
      <c r="J1431" t="s">
        <v>1963</v>
      </c>
      <c r="K1431" t="s">
        <v>4573</v>
      </c>
      <c r="L1431" t="s">
        <v>2046</v>
      </c>
      <c r="M1431" t="s">
        <v>3463</v>
      </c>
      <c r="N1431" t="s">
        <v>3464</v>
      </c>
      <c r="O1431" t="s">
        <v>2214</v>
      </c>
      <c r="P1431" t="s">
        <v>2215</v>
      </c>
      <c r="Q1431" t="s">
        <v>3465</v>
      </c>
      <c r="R1431" t="s">
        <v>14</v>
      </c>
      <c r="S1431" t="s">
        <v>3466</v>
      </c>
      <c r="T1431" t="s">
        <v>3467</v>
      </c>
      <c r="U1431" t="s">
        <v>2052</v>
      </c>
      <c r="V1431" t="s">
        <v>14</v>
      </c>
      <c r="W1431" t="b">
        <v>1</v>
      </c>
      <c r="X1431" t="s">
        <v>4574</v>
      </c>
      <c r="Y1431" t="b">
        <v>0</v>
      </c>
      <c r="Z1431" t="s">
        <v>2053</v>
      </c>
    </row>
    <row r="1432" spans="1:26" x14ac:dyDescent="0.35">
      <c r="A1432" t="s">
        <v>903</v>
      </c>
      <c r="B1432" t="s">
        <v>904</v>
      </c>
      <c r="C1432" t="s">
        <v>3167</v>
      </c>
      <c r="D1432" t="s">
        <v>1963</v>
      </c>
      <c r="E1432" t="s">
        <v>2020</v>
      </c>
      <c r="F1432" t="s">
        <v>2021</v>
      </c>
      <c r="G1432" t="s">
        <v>2022</v>
      </c>
      <c r="H1432" t="s">
        <v>2023</v>
      </c>
      <c r="I1432" t="s">
        <v>3461</v>
      </c>
      <c r="J1432" t="s">
        <v>1963</v>
      </c>
      <c r="K1432" t="s">
        <v>4575</v>
      </c>
      <c r="L1432" t="s">
        <v>2046</v>
      </c>
      <c r="M1432" t="s">
        <v>3463</v>
      </c>
      <c r="N1432" t="s">
        <v>3464</v>
      </c>
      <c r="O1432" t="s">
        <v>2214</v>
      </c>
      <c r="P1432" t="s">
        <v>2215</v>
      </c>
      <c r="Q1432" t="s">
        <v>3465</v>
      </c>
      <c r="R1432" t="s">
        <v>14</v>
      </c>
      <c r="S1432" t="s">
        <v>3466</v>
      </c>
      <c r="T1432" t="s">
        <v>3467</v>
      </c>
      <c r="U1432" t="s">
        <v>2052</v>
      </c>
      <c r="V1432" t="s">
        <v>14</v>
      </c>
      <c r="W1432" t="b">
        <v>1</v>
      </c>
      <c r="X1432" t="s">
        <v>4576</v>
      </c>
      <c r="Y1432" t="b">
        <v>0</v>
      </c>
      <c r="Z1432" t="s">
        <v>2053</v>
      </c>
    </row>
    <row r="1433" spans="1:26" x14ac:dyDescent="0.35">
      <c r="A1433" t="s">
        <v>905</v>
      </c>
      <c r="B1433" t="s">
        <v>906</v>
      </c>
      <c r="C1433" t="s">
        <v>3167</v>
      </c>
      <c r="D1433" t="s">
        <v>1963</v>
      </c>
      <c r="E1433" t="s">
        <v>2020</v>
      </c>
      <c r="F1433" t="s">
        <v>2021</v>
      </c>
      <c r="G1433" t="s">
        <v>2022</v>
      </c>
      <c r="H1433" t="s">
        <v>2023</v>
      </c>
      <c r="I1433" t="s">
        <v>3461</v>
      </c>
      <c r="J1433" t="s">
        <v>1963</v>
      </c>
      <c r="K1433" t="s">
        <v>4577</v>
      </c>
      <c r="L1433" t="s">
        <v>2046</v>
      </c>
      <c r="M1433" t="s">
        <v>3463</v>
      </c>
      <c r="N1433" t="s">
        <v>3464</v>
      </c>
      <c r="O1433" t="s">
        <v>2214</v>
      </c>
      <c r="P1433" t="s">
        <v>2215</v>
      </c>
      <c r="Q1433" t="s">
        <v>3465</v>
      </c>
      <c r="R1433" t="s">
        <v>14</v>
      </c>
      <c r="S1433" t="s">
        <v>3466</v>
      </c>
      <c r="T1433" t="s">
        <v>3467</v>
      </c>
      <c r="U1433" t="s">
        <v>2052</v>
      </c>
      <c r="V1433" t="s">
        <v>14</v>
      </c>
      <c r="W1433" t="b">
        <v>1</v>
      </c>
      <c r="X1433" t="s">
        <v>4578</v>
      </c>
      <c r="Y1433" t="b">
        <v>0</v>
      </c>
      <c r="Z1433" t="s">
        <v>2053</v>
      </c>
    </row>
    <row r="1434" spans="1:26" x14ac:dyDescent="0.35">
      <c r="A1434" t="s">
        <v>907</v>
      </c>
      <c r="B1434" t="s">
        <v>908</v>
      </c>
      <c r="C1434" t="s">
        <v>3167</v>
      </c>
      <c r="D1434" t="s">
        <v>1963</v>
      </c>
      <c r="E1434" t="s">
        <v>2020</v>
      </c>
      <c r="F1434" t="s">
        <v>2021</v>
      </c>
      <c r="G1434" t="s">
        <v>2022</v>
      </c>
      <c r="H1434" t="s">
        <v>2023</v>
      </c>
      <c r="I1434" t="s">
        <v>3461</v>
      </c>
      <c r="J1434" t="s">
        <v>1963</v>
      </c>
      <c r="K1434" t="s">
        <v>4579</v>
      </c>
      <c r="L1434" t="s">
        <v>2046</v>
      </c>
      <c r="M1434" t="s">
        <v>3463</v>
      </c>
      <c r="N1434" t="s">
        <v>3464</v>
      </c>
      <c r="O1434" t="s">
        <v>2214</v>
      </c>
      <c r="P1434" t="s">
        <v>2215</v>
      </c>
      <c r="Q1434" t="s">
        <v>3465</v>
      </c>
      <c r="R1434" t="s">
        <v>14</v>
      </c>
      <c r="S1434" t="s">
        <v>3466</v>
      </c>
      <c r="T1434" t="s">
        <v>3467</v>
      </c>
      <c r="U1434" t="s">
        <v>2052</v>
      </c>
      <c r="V1434" t="s">
        <v>14</v>
      </c>
      <c r="W1434" t="b">
        <v>1</v>
      </c>
      <c r="X1434" t="s">
        <v>4580</v>
      </c>
      <c r="Y1434" t="b">
        <v>0</v>
      </c>
      <c r="Z1434" t="s">
        <v>2053</v>
      </c>
    </row>
    <row r="1435" spans="1:26" x14ac:dyDescent="0.35">
      <c r="A1435" t="s">
        <v>909</v>
      </c>
      <c r="B1435" t="s">
        <v>910</v>
      </c>
      <c r="C1435" t="s">
        <v>3167</v>
      </c>
      <c r="D1435" t="s">
        <v>1963</v>
      </c>
      <c r="E1435" t="s">
        <v>2020</v>
      </c>
      <c r="F1435" t="s">
        <v>2055</v>
      </c>
      <c r="G1435" t="s">
        <v>2056</v>
      </c>
      <c r="H1435" t="s">
        <v>2023</v>
      </c>
      <c r="I1435" t="s">
        <v>4581</v>
      </c>
      <c r="J1435" t="s">
        <v>1963</v>
      </c>
      <c r="K1435" t="s">
        <v>4582</v>
      </c>
      <c r="L1435" t="s">
        <v>2046</v>
      </c>
      <c r="M1435" t="s">
        <v>4583</v>
      </c>
      <c r="N1435" t="s">
        <v>4584</v>
      </c>
      <c r="O1435" t="s">
        <v>3722</v>
      </c>
      <c r="P1435" t="s">
        <v>3723</v>
      </c>
      <c r="Q1435" t="s">
        <v>14</v>
      </c>
      <c r="R1435" t="s">
        <v>14</v>
      </c>
      <c r="S1435" t="s">
        <v>4119</v>
      </c>
      <c r="T1435" t="s">
        <v>4120</v>
      </c>
      <c r="U1435" t="s">
        <v>2233</v>
      </c>
      <c r="V1435" t="s">
        <v>14</v>
      </c>
      <c r="W1435" t="b">
        <v>1</v>
      </c>
      <c r="X1435" t="s">
        <v>4585</v>
      </c>
      <c r="Y1435" t="b">
        <v>0</v>
      </c>
      <c r="Z1435" t="s">
        <v>2053</v>
      </c>
    </row>
    <row r="1436" spans="1:26" x14ac:dyDescent="0.35">
      <c r="A1436" t="s">
        <v>912</v>
      </c>
      <c r="B1436" t="s">
        <v>4586</v>
      </c>
      <c r="C1436" t="s">
        <v>3167</v>
      </c>
      <c r="D1436" t="s">
        <v>1963</v>
      </c>
      <c r="E1436" t="s">
        <v>2020</v>
      </c>
      <c r="F1436" t="s">
        <v>2161</v>
      </c>
      <c r="G1436" t="s">
        <v>2162</v>
      </c>
      <c r="H1436" t="s">
        <v>2023</v>
      </c>
      <c r="I1436" t="s">
        <v>4587</v>
      </c>
      <c r="J1436" t="s">
        <v>1963</v>
      </c>
      <c r="K1436" t="s">
        <v>4588</v>
      </c>
      <c r="L1436" t="s">
        <v>2046</v>
      </c>
      <c r="M1436" t="s">
        <v>4589</v>
      </c>
      <c r="N1436" t="s">
        <v>4590</v>
      </c>
      <c r="O1436" t="s">
        <v>2167</v>
      </c>
      <c r="P1436" t="s">
        <v>2168</v>
      </c>
      <c r="Q1436" t="s">
        <v>14</v>
      </c>
      <c r="R1436" t="s">
        <v>14</v>
      </c>
      <c r="S1436" t="s">
        <v>2167</v>
      </c>
      <c r="T1436" t="s">
        <v>2168</v>
      </c>
      <c r="U1436" t="s">
        <v>2171</v>
      </c>
      <c r="V1436" t="s">
        <v>14</v>
      </c>
      <c r="W1436" t="b">
        <v>1</v>
      </c>
      <c r="X1436" t="s">
        <v>4591</v>
      </c>
      <c r="Y1436" t="b">
        <v>1</v>
      </c>
      <c r="Z1436" t="s">
        <v>2032</v>
      </c>
    </row>
    <row r="1437" spans="1:26" x14ac:dyDescent="0.35">
      <c r="A1437" t="s">
        <v>913</v>
      </c>
      <c r="B1437" t="s">
        <v>4592</v>
      </c>
      <c r="C1437" t="s">
        <v>3167</v>
      </c>
      <c r="D1437" t="s">
        <v>1963</v>
      </c>
      <c r="E1437" t="s">
        <v>2020</v>
      </c>
      <c r="F1437" t="s">
        <v>2161</v>
      </c>
      <c r="G1437" t="s">
        <v>2162</v>
      </c>
      <c r="H1437" t="s">
        <v>2023</v>
      </c>
      <c r="I1437" t="s">
        <v>4587</v>
      </c>
      <c r="J1437" t="s">
        <v>1963</v>
      </c>
      <c r="K1437" t="s">
        <v>4593</v>
      </c>
      <c r="L1437" t="s">
        <v>2046</v>
      </c>
      <c r="M1437" t="s">
        <v>4589</v>
      </c>
      <c r="N1437" t="s">
        <v>4590</v>
      </c>
      <c r="O1437" t="s">
        <v>2167</v>
      </c>
      <c r="P1437" t="s">
        <v>2168</v>
      </c>
      <c r="Q1437" t="s">
        <v>14</v>
      </c>
      <c r="R1437" t="s">
        <v>14</v>
      </c>
      <c r="S1437" t="s">
        <v>2167</v>
      </c>
      <c r="T1437" t="s">
        <v>2168</v>
      </c>
      <c r="U1437" t="s">
        <v>2171</v>
      </c>
      <c r="V1437" t="s">
        <v>14</v>
      </c>
      <c r="W1437" t="b">
        <v>1</v>
      </c>
      <c r="X1437" t="s">
        <v>4594</v>
      </c>
      <c r="Y1437" t="b">
        <v>1</v>
      </c>
      <c r="Z1437" t="s">
        <v>2032</v>
      </c>
    </row>
    <row r="1438" spans="1:26" x14ac:dyDescent="0.35">
      <c r="A1438" t="s">
        <v>914</v>
      </c>
      <c r="B1438" t="s">
        <v>915</v>
      </c>
      <c r="C1438" t="s">
        <v>3167</v>
      </c>
      <c r="D1438" t="s">
        <v>1963</v>
      </c>
      <c r="E1438" t="s">
        <v>2020</v>
      </c>
      <c r="F1438" t="s">
        <v>2021</v>
      </c>
      <c r="G1438" t="s">
        <v>2022</v>
      </c>
      <c r="H1438" t="s">
        <v>2023</v>
      </c>
      <c r="I1438" t="s">
        <v>4595</v>
      </c>
      <c r="J1438" t="s">
        <v>1963</v>
      </c>
      <c r="K1438" t="s">
        <v>4596</v>
      </c>
      <c r="L1438" t="s">
        <v>2046</v>
      </c>
      <c r="M1438" t="s">
        <v>4597</v>
      </c>
      <c r="N1438" t="s">
        <v>4598</v>
      </c>
      <c r="O1438" t="s">
        <v>2635</v>
      </c>
      <c r="P1438" t="s">
        <v>2636</v>
      </c>
      <c r="Q1438" t="s">
        <v>14</v>
      </c>
      <c r="R1438" t="s">
        <v>14</v>
      </c>
      <c r="S1438" t="s">
        <v>14</v>
      </c>
      <c r="T1438" t="s">
        <v>14</v>
      </c>
      <c r="U1438" t="s">
        <v>2171</v>
      </c>
      <c r="V1438" t="s">
        <v>14</v>
      </c>
      <c r="W1438" t="b">
        <v>1</v>
      </c>
      <c r="X1438" t="s">
        <v>4599</v>
      </c>
      <c r="Y1438" t="b">
        <v>0</v>
      </c>
      <c r="Z1438" t="s">
        <v>2053</v>
      </c>
    </row>
    <row r="1439" spans="1:26" x14ac:dyDescent="0.35">
      <c r="A1439" t="s">
        <v>916</v>
      </c>
      <c r="B1439" t="s">
        <v>917</v>
      </c>
      <c r="C1439" t="s">
        <v>3167</v>
      </c>
      <c r="D1439" t="s">
        <v>1963</v>
      </c>
      <c r="E1439" t="s">
        <v>2020</v>
      </c>
      <c r="F1439" t="s">
        <v>2021</v>
      </c>
      <c r="G1439" t="s">
        <v>2022</v>
      </c>
      <c r="H1439" t="s">
        <v>2023</v>
      </c>
      <c r="I1439" t="s">
        <v>3400</v>
      </c>
      <c r="J1439" t="s">
        <v>1963</v>
      </c>
      <c r="K1439" t="s">
        <v>4600</v>
      </c>
      <c r="L1439" t="s">
        <v>2046</v>
      </c>
      <c r="M1439" t="s">
        <v>3402</v>
      </c>
      <c r="N1439" t="s">
        <v>3403</v>
      </c>
      <c r="O1439" t="s">
        <v>3404</v>
      </c>
      <c r="P1439" t="s">
        <v>3405</v>
      </c>
      <c r="Q1439" t="s">
        <v>3406</v>
      </c>
      <c r="R1439" t="s">
        <v>14</v>
      </c>
      <c r="S1439" t="s">
        <v>3402</v>
      </c>
      <c r="T1439" t="s">
        <v>3403</v>
      </c>
      <c r="U1439" t="s">
        <v>2030</v>
      </c>
      <c r="V1439" t="s">
        <v>14</v>
      </c>
      <c r="W1439" t="b">
        <v>1</v>
      </c>
      <c r="X1439" t="s">
        <v>4601</v>
      </c>
      <c r="Y1439" t="b">
        <v>0</v>
      </c>
      <c r="Z1439" t="s">
        <v>2081</v>
      </c>
    </row>
    <row r="1440" spans="1:26" x14ac:dyDescent="0.35">
      <c r="A1440" t="s">
        <v>918</v>
      </c>
      <c r="B1440" t="s">
        <v>919</v>
      </c>
      <c r="C1440" t="s">
        <v>3167</v>
      </c>
      <c r="D1440" t="s">
        <v>1963</v>
      </c>
      <c r="E1440" t="s">
        <v>2020</v>
      </c>
      <c r="F1440" t="s">
        <v>2021</v>
      </c>
      <c r="G1440" t="s">
        <v>2022</v>
      </c>
      <c r="H1440" t="s">
        <v>2023</v>
      </c>
      <c r="I1440" t="s">
        <v>3400</v>
      </c>
      <c r="J1440" t="s">
        <v>1963</v>
      </c>
      <c r="K1440" t="s">
        <v>4602</v>
      </c>
      <c r="L1440" t="s">
        <v>2046</v>
      </c>
      <c r="M1440" t="s">
        <v>3402</v>
      </c>
      <c r="N1440" t="s">
        <v>3403</v>
      </c>
      <c r="O1440" t="s">
        <v>3404</v>
      </c>
      <c r="P1440" t="s">
        <v>3405</v>
      </c>
      <c r="Q1440" t="s">
        <v>3406</v>
      </c>
      <c r="R1440" t="s">
        <v>14</v>
      </c>
      <c r="S1440" t="s">
        <v>3402</v>
      </c>
      <c r="T1440" t="s">
        <v>3403</v>
      </c>
      <c r="U1440" t="s">
        <v>2030</v>
      </c>
      <c r="V1440" t="s">
        <v>14</v>
      </c>
      <c r="W1440" t="b">
        <v>1</v>
      </c>
      <c r="X1440" t="s">
        <v>4603</v>
      </c>
      <c r="Y1440" t="b">
        <v>0</v>
      </c>
      <c r="Z1440" t="s">
        <v>2081</v>
      </c>
    </row>
    <row r="1441" spans="1:26" x14ac:dyDescent="0.35">
      <c r="A1441" t="s">
        <v>920</v>
      </c>
      <c r="B1441" t="s">
        <v>921</v>
      </c>
      <c r="C1441" t="s">
        <v>3167</v>
      </c>
      <c r="D1441" t="s">
        <v>1963</v>
      </c>
      <c r="E1441" t="s">
        <v>2020</v>
      </c>
      <c r="F1441" t="s">
        <v>2021</v>
      </c>
      <c r="G1441" t="s">
        <v>2022</v>
      </c>
      <c r="H1441" t="s">
        <v>2023</v>
      </c>
      <c r="I1441" t="s">
        <v>3400</v>
      </c>
      <c r="J1441" t="s">
        <v>1963</v>
      </c>
      <c r="K1441" t="s">
        <v>4604</v>
      </c>
      <c r="L1441" t="s">
        <v>2046</v>
      </c>
      <c r="M1441" t="s">
        <v>3402</v>
      </c>
      <c r="N1441" t="s">
        <v>3403</v>
      </c>
      <c r="O1441" t="s">
        <v>3404</v>
      </c>
      <c r="P1441" t="s">
        <v>3405</v>
      </c>
      <c r="Q1441" t="s">
        <v>3406</v>
      </c>
      <c r="R1441" t="s">
        <v>14</v>
      </c>
      <c r="S1441" t="s">
        <v>3402</v>
      </c>
      <c r="T1441" t="s">
        <v>3403</v>
      </c>
      <c r="U1441" t="s">
        <v>2030</v>
      </c>
      <c r="V1441" t="s">
        <v>14</v>
      </c>
      <c r="W1441" t="b">
        <v>1</v>
      </c>
      <c r="X1441" t="s">
        <v>4605</v>
      </c>
      <c r="Y1441" t="b">
        <v>0</v>
      </c>
      <c r="Z1441" t="s">
        <v>2081</v>
      </c>
    </row>
    <row r="1442" spans="1:26" x14ac:dyDescent="0.35">
      <c r="A1442" t="s">
        <v>920</v>
      </c>
      <c r="B1442" t="s">
        <v>921</v>
      </c>
      <c r="C1442" t="s">
        <v>3167</v>
      </c>
      <c r="D1442" t="s">
        <v>1963</v>
      </c>
      <c r="E1442" t="s">
        <v>2020</v>
      </c>
      <c r="F1442" t="s">
        <v>2021</v>
      </c>
      <c r="G1442" t="s">
        <v>2022</v>
      </c>
      <c r="H1442" t="s">
        <v>2023</v>
      </c>
      <c r="I1442" t="s">
        <v>3400</v>
      </c>
      <c r="J1442" t="s">
        <v>1963</v>
      </c>
      <c r="K1442" t="s">
        <v>4604</v>
      </c>
      <c r="L1442" t="s">
        <v>2046</v>
      </c>
      <c r="M1442" t="s">
        <v>3402</v>
      </c>
      <c r="N1442" t="s">
        <v>3403</v>
      </c>
      <c r="O1442" t="s">
        <v>3404</v>
      </c>
      <c r="P1442" t="s">
        <v>3405</v>
      </c>
      <c r="Q1442" t="s">
        <v>3406</v>
      </c>
      <c r="R1442" t="s">
        <v>14</v>
      </c>
      <c r="S1442" t="s">
        <v>3402</v>
      </c>
      <c r="T1442" t="s">
        <v>3403</v>
      </c>
      <c r="U1442" t="s">
        <v>2030</v>
      </c>
      <c r="V1442" t="s">
        <v>14</v>
      </c>
      <c r="W1442" t="b">
        <v>1</v>
      </c>
      <c r="X1442" t="s">
        <v>4605</v>
      </c>
      <c r="Y1442" t="b">
        <v>0</v>
      </c>
      <c r="Z1442" t="s">
        <v>2081</v>
      </c>
    </row>
    <row r="1443" spans="1:26" x14ac:dyDescent="0.35">
      <c r="A1443" t="s">
        <v>920</v>
      </c>
      <c r="B1443" t="s">
        <v>921</v>
      </c>
      <c r="C1443" t="s">
        <v>3167</v>
      </c>
      <c r="D1443" t="s">
        <v>1963</v>
      </c>
      <c r="E1443" t="s">
        <v>2020</v>
      </c>
      <c r="F1443" t="s">
        <v>2021</v>
      </c>
      <c r="G1443" t="s">
        <v>2022</v>
      </c>
      <c r="H1443" t="s">
        <v>2023</v>
      </c>
      <c r="I1443" t="s">
        <v>3400</v>
      </c>
      <c r="J1443" t="s">
        <v>1963</v>
      </c>
      <c r="K1443" t="s">
        <v>4604</v>
      </c>
      <c r="L1443" t="s">
        <v>2046</v>
      </c>
      <c r="M1443" t="s">
        <v>3402</v>
      </c>
      <c r="N1443" t="s">
        <v>3403</v>
      </c>
      <c r="O1443" t="s">
        <v>3404</v>
      </c>
      <c r="P1443" t="s">
        <v>3405</v>
      </c>
      <c r="Q1443" t="s">
        <v>3406</v>
      </c>
      <c r="R1443" t="s">
        <v>14</v>
      </c>
      <c r="S1443" t="s">
        <v>3402</v>
      </c>
      <c r="T1443" t="s">
        <v>3403</v>
      </c>
      <c r="U1443" t="s">
        <v>2030</v>
      </c>
      <c r="V1443" t="s">
        <v>14</v>
      </c>
      <c r="W1443" t="b">
        <v>1</v>
      </c>
      <c r="X1443" t="s">
        <v>4605</v>
      </c>
      <c r="Y1443" t="b">
        <v>0</v>
      </c>
      <c r="Z1443" t="s">
        <v>2081</v>
      </c>
    </row>
    <row r="1444" spans="1:26" x14ac:dyDescent="0.35">
      <c r="A1444" t="s">
        <v>920</v>
      </c>
      <c r="B1444" t="s">
        <v>921</v>
      </c>
      <c r="C1444" t="s">
        <v>3167</v>
      </c>
      <c r="D1444" t="s">
        <v>1963</v>
      </c>
      <c r="E1444" t="s">
        <v>2020</v>
      </c>
      <c r="F1444" t="s">
        <v>2021</v>
      </c>
      <c r="G1444" t="s">
        <v>2022</v>
      </c>
      <c r="H1444" t="s">
        <v>2023</v>
      </c>
      <c r="I1444" t="s">
        <v>3400</v>
      </c>
      <c r="J1444" t="s">
        <v>1963</v>
      </c>
      <c r="K1444" t="s">
        <v>4604</v>
      </c>
      <c r="L1444" t="s">
        <v>2046</v>
      </c>
      <c r="M1444" t="s">
        <v>3402</v>
      </c>
      <c r="N1444" t="s">
        <v>3403</v>
      </c>
      <c r="O1444" t="s">
        <v>3404</v>
      </c>
      <c r="P1444" t="s">
        <v>3405</v>
      </c>
      <c r="Q1444" t="s">
        <v>3406</v>
      </c>
      <c r="R1444" t="s">
        <v>14</v>
      </c>
      <c r="S1444" t="s">
        <v>3402</v>
      </c>
      <c r="T1444" t="s">
        <v>3403</v>
      </c>
      <c r="U1444" t="s">
        <v>2030</v>
      </c>
      <c r="V1444" t="s">
        <v>14</v>
      </c>
      <c r="W1444" t="b">
        <v>1</v>
      </c>
      <c r="X1444" t="s">
        <v>4605</v>
      </c>
      <c r="Y1444" t="b">
        <v>0</v>
      </c>
      <c r="Z1444" t="s">
        <v>2081</v>
      </c>
    </row>
    <row r="1445" spans="1:26" x14ac:dyDescent="0.35">
      <c r="A1445" t="s">
        <v>920</v>
      </c>
      <c r="B1445" t="s">
        <v>921</v>
      </c>
      <c r="C1445" t="s">
        <v>3167</v>
      </c>
      <c r="D1445" t="s">
        <v>1963</v>
      </c>
      <c r="E1445" t="s">
        <v>2020</v>
      </c>
      <c r="F1445" t="s">
        <v>2021</v>
      </c>
      <c r="G1445" t="s">
        <v>2022</v>
      </c>
      <c r="H1445" t="s">
        <v>2023</v>
      </c>
      <c r="I1445" t="s">
        <v>4606</v>
      </c>
      <c r="J1445" t="s">
        <v>1963</v>
      </c>
      <c r="K1445" t="s">
        <v>4604</v>
      </c>
      <c r="L1445" t="s">
        <v>2046</v>
      </c>
      <c r="M1445" t="s">
        <v>14</v>
      </c>
      <c r="N1445" t="s">
        <v>14</v>
      </c>
      <c r="O1445" t="s">
        <v>4607</v>
      </c>
      <c r="P1445" t="s">
        <v>4608</v>
      </c>
      <c r="Q1445" t="s">
        <v>14</v>
      </c>
      <c r="R1445" t="s">
        <v>14</v>
      </c>
      <c r="S1445" t="s">
        <v>14</v>
      </c>
      <c r="T1445" t="s">
        <v>14</v>
      </c>
      <c r="U1445" t="s">
        <v>2030</v>
      </c>
      <c r="V1445" t="s">
        <v>14</v>
      </c>
      <c r="W1445" t="b">
        <v>1</v>
      </c>
      <c r="X1445" t="s">
        <v>4605</v>
      </c>
      <c r="Y1445" t="b">
        <v>0</v>
      </c>
      <c r="Z1445" t="s">
        <v>2053</v>
      </c>
    </row>
    <row r="1446" spans="1:26" x14ac:dyDescent="0.35">
      <c r="A1446" t="s">
        <v>922</v>
      </c>
      <c r="B1446" t="s">
        <v>923</v>
      </c>
      <c r="C1446" t="s">
        <v>3167</v>
      </c>
      <c r="D1446" t="s">
        <v>1963</v>
      </c>
      <c r="E1446" t="s">
        <v>2020</v>
      </c>
      <c r="F1446" t="s">
        <v>2021</v>
      </c>
      <c r="G1446" t="s">
        <v>2022</v>
      </c>
      <c r="H1446" t="s">
        <v>2023</v>
      </c>
      <c r="I1446" t="s">
        <v>4609</v>
      </c>
      <c r="J1446" t="s">
        <v>1963</v>
      </c>
      <c r="K1446" t="s">
        <v>4610</v>
      </c>
      <c r="L1446" t="s">
        <v>2046</v>
      </c>
      <c r="M1446" t="s">
        <v>3720</v>
      </c>
      <c r="N1446" t="s">
        <v>3721</v>
      </c>
      <c r="O1446" t="s">
        <v>3722</v>
      </c>
      <c r="P1446" t="s">
        <v>3723</v>
      </c>
      <c r="Q1446" t="s">
        <v>14</v>
      </c>
      <c r="R1446" t="s">
        <v>14</v>
      </c>
      <c r="S1446" t="s">
        <v>3724</v>
      </c>
      <c r="T1446" t="s">
        <v>3725</v>
      </c>
      <c r="U1446" t="s">
        <v>2233</v>
      </c>
      <c r="V1446" t="s">
        <v>14</v>
      </c>
      <c r="W1446" t="b">
        <v>1</v>
      </c>
      <c r="X1446" t="s">
        <v>4611</v>
      </c>
      <c r="Y1446" t="b">
        <v>0</v>
      </c>
      <c r="Z1446" t="s">
        <v>2053</v>
      </c>
    </row>
    <row r="1447" spans="1:26" x14ac:dyDescent="0.35">
      <c r="A1447" t="s">
        <v>924</v>
      </c>
      <c r="B1447" t="s">
        <v>925</v>
      </c>
      <c r="C1447" t="s">
        <v>2967</v>
      </c>
      <c r="D1447" t="s">
        <v>1963</v>
      </c>
      <c r="E1447" t="s">
        <v>2020</v>
      </c>
      <c r="F1447" t="s">
        <v>2021</v>
      </c>
      <c r="G1447" t="s">
        <v>2022</v>
      </c>
      <c r="H1447" t="s">
        <v>2023</v>
      </c>
      <c r="I1447" t="s">
        <v>4612</v>
      </c>
      <c r="J1447" t="s">
        <v>1963</v>
      </c>
      <c r="K1447" t="s">
        <v>4613</v>
      </c>
      <c r="L1447" t="s">
        <v>2046</v>
      </c>
      <c r="M1447" t="s">
        <v>4614</v>
      </c>
      <c r="N1447" t="s">
        <v>4615</v>
      </c>
      <c r="O1447" t="s">
        <v>3485</v>
      </c>
      <c r="P1447" t="s">
        <v>3486</v>
      </c>
      <c r="Q1447" t="s">
        <v>14</v>
      </c>
      <c r="R1447" t="s">
        <v>14</v>
      </c>
      <c r="S1447" t="s">
        <v>4616</v>
      </c>
      <c r="T1447" t="s">
        <v>4617</v>
      </c>
      <c r="U1447" t="s">
        <v>2171</v>
      </c>
      <c r="V1447" t="s">
        <v>14</v>
      </c>
      <c r="W1447" t="b">
        <v>1</v>
      </c>
      <c r="X1447" t="s">
        <v>4618</v>
      </c>
      <c r="Y1447" t="b">
        <v>0</v>
      </c>
      <c r="Z1447" t="s">
        <v>2032</v>
      </c>
    </row>
    <row r="1448" spans="1:26" x14ac:dyDescent="0.35">
      <c r="A1448" t="s">
        <v>926</v>
      </c>
      <c r="B1448" t="s">
        <v>927</v>
      </c>
      <c r="C1448" t="s">
        <v>3167</v>
      </c>
      <c r="D1448" t="s">
        <v>1963</v>
      </c>
      <c r="E1448" t="s">
        <v>2020</v>
      </c>
      <c r="F1448" t="s">
        <v>2021</v>
      </c>
      <c r="G1448" t="s">
        <v>2022</v>
      </c>
      <c r="H1448" t="s">
        <v>2023</v>
      </c>
      <c r="I1448" t="s">
        <v>4612</v>
      </c>
      <c r="J1448" t="s">
        <v>1963</v>
      </c>
      <c r="K1448" t="s">
        <v>4619</v>
      </c>
      <c r="L1448" t="s">
        <v>2046</v>
      </c>
      <c r="M1448" t="s">
        <v>4614</v>
      </c>
      <c r="N1448" t="s">
        <v>4615</v>
      </c>
      <c r="O1448" t="s">
        <v>3485</v>
      </c>
      <c r="P1448" t="s">
        <v>3486</v>
      </c>
      <c r="Q1448" t="s">
        <v>14</v>
      </c>
      <c r="R1448" t="s">
        <v>14</v>
      </c>
      <c r="S1448" t="s">
        <v>4616</v>
      </c>
      <c r="T1448" t="s">
        <v>4617</v>
      </c>
      <c r="U1448" t="s">
        <v>2171</v>
      </c>
      <c r="V1448" t="s">
        <v>14</v>
      </c>
      <c r="W1448" t="b">
        <v>1</v>
      </c>
      <c r="X1448" t="s">
        <v>4620</v>
      </c>
      <c r="Y1448" t="b">
        <v>0</v>
      </c>
      <c r="Z1448" t="s">
        <v>2032</v>
      </c>
    </row>
    <row r="1449" spans="1:26" x14ac:dyDescent="0.35">
      <c r="A1449" t="s">
        <v>928</v>
      </c>
      <c r="B1449" t="s">
        <v>929</v>
      </c>
      <c r="C1449" t="s">
        <v>3167</v>
      </c>
      <c r="D1449" t="s">
        <v>1963</v>
      </c>
      <c r="E1449" t="s">
        <v>2020</v>
      </c>
      <c r="F1449" t="s">
        <v>2055</v>
      </c>
      <c r="G1449" t="s">
        <v>2056</v>
      </c>
      <c r="H1449" t="s">
        <v>2023</v>
      </c>
      <c r="I1449" t="s">
        <v>1423</v>
      </c>
      <c r="J1449" t="s">
        <v>1963</v>
      </c>
      <c r="K1449" t="s">
        <v>4621</v>
      </c>
      <c r="L1449" t="s">
        <v>2046</v>
      </c>
      <c r="M1449" t="s">
        <v>3207</v>
      </c>
      <c r="N1449" t="s">
        <v>3208</v>
      </c>
      <c r="O1449" t="s">
        <v>3207</v>
      </c>
      <c r="P1449" t="s">
        <v>3208</v>
      </c>
      <c r="Q1449" t="s">
        <v>14</v>
      </c>
      <c r="R1449" t="s">
        <v>14</v>
      </c>
      <c r="S1449" t="s">
        <v>14</v>
      </c>
      <c r="T1449" t="s">
        <v>14</v>
      </c>
      <c r="U1449" t="s">
        <v>2030</v>
      </c>
      <c r="V1449" t="s">
        <v>14</v>
      </c>
      <c r="W1449" t="b">
        <v>1</v>
      </c>
      <c r="X1449" t="s">
        <v>4622</v>
      </c>
      <c r="Y1449" t="b">
        <v>0</v>
      </c>
      <c r="Z1449" t="s">
        <v>2053</v>
      </c>
    </row>
    <row r="1450" spans="1:26" x14ac:dyDescent="0.35">
      <c r="A1450" t="s">
        <v>928</v>
      </c>
      <c r="B1450" t="s">
        <v>929</v>
      </c>
      <c r="C1450" t="s">
        <v>3167</v>
      </c>
      <c r="D1450" t="s">
        <v>1963</v>
      </c>
      <c r="E1450" t="s">
        <v>2020</v>
      </c>
      <c r="F1450" t="s">
        <v>2055</v>
      </c>
      <c r="G1450" t="s">
        <v>2056</v>
      </c>
      <c r="H1450" t="s">
        <v>2023</v>
      </c>
      <c r="I1450" t="s">
        <v>1906</v>
      </c>
      <c r="J1450" t="s">
        <v>1963</v>
      </c>
      <c r="K1450" t="s">
        <v>4621</v>
      </c>
      <c r="L1450" t="s">
        <v>2046</v>
      </c>
      <c r="M1450" t="s">
        <v>3204</v>
      </c>
      <c r="N1450" t="s">
        <v>3205</v>
      </c>
      <c r="O1450" t="s">
        <v>3204</v>
      </c>
      <c r="P1450" t="s">
        <v>3205</v>
      </c>
      <c r="Q1450" t="s">
        <v>14</v>
      </c>
      <c r="R1450" t="s">
        <v>14</v>
      </c>
      <c r="S1450" t="s">
        <v>14</v>
      </c>
      <c r="T1450" t="s">
        <v>14</v>
      </c>
      <c r="U1450" t="s">
        <v>2030</v>
      </c>
      <c r="V1450" t="s">
        <v>14</v>
      </c>
      <c r="W1450" t="b">
        <v>1</v>
      </c>
      <c r="X1450" t="s">
        <v>4622</v>
      </c>
      <c r="Y1450" t="b">
        <v>0</v>
      </c>
      <c r="Z1450" t="s">
        <v>2053</v>
      </c>
    </row>
    <row r="1451" spans="1:26" x14ac:dyDescent="0.35">
      <c r="A1451" t="s">
        <v>930</v>
      </c>
      <c r="B1451" t="s">
        <v>931</v>
      </c>
      <c r="C1451" t="s">
        <v>2967</v>
      </c>
      <c r="D1451" t="s">
        <v>1963</v>
      </c>
      <c r="E1451" t="s">
        <v>2020</v>
      </c>
      <c r="F1451" t="s">
        <v>2055</v>
      </c>
      <c r="G1451" t="s">
        <v>2056</v>
      </c>
      <c r="H1451" t="s">
        <v>2023</v>
      </c>
      <c r="I1451" t="s">
        <v>1423</v>
      </c>
      <c r="J1451" t="s">
        <v>1963</v>
      </c>
      <c r="K1451" t="s">
        <v>4623</v>
      </c>
      <c r="L1451" t="s">
        <v>2046</v>
      </c>
      <c r="M1451" t="s">
        <v>3207</v>
      </c>
      <c r="N1451" t="s">
        <v>3208</v>
      </c>
      <c r="O1451" t="s">
        <v>3207</v>
      </c>
      <c r="P1451" t="s">
        <v>3208</v>
      </c>
      <c r="Q1451" t="s">
        <v>14</v>
      </c>
      <c r="R1451" t="s">
        <v>14</v>
      </c>
      <c r="S1451" t="s">
        <v>14</v>
      </c>
      <c r="T1451" t="s">
        <v>14</v>
      </c>
      <c r="U1451" t="s">
        <v>2030</v>
      </c>
      <c r="V1451" t="s">
        <v>14</v>
      </c>
      <c r="W1451" t="b">
        <v>1</v>
      </c>
      <c r="X1451" t="s">
        <v>4624</v>
      </c>
      <c r="Y1451" t="b">
        <v>0</v>
      </c>
      <c r="Z1451" t="s">
        <v>2053</v>
      </c>
    </row>
    <row r="1452" spans="1:26" x14ac:dyDescent="0.35">
      <c r="A1452" t="s">
        <v>930</v>
      </c>
      <c r="B1452" t="s">
        <v>931</v>
      </c>
      <c r="C1452" t="s">
        <v>2967</v>
      </c>
      <c r="D1452" t="s">
        <v>1963</v>
      </c>
      <c r="E1452" t="s">
        <v>2020</v>
      </c>
      <c r="F1452" t="s">
        <v>2055</v>
      </c>
      <c r="G1452" t="s">
        <v>2056</v>
      </c>
      <c r="H1452" t="s">
        <v>2023</v>
      </c>
      <c r="I1452" t="s">
        <v>1906</v>
      </c>
      <c r="J1452" t="s">
        <v>1963</v>
      </c>
      <c r="K1452" t="s">
        <v>4623</v>
      </c>
      <c r="L1452" t="s">
        <v>2046</v>
      </c>
      <c r="M1452" t="s">
        <v>3204</v>
      </c>
      <c r="N1452" t="s">
        <v>3205</v>
      </c>
      <c r="O1452" t="s">
        <v>3204</v>
      </c>
      <c r="P1452" t="s">
        <v>3205</v>
      </c>
      <c r="Q1452" t="s">
        <v>14</v>
      </c>
      <c r="R1452" t="s">
        <v>14</v>
      </c>
      <c r="S1452" t="s">
        <v>14</v>
      </c>
      <c r="T1452" t="s">
        <v>14</v>
      </c>
      <c r="U1452" t="s">
        <v>2030</v>
      </c>
      <c r="V1452" t="s">
        <v>14</v>
      </c>
      <c r="W1452" t="b">
        <v>1</v>
      </c>
      <c r="X1452" t="s">
        <v>4624</v>
      </c>
      <c r="Y1452" t="b">
        <v>0</v>
      </c>
      <c r="Z1452" t="s">
        <v>2053</v>
      </c>
    </row>
    <row r="1453" spans="1:26" x14ac:dyDescent="0.35">
      <c r="A1453" t="s">
        <v>932</v>
      </c>
      <c r="B1453" t="s">
        <v>933</v>
      </c>
      <c r="C1453" t="s">
        <v>3167</v>
      </c>
      <c r="D1453" t="s">
        <v>1963</v>
      </c>
      <c r="E1453" t="s">
        <v>2020</v>
      </c>
      <c r="F1453" t="s">
        <v>2055</v>
      </c>
      <c r="G1453" t="s">
        <v>2056</v>
      </c>
      <c r="H1453" t="s">
        <v>2023</v>
      </c>
      <c r="I1453" t="s">
        <v>1423</v>
      </c>
      <c r="J1453" t="s">
        <v>1963</v>
      </c>
      <c r="K1453" t="s">
        <v>4625</v>
      </c>
      <c r="L1453" t="s">
        <v>2046</v>
      </c>
      <c r="M1453" t="s">
        <v>3207</v>
      </c>
      <c r="N1453" t="s">
        <v>3208</v>
      </c>
      <c r="O1453" t="s">
        <v>3207</v>
      </c>
      <c r="P1453" t="s">
        <v>3208</v>
      </c>
      <c r="Q1453" t="s">
        <v>14</v>
      </c>
      <c r="R1453" t="s">
        <v>14</v>
      </c>
      <c r="S1453" t="s">
        <v>14</v>
      </c>
      <c r="T1453" t="s">
        <v>14</v>
      </c>
      <c r="U1453" t="s">
        <v>2030</v>
      </c>
      <c r="V1453" t="s">
        <v>14</v>
      </c>
      <c r="W1453" t="b">
        <v>1</v>
      </c>
      <c r="X1453" t="s">
        <v>4626</v>
      </c>
      <c r="Y1453" t="b">
        <v>0</v>
      </c>
      <c r="Z1453" t="s">
        <v>2053</v>
      </c>
    </row>
    <row r="1454" spans="1:26" x14ac:dyDescent="0.35">
      <c r="A1454" t="s">
        <v>932</v>
      </c>
      <c r="B1454" t="s">
        <v>933</v>
      </c>
      <c r="C1454" t="s">
        <v>3167</v>
      </c>
      <c r="D1454" t="s">
        <v>1963</v>
      </c>
      <c r="E1454" t="s">
        <v>2020</v>
      </c>
      <c r="F1454" t="s">
        <v>2055</v>
      </c>
      <c r="G1454" t="s">
        <v>2056</v>
      </c>
      <c r="H1454" t="s">
        <v>2023</v>
      </c>
      <c r="I1454" t="s">
        <v>1906</v>
      </c>
      <c r="J1454" t="s">
        <v>1963</v>
      </c>
      <c r="K1454" t="s">
        <v>4625</v>
      </c>
      <c r="L1454" t="s">
        <v>2046</v>
      </c>
      <c r="M1454" t="s">
        <v>3204</v>
      </c>
      <c r="N1454" t="s">
        <v>3205</v>
      </c>
      <c r="O1454" t="s">
        <v>3204</v>
      </c>
      <c r="P1454" t="s">
        <v>3205</v>
      </c>
      <c r="Q1454" t="s">
        <v>14</v>
      </c>
      <c r="R1454" t="s">
        <v>14</v>
      </c>
      <c r="S1454" t="s">
        <v>14</v>
      </c>
      <c r="T1454" t="s">
        <v>14</v>
      </c>
      <c r="U1454" t="s">
        <v>2030</v>
      </c>
      <c r="V1454" t="s">
        <v>14</v>
      </c>
      <c r="W1454" t="b">
        <v>1</v>
      </c>
      <c r="X1454" t="s">
        <v>4626</v>
      </c>
      <c r="Y1454" t="b">
        <v>0</v>
      </c>
      <c r="Z1454" t="s">
        <v>2053</v>
      </c>
    </row>
    <row r="1455" spans="1:26" x14ac:dyDescent="0.35">
      <c r="A1455" t="s">
        <v>934</v>
      </c>
      <c r="B1455" t="s">
        <v>935</v>
      </c>
      <c r="C1455" t="s">
        <v>2967</v>
      </c>
      <c r="D1455" t="s">
        <v>1963</v>
      </c>
      <c r="E1455" t="s">
        <v>2020</v>
      </c>
      <c r="F1455" t="s">
        <v>2055</v>
      </c>
      <c r="G1455" t="s">
        <v>2056</v>
      </c>
      <c r="H1455" t="s">
        <v>2023</v>
      </c>
      <c r="I1455" t="s">
        <v>1906</v>
      </c>
      <c r="J1455" t="s">
        <v>1963</v>
      </c>
      <c r="K1455" t="s">
        <v>4627</v>
      </c>
      <c r="L1455" t="s">
        <v>2046</v>
      </c>
      <c r="M1455" t="s">
        <v>3204</v>
      </c>
      <c r="N1455" t="s">
        <v>3205</v>
      </c>
      <c r="O1455" t="s">
        <v>3204</v>
      </c>
      <c r="P1455" t="s">
        <v>3205</v>
      </c>
      <c r="Q1455" t="s">
        <v>14</v>
      </c>
      <c r="R1455" t="s">
        <v>14</v>
      </c>
      <c r="S1455" t="s">
        <v>14</v>
      </c>
      <c r="T1455" t="s">
        <v>14</v>
      </c>
      <c r="U1455" t="s">
        <v>2030</v>
      </c>
      <c r="V1455" t="s">
        <v>14</v>
      </c>
      <c r="W1455" t="b">
        <v>1</v>
      </c>
      <c r="X1455" t="s">
        <v>4628</v>
      </c>
      <c r="Y1455" t="b">
        <v>0</v>
      </c>
      <c r="Z1455" t="s">
        <v>2053</v>
      </c>
    </row>
    <row r="1456" spans="1:26" x14ac:dyDescent="0.35">
      <c r="A1456" t="s">
        <v>934</v>
      </c>
      <c r="B1456" t="s">
        <v>935</v>
      </c>
      <c r="C1456" t="s">
        <v>2967</v>
      </c>
      <c r="D1456" t="s">
        <v>1963</v>
      </c>
      <c r="E1456" t="s">
        <v>2020</v>
      </c>
      <c r="F1456" t="s">
        <v>2055</v>
      </c>
      <c r="G1456" t="s">
        <v>2056</v>
      </c>
      <c r="H1456" t="s">
        <v>2023</v>
      </c>
      <c r="I1456" t="s">
        <v>1423</v>
      </c>
      <c r="J1456" t="s">
        <v>1963</v>
      </c>
      <c r="K1456" t="s">
        <v>4627</v>
      </c>
      <c r="L1456" t="s">
        <v>2046</v>
      </c>
      <c r="M1456" t="s">
        <v>3207</v>
      </c>
      <c r="N1456" t="s">
        <v>3208</v>
      </c>
      <c r="O1456" t="s">
        <v>3207</v>
      </c>
      <c r="P1456" t="s">
        <v>3208</v>
      </c>
      <c r="Q1456" t="s">
        <v>14</v>
      </c>
      <c r="R1456" t="s">
        <v>14</v>
      </c>
      <c r="S1456" t="s">
        <v>14</v>
      </c>
      <c r="T1456" t="s">
        <v>14</v>
      </c>
      <c r="U1456" t="s">
        <v>2030</v>
      </c>
      <c r="V1456" t="s">
        <v>14</v>
      </c>
      <c r="W1456" t="b">
        <v>1</v>
      </c>
      <c r="X1456" t="s">
        <v>4628</v>
      </c>
      <c r="Y1456" t="b">
        <v>0</v>
      </c>
      <c r="Z1456" t="s">
        <v>2053</v>
      </c>
    </row>
    <row r="1457" spans="1:26" x14ac:dyDescent="0.35">
      <c r="A1457" t="s">
        <v>936</v>
      </c>
      <c r="B1457" t="s">
        <v>937</v>
      </c>
      <c r="C1457" t="s">
        <v>2967</v>
      </c>
      <c r="D1457" t="s">
        <v>1963</v>
      </c>
      <c r="E1457" t="s">
        <v>2020</v>
      </c>
      <c r="F1457" t="s">
        <v>2161</v>
      </c>
      <c r="G1457" t="s">
        <v>2162</v>
      </c>
      <c r="H1457" t="s">
        <v>2023</v>
      </c>
      <c r="I1457" t="s">
        <v>80</v>
      </c>
      <c r="J1457" t="s">
        <v>1963</v>
      </c>
      <c r="K1457" t="s">
        <v>4629</v>
      </c>
      <c r="L1457" t="s">
        <v>2046</v>
      </c>
      <c r="M1457" t="s">
        <v>2026</v>
      </c>
      <c r="N1457" t="s">
        <v>2027</v>
      </c>
      <c r="O1457" t="s">
        <v>2650</v>
      </c>
      <c r="P1457" t="s">
        <v>2651</v>
      </c>
      <c r="Q1457" t="s">
        <v>14</v>
      </c>
      <c r="R1457" t="s">
        <v>14</v>
      </c>
      <c r="S1457" t="s">
        <v>3083</v>
      </c>
      <c r="T1457" t="s">
        <v>3084</v>
      </c>
      <c r="U1457" t="s">
        <v>2030</v>
      </c>
      <c r="V1457" t="s">
        <v>14</v>
      </c>
      <c r="W1457" t="b">
        <v>1</v>
      </c>
      <c r="X1457" t="s">
        <v>4630</v>
      </c>
      <c r="Y1457" t="b">
        <v>0</v>
      </c>
      <c r="Z1457" t="s">
        <v>2032</v>
      </c>
    </row>
    <row r="1458" spans="1:26" x14ac:dyDescent="0.35">
      <c r="A1458" t="s">
        <v>936</v>
      </c>
      <c r="B1458" t="s">
        <v>937</v>
      </c>
      <c r="C1458" t="s">
        <v>2967</v>
      </c>
      <c r="D1458" t="s">
        <v>1963</v>
      </c>
      <c r="E1458" t="s">
        <v>2020</v>
      </c>
      <c r="F1458" t="s">
        <v>2161</v>
      </c>
      <c r="G1458" t="s">
        <v>2162</v>
      </c>
      <c r="H1458" t="s">
        <v>2023</v>
      </c>
      <c r="I1458" t="s">
        <v>3086</v>
      </c>
      <c r="J1458" t="s">
        <v>1963</v>
      </c>
      <c r="K1458" t="s">
        <v>4629</v>
      </c>
      <c r="L1458" t="s">
        <v>2046</v>
      </c>
      <c r="M1458" t="s">
        <v>2026</v>
      </c>
      <c r="N1458" t="s">
        <v>2027</v>
      </c>
      <c r="O1458" t="s">
        <v>2650</v>
      </c>
      <c r="P1458" t="s">
        <v>2651</v>
      </c>
      <c r="Q1458" t="s">
        <v>14</v>
      </c>
      <c r="R1458" t="s">
        <v>14</v>
      </c>
      <c r="S1458" t="s">
        <v>14</v>
      </c>
      <c r="T1458" t="s">
        <v>14</v>
      </c>
      <c r="U1458" t="s">
        <v>2030</v>
      </c>
      <c r="V1458" t="s">
        <v>14</v>
      </c>
      <c r="W1458" t="b">
        <v>1</v>
      </c>
      <c r="X1458" t="s">
        <v>4630</v>
      </c>
      <c r="Y1458" t="b">
        <v>0</v>
      </c>
      <c r="Z1458" t="s">
        <v>2053</v>
      </c>
    </row>
    <row r="1459" spans="1:26" x14ac:dyDescent="0.35">
      <c r="A1459" t="s">
        <v>938</v>
      </c>
      <c r="B1459" t="s">
        <v>939</v>
      </c>
      <c r="C1459" t="s">
        <v>2967</v>
      </c>
      <c r="D1459" t="s">
        <v>1963</v>
      </c>
      <c r="E1459" t="s">
        <v>2020</v>
      </c>
      <c r="F1459" t="s">
        <v>2161</v>
      </c>
      <c r="G1459" t="s">
        <v>2162</v>
      </c>
      <c r="H1459" t="s">
        <v>2023</v>
      </c>
      <c r="I1459" t="s">
        <v>80</v>
      </c>
      <c r="J1459" t="s">
        <v>1963</v>
      </c>
      <c r="K1459" t="s">
        <v>4631</v>
      </c>
      <c r="L1459" t="s">
        <v>4632</v>
      </c>
      <c r="M1459" t="s">
        <v>2026</v>
      </c>
      <c r="N1459" t="s">
        <v>2027</v>
      </c>
      <c r="O1459" t="s">
        <v>2650</v>
      </c>
      <c r="P1459" t="s">
        <v>2651</v>
      </c>
      <c r="Q1459" t="s">
        <v>14</v>
      </c>
      <c r="R1459" t="s">
        <v>14</v>
      </c>
      <c r="S1459" t="s">
        <v>3083</v>
      </c>
      <c r="T1459" t="s">
        <v>3084</v>
      </c>
      <c r="U1459" t="s">
        <v>2030</v>
      </c>
      <c r="V1459" t="s">
        <v>14</v>
      </c>
      <c r="W1459" t="b">
        <v>1</v>
      </c>
      <c r="X1459" t="s">
        <v>4633</v>
      </c>
      <c r="Y1459" t="b">
        <v>0</v>
      </c>
      <c r="Z1459" t="s">
        <v>2032</v>
      </c>
    </row>
    <row r="1460" spans="1:26" x14ac:dyDescent="0.35">
      <c r="A1460" t="s">
        <v>940</v>
      </c>
      <c r="B1460" t="s">
        <v>941</v>
      </c>
      <c r="C1460" t="s">
        <v>2967</v>
      </c>
      <c r="D1460" t="s">
        <v>1963</v>
      </c>
      <c r="E1460" t="s">
        <v>2020</v>
      </c>
      <c r="F1460" t="s">
        <v>2161</v>
      </c>
      <c r="G1460" t="s">
        <v>2162</v>
      </c>
      <c r="H1460" t="s">
        <v>2023</v>
      </c>
      <c r="I1460" t="s">
        <v>80</v>
      </c>
      <c r="J1460" t="s">
        <v>1963</v>
      </c>
      <c r="K1460" t="s">
        <v>4634</v>
      </c>
      <c r="L1460" t="s">
        <v>4632</v>
      </c>
      <c r="M1460" t="s">
        <v>2026</v>
      </c>
      <c r="N1460" t="s">
        <v>2027</v>
      </c>
      <c r="O1460" t="s">
        <v>2650</v>
      </c>
      <c r="P1460" t="s">
        <v>2651</v>
      </c>
      <c r="Q1460" t="s">
        <v>14</v>
      </c>
      <c r="R1460" t="s">
        <v>14</v>
      </c>
      <c r="S1460" t="s">
        <v>3083</v>
      </c>
      <c r="T1460" t="s">
        <v>3084</v>
      </c>
      <c r="U1460" t="s">
        <v>2030</v>
      </c>
      <c r="V1460" t="s">
        <v>14</v>
      </c>
      <c r="W1460" t="b">
        <v>1</v>
      </c>
      <c r="X1460" t="s">
        <v>4635</v>
      </c>
      <c r="Y1460" t="b">
        <v>0</v>
      </c>
      <c r="Z1460" t="s">
        <v>2032</v>
      </c>
    </row>
    <row r="1461" spans="1:26" x14ac:dyDescent="0.35">
      <c r="A1461" t="s">
        <v>942</v>
      </c>
      <c r="B1461" t="s">
        <v>943</v>
      </c>
      <c r="C1461" t="s">
        <v>2967</v>
      </c>
      <c r="D1461" t="s">
        <v>1963</v>
      </c>
      <c r="E1461" t="s">
        <v>2020</v>
      </c>
      <c r="F1461" t="s">
        <v>2161</v>
      </c>
      <c r="G1461" t="s">
        <v>2162</v>
      </c>
      <c r="H1461" t="s">
        <v>2023</v>
      </c>
      <c r="I1461" t="s">
        <v>80</v>
      </c>
      <c r="J1461" t="s">
        <v>1963</v>
      </c>
      <c r="K1461" t="s">
        <v>4636</v>
      </c>
      <c r="L1461" t="s">
        <v>4632</v>
      </c>
      <c r="M1461" t="s">
        <v>2026</v>
      </c>
      <c r="N1461" t="s">
        <v>2027</v>
      </c>
      <c r="O1461" t="s">
        <v>2650</v>
      </c>
      <c r="P1461" t="s">
        <v>2651</v>
      </c>
      <c r="Q1461" t="s">
        <v>14</v>
      </c>
      <c r="R1461" t="s">
        <v>14</v>
      </c>
      <c r="S1461" t="s">
        <v>3083</v>
      </c>
      <c r="T1461" t="s">
        <v>3084</v>
      </c>
      <c r="U1461" t="s">
        <v>2030</v>
      </c>
      <c r="V1461" t="s">
        <v>14</v>
      </c>
      <c r="W1461" t="b">
        <v>1</v>
      </c>
      <c r="X1461" t="s">
        <v>4637</v>
      </c>
      <c r="Y1461" t="b">
        <v>0</v>
      </c>
      <c r="Z1461" t="s">
        <v>2032</v>
      </c>
    </row>
    <row r="1462" spans="1:26" x14ac:dyDescent="0.35">
      <c r="A1462" t="s">
        <v>944</v>
      </c>
      <c r="B1462" t="s">
        <v>945</v>
      </c>
      <c r="C1462" t="s">
        <v>2967</v>
      </c>
      <c r="D1462" t="s">
        <v>1963</v>
      </c>
      <c r="E1462" t="s">
        <v>2020</v>
      </c>
      <c r="F1462" t="s">
        <v>2161</v>
      </c>
      <c r="G1462" t="s">
        <v>2162</v>
      </c>
      <c r="H1462" t="s">
        <v>2023</v>
      </c>
      <c r="I1462" t="s">
        <v>80</v>
      </c>
      <c r="J1462" t="s">
        <v>1963</v>
      </c>
      <c r="K1462" t="s">
        <v>4638</v>
      </c>
      <c r="L1462" t="s">
        <v>4632</v>
      </c>
      <c r="M1462" t="s">
        <v>2026</v>
      </c>
      <c r="N1462" t="s">
        <v>2027</v>
      </c>
      <c r="O1462" t="s">
        <v>2650</v>
      </c>
      <c r="P1462" t="s">
        <v>2651</v>
      </c>
      <c r="Q1462" t="s">
        <v>14</v>
      </c>
      <c r="R1462" t="s">
        <v>14</v>
      </c>
      <c r="S1462" t="s">
        <v>3083</v>
      </c>
      <c r="T1462" t="s">
        <v>3084</v>
      </c>
      <c r="U1462" t="s">
        <v>2030</v>
      </c>
      <c r="V1462" t="s">
        <v>14</v>
      </c>
      <c r="W1462" t="b">
        <v>1</v>
      </c>
      <c r="X1462" t="s">
        <v>4639</v>
      </c>
      <c r="Y1462" t="b">
        <v>0</v>
      </c>
      <c r="Z1462" t="s">
        <v>2032</v>
      </c>
    </row>
    <row r="1463" spans="1:26" x14ac:dyDescent="0.35">
      <c r="A1463" t="s">
        <v>946</v>
      </c>
      <c r="B1463" t="s">
        <v>947</v>
      </c>
      <c r="C1463" t="s">
        <v>2967</v>
      </c>
      <c r="D1463" t="s">
        <v>1963</v>
      </c>
      <c r="E1463" t="s">
        <v>2020</v>
      </c>
      <c r="F1463" t="s">
        <v>2161</v>
      </c>
      <c r="G1463" t="s">
        <v>2162</v>
      </c>
      <c r="H1463" t="s">
        <v>2023</v>
      </c>
      <c r="I1463" t="s">
        <v>80</v>
      </c>
      <c r="J1463" t="s">
        <v>1963</v>
      </c>
      <c r="K1463" t="s">
        <v>4640</v>
      </c>
      <c r="L1463" t="s">
        <v>4632</v>
      </c>
      <c r="M1463" t="s">
        <v>2026</v>
      </c>
      <c r="N1463" t="s">
        <v>2027</v>
      </c>
      <c r="O1463" t="s">
        <v>2650</v>
      </c>
      <c r="P1463" t="s">
        <v>2651</v>
      </c>
      <c r="Q1463" t="s">
        <v>14</v>
      </c>
      <c r="R1463" t="s">
        <v>14</v>
      </c>
      <c r="S1463" t="s">
        <v>3083</v>
      </c>
      <c r="T1463" t="s">
        <v>3084</v>
      </c>
      <c r="U1463" t="s">
        <v>2030</v>
      </c>
      <c r="V1463" t="s">
        <v>14</v>
      </c>
      <c r="W1463" t="b">
        <v>1</v>
      </c>
      <c r="X1463" t="s">
        <v>4641</v>
      </c>
      <c r="Y1463" t="b">
        <v>0</v>
      </c>
      <c r="Z1463" t="s">
        <v>2032</v>
      </c>
    </row>
    <row r="1464" spans="1:26" x14ac:dyDescent="0.35">
      <c r="A1464" t="s">
        <v>948</v>
      </c>
      <c r="B1464" t="s">
        <v>949</v>
      </c>
      <c r="C1464" t="s">
        <v>2967</v>
      </c>
      <c r="D1464" t="s">
        <v>1963</v>
      </c>
      <c r="E1464" t="s">
        <v>2020</v>
      </c>
      <c r="F1464" t="s">
        <v>2161</v>
      </c>
      <c r="G1464" t="s">
        <v>2162</v>
      </c>
      <c r="H1464" t="s">
        <v>2023</v>
      </c>
      <c r="I1464" t="s">
        <v>80</v>
      </c>
      <c r="J1464" t="s">
        <v>1963</v>
      </c>
      <c r="K1464" t="s">
        <v>4642</v>
      </c>
      <c r="L1464" t="s">
        <v>4632</v>
      </c>
      <c r="M1464" t="s">
        <v>2026</v>
      </c>
      <c r="N1464" t="s">
        <v>2027</v>
      </c>
      <c r="O1464" t="s">
        <v>2650</v>
      </c>
      <c r="P1464" t="s">
        <v>2651</v>
      </c>
      <c r="Q1464" t="s">
        <v>14</v>
      </c>
      <c r="R1464" t="s">
        <v>14</v>
      </c>
      <c r="S1464" t="s">
        <v>3083</v>
      </c>
      <c r="T1464" t="s">
        <v>3084</v>
      </c>
      <c r="U1464" t="s">
        <v>2030</v>
      </c>
      <c r="V1464" t="s">
        <v>14</v>
      </c>
      <c r="W1464" t="b">
        <v>1</v>
      </c>
      <c r="X1464" t="s">
        <v>4643</v>
      </c>
      <c r="Y1464" t="b">
        <v>0</v>
      </c>
      <c r="Z1464" t="s">
        <v>2032</v>
      </c>
    </row>
    <row r="1465" spans="1:26" x14ac:dyDescent="0.35">
      <c r="A1465" t="s">
        <v>950</v>
      </c>
      <c r="B1465" t="s">
        <v>951</v>
      </c>
      <c r="C1465" t="s">
        <v>2967</v>
      </c>
      <c r="D1465" t="s">
        <v>1963</v>
      </c>
      <c r="E1465" t="s">
        <v>2020</v>
      </c>
      <c r="F1465" t="s">
        <v>2161</v>
      </c>
      <c r="G1465" t="s">
        <v>2162</v>
      </c>
      <c r="H1465" t="s">
        <v>2023</v>
      </c>
      <c r="I1465" t="s">
        <v>80</v>
      </c>
      <c r="J1465" t="s">
        <v>1963</v>
      </c>
      <c r="K1465" t="s">
        <v>4644</v>
      </c>
      <c r="L1465" t="s">
        <v>4632</v>
      </c>
      <c r="M1465" t="s">
        <v>2026</v>
      </c>
      <c r="N1465" t="s">
        <v>2027</v>
      </c>
      <c r="O1465" t="s">
        <v>2650</v>
      </c>
      <c r="P1465" t="s">
        <v>2651</v>
      </c>
      <c r="Q1465" t="s">
        <v>14</v>
      </c>
      <c r="R1465" t="s">
        <v>14</v>
      </c>
      <c r="S1465" t="s">
        <v>3083</v>
      </c>
      <c r="T1465" t="s">
        <v>3084</v>
      </c>
      <c r="U1465" t="s">
        <v>2030</v>
      </c>
      <c r="V1465" t="s">
        <v>14</v>
      </c>
      <c r="W1465" t="b">
        <v>1</v>
      </c>
      <c r="X1465" t="s">
        <v>4645</v>
      </c>
      <c r="Y1465" t="b">
        <v>0</v>
      </c>
      <c r="Z1465" t="s">
        <v>2032</v>
      </c>
    </row>
    <row r="1466" spans="1:26" x14ac:dyDescent="0.35">
      <c r="A1466" t="s">
        <v>952</v>
      </c>
      <c r="B1466" t="s">
        <v>953</v>
      </c>
      <c r="C1466" t="s">
        <v>2967</v>
      </c>
      <c r="D1466" t="s">
        <v>1963</v>
      </c>
      <c r="E1466" t="s">
        <v>2020</v>
      </c>
      <c r="F1466" t="s">
        <v>2161</v>
      </c>
      <c r="G1466" t="s">
        <v>2162</v>
      </c>
      <c r="H1466" t="s">
        <v>2023</v>
      </c>
      <c r="I1466" t="s">
        <v>80</v>
      </c>
      <c r="J1466" t="s">
        <v>1963</v>
      </c>
      <c r="K1466" t="s">
        <v>4646</v>
      </c>
      <c r="L1466" t="s">
        <v>4632</v>
      </c>
      <c r="M1466" t="s">
        <v>2026</v>
      </c>
      <c r="N1466" t="s">
        <v>2027</v>
      </c>
      <c r="O1466" t="s">
        <v>2650</v>
      </c>
      <c r="P1466" t="s">
        <v>2651</v>
      </c>
      <c r="Q1466" t="s">
        <v>14</v>
      </c>
      <c r="R1466" t="s">
        <v>14</v>
      </c>
      <c r="S1466" t="s">
        <v>3083</v>
      </c>
      <c r="T1466" t="s">
        <v>3084</v>
      </c>
      <c r="U1466" t="s">
        <v>2030</v>
      </c>
      <c r="V1466" t="s">
        <v>14</v>
      </c>
      <c r="W1466" t="b">
        <v>1</v>
      </c>
      <c r="X1466" t="s">
        <v>4647</v>
      </c>
      <c r="Y1466" t="b">
        <v>0</v>
      </c>
      <c r="Z1466" t="s">
        <v>2032</v>
      </c>
    </row>
    <row r="1467" spans="1:26" x14ac:dyDescent="0.35">
      <c r="A1467" t="s">
        <v>954</v>
      </c>
      <c r="B1467" t="s">
        <v>955</v>
      </c>
      <c r="C1467" t="s">
        <v>2967</v>
      </c>
      <c r="D1467" t="s">
        <v>1963</v>
      </c>
      <c r="E1467" t="s">
        <v>2020</v>
      </c>
      <c r="F1467" t="s">
        <v>2161</v>
      </c>
      <c r="G1467" t="s">
        <v>2162</v>
      </c>
      <c r="H1467" t="s">
        <v>2023</v>
      </c>
      <c r="I1467" t="s">
        <v>80</v>
      </c>
      <c r="J1467" t="s">
        <v>1963</v>
      </c>
      <c r="K1467" t="s">
        <v>4648</v>
      </c>
      <c r="L1467" t="s">
        <v>2046</v>
      </c>
      <c r="M1467" t="s">
        <v>2026</v>
      </c>
      <c r="N1467" t="s">
        <v>2027</v>
      </c>
      <c r="O1467" t="s">
        <v>2650</v>
      </c>
      <c r="P1467" t="s">
        <v>2651</v>
      </c>
      <c r="Q1467" t="s">
        <v>14</v>
      </c>
      <c r="R1467" t="s">
        <v>14</v>
      </c>
      <c r="S1467" t="s">
        <v>3083</v>
      </c>
      <c r="T1467" t="s">
        <v>3084</v>
      </c>
      <c r="U1467" t="s">
        <v>2030</v>
      </c>
      <c r="V1467" t="s">
        <v>14</v>
      </c>
      <c r="W1467" t="b">
        <v>1</v>
      </c>
      <c r="X1467" t="s">
        <v>4649</v>
      </c>
      <c r="Y1467" t="b">
        <v>0</v>
      </c>
      <c r="Z1467" t="s">
        <v>2032</v>
      </c>
    </row>
    <row r="1468" spans="1:26" x14ac:dyDescent="0.35">
      <c r="A1468" t="s">
        <v>956</v>
      </c>
      <c r="B1468" t="s">
        <v>957</v>
      </c>
      <c r="C1468" t="s">
        <v>2967</v>
      </c>
      <c r="D1468" t="s">
        <v>1963</v>
      </c>
      <c r="E1468" t="s">
        <v>2020</v>
      </c>
      <c r="F1468" t="s">
        <v>2161</v>
      </c>
      <c r="G1468" t="s">
        <v>2162</v>
      </c>
      <c r="H1468" t="s">
        <v>2023</v>
      </c>
      <c r="I1468" t="s">
        <v>80</v>
      </c>
      <c r="J1468" t="s">
        <v>1963</v>
      </c>
      <c r="K1468" t="s">
        <v>4650</v>
      </c>
      <c r="L1468" t="s">
        <v>2046</v>
      </c>
      <c r="M1468" t="s">
        <v>2026</v>
      </c>
      <c r="N1468" t="s">
        <v>2027</v>
      </c>
      <c r="O1468" t="s">
        <v>2650</v>
      </c>
      <c r="P1468" t="s">
        <v>2651</v>
      </c>
      <c r="Q1468" t="s">
        <v>14</v>
      </c>
      <c r="R1468" t="s">
        <v>14</v>
      </c>
      <c r="S1468" t="s">
        <v>3083</v>
      </c>
      <c r="T1468" t="s">
        <v>3084</v>
      </c>
      <c r="U1468" t="s">
        <v>2030</v>
      </c>
      <c r="V1468" t="s">
        <v>14</v>
      </c>
      <c r="W1468" t="b">
        <v>1</v>
      </c>
      <c r="X1468" t="s">
        <v>4651</v>
      </c>
      <c r="Y1468" t="b">
        <v>0</v>
      </c>
      <c r="Z1468" t="s">
        <v>2032</v>
      </c>
    </row>
    <row r="1469" spans="1:26" x14ac:dyDescent="0.35">
      <c r="A1469" t="s">
        <v>958</v>
      </c>
      <c r="B1469" t="s">
        <v>959</v>
      </c>
      <c r="C1469" t="s">
        <v>2967</v>
      </c>
      <c r="D1469" t="s">
        <v>1963</v>
      </c>
      <c r="E1469" t="s">
        <v>2020</v>
      </c>
      <c r="F1469" t="s">
        <v>2161</v>
      </c>
      <c r="G1469" t="s">
        <v>2162</v>
      </c>
      <c r="H1469" t="s">
        <v>2023</v>
      </c>
      <c r="I1469" t="s">
        <v>80</v>
      </c>
      <c r="J1469" t="s">
        <v>1963</v>
      </c>
      <c r="K1469" t="s">
        <v>4652</v>
      </c>
      <c r="L1469" t="s">
        <v>2046</v>
      </c>
      <c r="M1469" t="s">
        <v>2026</v>
      </c>
      <c r="N1469" t="s">
        <v>2027</v>
      </c>
      <c r="O1469" t="s">
        <v>2650</v>
      </c>
      <c r="P1469" t="s">
        <v>2651</v>
      </c>
      <c r="Q1469" t="s">
        <v>14</v>
      </c>
      <c r="R1469" t="s">
        <v>14</v>
      </c>
      <c r="S1469" t="s">
        <v>3083</v>
      </c>
      <c r="T1469" t="s">
        <v>3084</v>
      </c>
      <c r="U1469" t="s">
        <v>2030</v>
      </c>
      <c r="V1469" t="s">
        <v>14</v>
      </c>
      <c r="W1469" t="b">
        <v>1</v>
      </c>
      <c r="X1469" t="s">
        <v>4653</v>
      </c>
      <c r="Y1469" t="b">
        <v>0</v>
      </c>
      <c r="Z1469" t="s">
        <v>2032</v>
      </c>
    </row>
    <row r="1470" spans="1:26" x14ac:dyDescent="0.35">
      <c r="A1470" t="s">
        <v>960</v>
      </c>
      <c r="B1470" t="s">
        <v>961</v>
      </c>
      <c r="C1470" t="s">
        <v>2967</v>
      </c>
      <c r="D1470" t="s">
        <v>1963</v>
      </c>
      <c r="E1470" t="s">
        <v>2020</v>
      </c>
      <c r="F1470" t="s">
        <v>2161</v>
      </c>
      <c r="G1470" t="s">
        <v>2162</v>
      </c>
      <c r="H1470" t="s">
        <v>2023</v>
      </c>
      <c r="I1470" t="s">
        <v>80</v>
      </c>
      <c r="J1470" t="s">
        <v>1963</v>
      </c>
      <c r="K1470" t="s">
        <v>4654</v>
      </c>
      <c r="L1470" t="s">
        <v>2046</v>
      </c>
      <c r="M1470" t="s">
        <v>2026</v>
      </c>
      <c r="N1470" t="s">
        <v>2027</v>
      </c>
      <c r="O1470" t="s">
        <v>2650</v>
      </c>
      <c r="P1470" t="s">
        <v>2651</v>
      </c>
      <c r="Q1470" t="s">
        <v>14</v>
      </c>
      <c r="R1470" t="s">
        <v>14</v>
      </c>
      <c r="S1470" t="s">
        <v>3083</v>
      </c>
      <c r="T1470" t="s">
        <v>3084</v>
      </c>
      <c r="U1470" t="s">
        <v>2030</v>
      </c>
      <c r="V1470" t="s">
        <v>14</v>
      </c>
      <c r="W1470" t="b">
        <v>1</v>
      </c>
      <c r="X1470" t="s">
        <v>4655</v>
      </c>
      <c r="Y1470" t="b">
        <v>0</v>
      </c>
      <c r="Z1470" t="s">
        <v>2032</v>
      </c>
    </row>
    <row r="1471" spans="1:26" x14ac:dyDescent="0.35">
      <c r="A1471" t="s">
        <v>962</v>
      </c>
      <c r="B1471" t="s">
        <v>963</v>
      </c>
      <c r="C1471" t="s">
        <v>2967</v>
      </c>
      <c r="D1471" t="s">
        <v>1963</v>
      </c>
      <c r="E1471" t="s">
        <v>2020</v>
      </c>
      <c r="F1471" t="s">
        <v>2021</v>
      </c>
      <c r="G1471" t="s">
        <v>2022</v>
      </c>
      <c r="H1471" t="s">
        <v>2023</v>
      </c>
      <c r="I1471" t="s">
        <v>80</v>
      </c>
      <c r="J1471" t="s">
        <v>1963</v>
      </c>
      <c r="K1471" t="s">
        <v>4656</v>
      </c>
      <c r="L1471" t="s">
        <v>2046</v>
      </c>
      <c r="M1471" t="s">
        <v>2026</v>
      </c>
      <c r="N1471" t="s">
        <v>2027</v>
      </c>
      <c r="O1471" t="s">
        <v>2650</v>
      </c>
      <c r="P1471" t="s">
        <v>2651</v>
      </c>
      <c r="Q1471" t="s">
        <v>14</v>
      </c>
      <c r="R1471" t="s">
        <v>14</v>
      </c>
      <c r="S1471" t="s">
        <v>3083</v>
      </c>
      <c r="T1471" t="s">
        <v>3084</v>
      </c>
      <c r="U1471" t="s">
        <v>2030</v>
      </c>
      <c r="V1471" t="s">
        <v>14</v>
      </c>
      <c r="W1471" t="b">
        <v>1</v>
      </c>
      <c r="X1471" t="s">
        <v>4657</v>
      </c>
      <c r="Y1471" t="b">
        <v>0</v>
      </c>
      <c r="Z1471" t="s">
        <v>2032</v>
      </c>
    </row>
    <row r="1472" spans="1:26" x14ac:dyDescent="0.35">
      <c r="A1472" t="s">
        <v>964</v>
      </c>
      <c r="B1472" t="s">
        <v>965</v>
      </c>
      <c r="C1472" t="s">
        <v>2967</v>
      </c>
      <c r="D1472" t="s">
        <v>1963</v>
      </c>
      <c r="E1472" t="s">
        <v>2020</v>
      </c>
      <c r="F1472" t="s">
        <v>2055</v>
      </c>
      <c r="G1472" t="s">
        <v>2056</v>
      </c>
      <c r="H1472" t="s">
        <v>2023</v>
      </c>
      <c r="I1472" t="s">
        <v>4658</v>
      </c>
      <c r="J1472" t="s">
        <v>1963</v>
      </c>
      <c r="K1472" t="s">
        <v>4659</v>
      </c>
      <c r="L1472" t="s">
        <v>2046</v>
      </c>
      <c r="M1472" t="s">
        <v>4660</v>
      </c>
      <c r="N1472" t="s">
        <v>4661</v>
      </c>
      <c r="O1472" t="s">
        <v>2635</v>
      </c>
      <c r="P1472" t="s">
        <v>2636</v>
      </c>
      <c r="Q1472" t="s">
        <v>4662</v>
      </c>
      <c r="R1472" t="s">
        <v>14</v>
      </c>
      <c r="S1472" t="s">
        <v>4663</v>
      </c>
      <c r="T1472" t="s">
        <v>4664</v>
      </c>
      <c r="U1472" t="s">
        <v>2171</v>
      </c>
      <c r="V1472" t="s">
        <v>14</v>
      </c>
      <c r="W1472" t="b">
        <v>1</v>
      </c>
      <c r="X1472" t="s">
        <v>4665</v>
      </c>
      <c r="Y1472" t="b">
        <v>0</v>
      </c>
      <c r="Z1472" t="s">
        <v>2032</v>
      </c>
    </row>
    <row r="1473" spans="1:26" x14ac:dyDescent="0.35">
      <c r="A1473" t="s">
        <v>964</v>
      </c>
      <c r="B1473" t="s">
        <v>965</v>
      </c>
      <c r="C1473" t="s">
        <v>2967</v>
      </c>
      <c r="D1473" t="s">
        <v>1963</v>
      </c>
      <c r="E1473" t="s">
        <v>2020</v>
      </c>
      <c r="F1473" t="s">
        <v>2055</v>
      </c>
      <c r="G1473" t="s">
        <v>2056</v>
      </c>
      <c r="H1473" t="s">
        <v>2023</v>
      </c>
      <c r="I1473" t="s">
        <v>4666</v>
      </c>
      <c r="J1473" t="s">
        <v>1963</v>
      </c>
      <c r="K1473" t="s">
        <v>4659</v>
      </c>
      <c r="L1473" t="s">
        <v>2046</v>
      </c>
      <c r="M1473" t="s">
        <v>4660</v>
      </c>
      <c r="N1473" t="s">
        <v>4661</v>
      </c>
      <c r="O1473" t="s">
        <v>2635</v>
      </c>
      <c r="P1473" t="s">
        <v>2636</v>
      </c>
      <c r="Q1473" t="s">
        <v>4662</v>
      </c>
      <c r="R1473" t="s">
        <v>14</v>
      </c>
      <c r="S1473" t="s">
        <v>4663</v>
      </c>
      <c r="T1473" t="s">
        <v>4664</v>
      </c>
      <c r="U1473" t="s">
        <v>2171</v>
      </c>
      <c r="V1473" t="s">
        <v>14</v>
      </c>
      <c r="W1473" t="b">
        <v>1</v>
      </c>
      <c r="X1473" t="s">
        <v>4665</v>
      </c>
      <c r="Y1473" t="b">
        <v>0</v>
      </c>
      <c r="Z1473" t="s">
        <v>2032</v>
      </c>
    </row>
    <row r="1474" spans="1:26" x14ac:dyDescent="0.35">
      <c r="A1474" t="s">
        <v>966</v>
      </c>
      <c r="B1474" t="s">
        <v>967</v>
      </c>
      <c r="C1474" t="s">
        <v>2967</v>
      </c>
      <c r="D1474" t="s">
        <v>1963</v>
      </c>
      <c r="E1474" t="s">
        <v>2020</v>
      </c>
      <c r="F1474" t="s">
        <v>2055</v>
      </c>
      <c r="G1474" t="s">
        <v>2056</v>
      </c>
      <c r="H1474" t="s">
        <v>2023</v>
      </c>
      <c r="I1474" t="s">
        <v>4658</v>
      </c>
      <c r="J1474" t="s">
        <v>1963</v>
      </c>
      <c r="K1474" t="s">
        <v>4667</v>
      </c>
      <c r="L1474" t="s">
        <v>2046</v>
      </c>
      <c r="M1474" t="s">
        <v>4660</v>
      </c>
      <c r="N1474" t="s">
        <v>4661</v>
      </c>
      <c r="O1474" t="s">
        <v>2635</v>
      </c>
      <c r="P1474" t="s">
        <v>2636</v>
      </c>
      <c r="Q1474" t="s">
        <v>4662</v>
      </c>
      <c r="R1474" t="s">
        <v>14</v>
      </c>
      <c r="S1474" t="s">
        <v>4663</v>
      </c>
      <c r="T1474" t="s">
        <v>4664</v>
      </c>
      <c r="U1474" t="s">
        <v>2171</v>
      </c>
      <c r="V1474" t="s">
        <v>14</v>
      </c>
      <c r="W1474" t="b">
        <v>1</v>
      </c>
      <c r="X1474" t="s">
        <v>4668</v>
      </c>
      <c r="Y1474" t="b">
        <v>0</v>
      </c>
      <c r="Z1474" t="s">
        <v>2032</v>
      </c>
    </row>
    <row r="1475" spans="1:26" x14ac:dyDescent="0.35">
      <c r="A1475" t="s">
        <v>966</v>
      </c>
      <c r="B1475" t="s">
        <v>967</v>
      </c>
      <c r="C1475" t="s">
        <v>2967</v>
      </c>
      <c r="D1475" t="s">
        <v>1963</v>
      </c>
      <c r="E1475" t="s">
        <v>2020</v>
      </c>
      <c r="F1475" t="s">
        <v>2055</v>
      </c>
      <c r="G1475" t="s">
        <v>2056</v>
      </c>
      <c r="H1475" t="s">
        <v>2023</v>
      </c>
      <c r="I1475" t="s">
        <v>4666</v>
      </c>
      <c r="J1475" t="s">
        <v>1963</v>
      </c>
      <c r="K1475" t="s">
        <v>4667</v>
      </c>
      <c r="L1475" t="s">
        <v>2046</v>
      </c>
      <c r="M1475" t="s">
        <v>4660</v>
      </c>
      <c r="N1475" t="s">
        <v>4661</v>
      </c>
      <c r="O1475" t="s">
        <v>2635</v>
      </c>
      <c r="P1475" t="s">
        <v>2636</v>
      </c>
      <c r="Q1475" t="s">
        <v>4662</v>
      </c>
      <c r="R1475" t="s">
        <v>14</v>
      </c>
      <c r="S1475" t="s">
        <v>4663</v>
      </c>
      <c r="T1475" t="s">
        <v>4664</v>
      </c>
      <c r="U1475" t="s">
        <v>2171</v>
      </c>
      <c r="V1475" t="s">
        <v>14</v>
      </c>
      <c r="W1475" t="b">
        <v>1</v>
      </c>
      <c r="X1475" t="s">
        <v>4668</v>
      </c>
      <c r="Y1475" t="b">
        <v>0</v>
      </c>
      <c r="Z1475" t="s">
        <v>2032</v>
      </c>
    </row>
    <row r="1476" spans="1:26" x14ac:dyDescent="0.35">
      <c r="A1476" t="s">
        <v>968</v>
      </c>
      <c r="B1476" t="s">
        <v>969</v>
      </c>
      <c r="C1476" t="s">
        <v>2967</v>
      </c>
      <c r="D1476" t="s">
        <v>1963</v>
      </c>
      <c r="E1476" t="s">
        <v>2020</v>
      </c>
      <c r="F1476" t="s">
        <v>2021</v>
      </c>
      <c r="G1476" t="s">
        <v>2022</v>
      </c>
      <c r="H1476" t="s">
        <v>2023</v>
      </c>
      <c r="I1476" t="s">
        <v>80</v>
      </c>
      <c r="J1476" t="s">
        <v>1963</v>
      </c>
      <c r="K1476" t="s">
        <v>4669</v>
      </c>
      <c r="L1476" t="s">
        <v>2046</v>
      </c>
      <c r="M1476" t="s">
        <v>2026</v>
      </c>
      <c r="N1476" t="s">
        <v>2027</v>
      </c>
      <c r="O1476" t="s">
        <v>2650</v>
      </c>
      <c r="P1476" t="s">
        <v>2651</v>
      </c>
      <c r="Q1476" t="s">
        <v>14</v>
      </c>
      <c r="R1476" t="s">
        <v>14</v>
      </c>
      <c r="S1476" t="s">
        <v>3083</v>
      </c>
      <c r="T1476" t="s">
        <v>3084</v>
      </c>
      <c r="U1476" t="s">
        <v>2030</v>
      </c>
      <c r="V1476" t="s">
        <v>14</v>
      </c>
      <c r="W1476" t="b">
        <v>1</v>
      </c>
      <c r="X1476" t="s">
        <v>4670</v>
      </c>
      <c r="Y1476" t="b">
        <v>0</v>
      </c>
      <c r="Z1476" t="s">
        <v>2032</v>
      </c>
    </row>
    <row r="1477" spans="1:26" x14ac:dyDescent="0.35">
      <c r="A1477" t="s">
        <v>970</v>
      </c>
      <c r="B1477" t="s">
        <v>971</v>
      </c>
      <c r="C1477" t="s">
        <v>2967</v>
      </c>
      <c r="D1477" t="s">
        <v>1963</v>
      </c>
      <c r="E1477" t="s">
        <v>2020</v>
      </c>
      <c r="F1477" t="s">
        <v>2021</v>
      </c>
      <c r="G1477" t="s">
        <v>2022</v>
      </c>
      <c r="H1477" t="s">
        <v>2023</v>
      </c>
      <c r="I1477" t="s">
        <v>80</v>
      </c>
      <c r="J1477" t="s">
        <v>1963</v>
      </c>
      <c r="K1477" t="s">
        <v>4671</v>
      </c>
      <c r="L1477" t="s">
        <v>2046</v>
      </c>
      <c r="M1477" t="s">
        <v>2026</v>
      </c>
      <c r="N1477" t="s">
        <v>2027</v>
      </c>
      <c r="O1477" t="s">
        <v>2650</v>
      </c>
      <c r="P1477" t="s">
        <v>2651</v>
      </c>
      <c r="Q1477" t="s">
        <v>14</v>
      </c>
      <c r="R1477" t="s">
        <v>14</v>
      </c>
      <c r="S1477" t="s">
        <v>3083</v>
      </c>
      <c r="T1477" t="s">
        <v>3084</v>
      </c>
      <c r="U1477" t="s">
        <v>2030</v>
      </c>
      <c r="V1477" t="s">
        <v>14</v>
      </c>
      <c r="W1477" t="b">
        <v>1</v>
      </c>
      <c r="X1477" t="s">
        <v>4672</v>
      </c>
      <c r="Y1477" t="b">
        <v>0</v>
      </c>
      <c r="Z1477" t="s">
        <v>2032</v>
      </c>
    </row>
    <row r="1478" spans="1:26" x14ac:dyDescent="0.35">
      <c r="A1478" t="s">
        <v>972</v>
      </c>
      <c r="B1478" t="s">
        <v>973</v>
      </c>
      <c r="C1478" t="s">
        <v>2967</v>
      </c>
      <c r="D1478" t="s">
        <v>1963</v>
      </c>
      <c r="E1478" t="s">
        <v>2020</v>
      </c>
      <c r="F1478" t="s">
        <v>2021</v>
      </c>
      <c r="G1478" t="s">
        <v>2022</v>
      </c>
      <c r="H1478" t="s">
        <v>2023</v>
      </c>
      <c r="I1478" t="s">
        <v>80</v>
      </c>
      <c r="J1478" t="s">
        <v>1963</v>
      </c>
      <c r="K1478" t="s">
        <v>4673</v>
      </c>
      <c r="L1478" t="s">
        <v>2046</v>
      </c>
      <c r="M1478" t="s">
        <v>2026</v>
      </c>
      <c r="N1478" t="s">
        <v>2027</v>
      </c>
      <c r="O1478" t="s">
        <v>2650</v>
      </c>
      <c r="P1478" t="s">
        <v>2651</v>
      </c>
      <c r="Q1478" t="s">
        <v>14</v>
      </c>
      <c r="R1478" t="s">
        <v>14</v>
      </c>
      <c r="S1478" t="s">
        <v>3083</v>
      </c>
      <c r="T1478" t="s">
        <v>3084</v>
      </c>
      <c r="U1478" t="s">
        <v>2030</v>
      </c>
      <c r="V1478" t="s">
        <v>14</v>
      </c>
      <c r="W1478" t="b">
        <v>1</v>
      </c>
      <c r="X1478" t="s">
        <v>4674</v>
      </c>
      <c r="Y1478" t="b">
        <v>0</v>
      </c>
      <c r="Z1478" t="s">
        <v>2032</v>
      </c>
    </row>
    <row r="1479" spans="1:26" x14ac:dyDescent="0.35">
      <c r="A1479" t="s">
        <v>974</v>
      </c>
      <c r="B1479" t="s">
        <v>975</v>
      </c>
      <c r="C1479" t="s">
        <v>2967</v>
      </c>
      <c r="D1479" t="s">
        <v>1963</v>
      </c>
      <c r="E1479" t="s">
        <v>2020</v>
      </c>
      <c r="F1479" t="s">
        <v>2021</v>
      </c>
      <c r="G1479" t="s">
        <v>2022</v>
      </c>
      <c r="H1479" t="s">
        <v>2023</v>
      </c>
      <c r="I1479" t="s">
        <v>80</v>
      </c>
      <c r="J1479" t="s">
        <v>1963</v>
      </c>
      <c r="K1479" t="s">
        <v>4675</v>
      </c>
      <c r="L1479" t="s">
        <v>2046</v>
      </c>
      <c r="M1479" t="s">
        <v>2026</v>
      </c>
      <c r="N1479" t="s">
        <v>2027</v>
      </c>
      <c r="O1479" t="s">
        <v>2650</v>
      </c>
      <c r="P1479" t="s">
        <v>2651</v>
      </c>
      <c r="Q1479" t="s">
        <v>14</v>
      </c>
      <c r="R1479" t="s">
        <v>14</v>
      </c>
      <c r="S1479" t="s">
        <v>3083</v>
      </c>
      <c r="T1479" t="s">
        <v>3084</v>
      </c>
      <c r="U1479" t="s">
        <v>2030</v>
      </c>
      <c r="V1479" t="s">
        <v>14</v>
      </c>
      <c r="W1479" t="b">
        <v>1</v>
      </c>
      <c r="X1479" t="s">
        <v>4676</v>
      </c>
      <c r="Y1479" t="b">
        <v>0</v>
      </c>
      <c r="Z1479" t="s">
        <v>2032</v>
      </c>
    </row>
    <row r="1480" spans="1:26" x14ac:dyDescent="0.35">
      <c r="A1480" t="s">
        <v>976</v>
      </c>
      <c r="B1480" t="s">
        <v>977</v>
      </c>
      <c r="C1480" t="s">
        <v>2967</v>
      </c>
      <c r="D1480" t="s">
        <v>1963</v>
      </c>
      <c r="E1480" t="s">
        <v>2020</v>
      </c>
      <c r="F1480" t="s">
        <v>2021</v>
      </c>
      <c r="G1480" t="s">
        <v>2022</v>
      </c>
      <c r="H1480" t="s">
        <v>2023</v>
      </c>
      <c r="I1480" t="s">
        <v>80</v>
      </c>
      <c r="J1480" t="s">
        <v>1963</v>
      </c>
      <c r="K1480" t="s">
        <v>4677</v>
      </c>
      <c r="L1480" t="s">
        <v>2046</v>
      </c>
      <c r="M1480" t="s">
        <v>2026</v>
      </c>
      <c r="N1480" t="s">
        <v>2027</v>
      </c>
      <c r="O1480" t="s">
        <v>2650</v>
      </c>
      <c r="P1480" t="s">
        <v>2651</v>
      </c>
      <c r="Q1480" t="s">
        <v>14</v>
      </c>
      <c r="R1480" t="s">
        <v>14</v>
      </c>
      <c r="S1480" t="s">
        <v>3083</v>
      </c>
      <c r="T1480" t="s">
        <v>3084</v>
      </c>
      <c r="U1480" t="s">
        <v>2030</v>
      </c>
      <c r="V1480" t="s">
        <v>14</v>
      </c>
      <c r="W1480" t="b">
        <v>1</v>
      </c>
      <c r="X1480" t="s">
        <v>4678</v>
      </c>
      <c r="Y1480" t="b">
        <v>0</v>
      </c>
      <c r="Z1480" t="s">
        <v>2032</v>
      </c>
    </row>
    <row r="1481" spans="1:26" x14ac:dyDescent="0.35">
      <c r="A1481" t="s">
        <v>978</v>
      </c>
      <c r="B1481" t="s">
        <v>979</v>
      </c>
      <c r="C1481" t="s">
        <v>2967</v>
      </c>
      <c r="D1481" t="s">
        <v>1963</v>
      </c>
      <c r="E1481" t="s">
        <v>2020</v>
      </c>
      <c r="F1481" t="s">
        <v>2021</v>
      </c>
      <c r="G1481" t="s">
        <v>2022</v>
      </c>
      <c r="H1481" t="s">
        <v>2023</v>
      </c>
      <c r="I1481" t="s">
        <v>80</v>
      </c>
      <c r="J1481" t="s">
        <v>1963</v>
      </c>
      <c r="K1481" t="s">
        <v>4679</v>
      </c>
      <c r="L1481" t="s">
        <v>2046</v>
      </c>
      <c r="M1481" t="s">
        <v>2026</v>
      </c>
      <c r="N1481" t="s">
        <v>2027</v>
      </c>
      <c r="O1481" t="s">
        <v>2650</v>
      </c>
      <c r="P1481" t="s">
        <v>2651</v>
      </c>
      <c r="Q1481" t="s">
        <v>14</v>
      </c>
      <c r="R1481" t="s">
        <v>14</v>
      </c>
      <c r="S1481" t="s">
        <v>3083</v>
      </c>
      <c r="T1481" t="s">
        <v>3084</v>
      </c>
      <c r="U1481" t="s">
        <v>2030</v>
      </c>
      <c r="V1481" t="s">
        <v>14</v>
      </c>
      <c r="W1481" t="b">
        <v>1</v>
      </c>
      <c r="X1481" t="s">
        <v>4680</v>
      </c>
      <c r="Y1481" t="b">
        <v>0</v>
      </c>
      <c r="Z1481" t="s">
        <v>2032</v>
      </c>
    </row>
    <row r="1482" spans="1:26" x14ac:dyDescent="0.35">
      <c r="A1482" t="s">
        <v>980</v>
      </c>
      <c r="B1482" t="s">
        <v>981</v>
      </c>
      <c r="C1482" t="s">
        <v>2967</v>
      </c>
      <c r="D1482" t="s">
        <v>1963</v>
      </c>
      <c r="E1482" t="s">
        <v>2020</v>
      </c>
      <c r="F1482" t="s">
        <v>2021</v>
      </c>
      <c r="G1482" t="s">
        <v>2022</v>
      </c>
      <c r="H1482" t="s">
        <v>2023</v>
      </c>
      <c r="I1482" t="s">
        <v>80</v>
      </c>
      <c r="J1482" t="s">
        <v>1963</v>
      </c>
      <c r="K1482" t="s">
        <v>4681</v>
      </c>
      <c r="L1482" t="s">
        <v>2046</v>
      </c>
      <c r="M1482" t="s">
        <v>2026</v>
      </c>
      <c r="N1482" t="s">
        <v>2027</v>
      </c>
      <c r="O1482" t="s">
        <v>2650</v>
      </c>
      <c r="P1482" t="s">
        <v>2651</v>
      </c>
      <c r="Q1482" t="s">
        <v>14</v>
      </c>
      <c r="R1482" t="s">
        <v>14</v>
      </c>
      <c r="S1482" t="s">
        <v>3083</v>
      </c>
      <c r="T1482" t="s">
        <v>3084</v>
      </c>
      <c r="U1482" t="s">
        <v>2030</v>
      </c>
      <c r="V1482" t="s">
        <v>14</v>
      </c>
      <c r="W1482" t="b">
        <v>1</v>
      </c>
      <c r="X1482" t="s">
        <v>4682</v>
      </c>
      <c r="Y1482" t="b">
        <v>0</v>
      </c>
      <c r="Z1482" t="s">
        <v>2032</v>
      </c>
    </row>
    <row r="1483" spans="1:26" x14ac:dyDescent="0.35">
      <c r="A1483" t="s">
        <v>980</v>
      </c>
      <c r="B1483" t="s">
        <v>981</v>
      </c>
      <c r="C1483" t="s">
        <v>2967</v>
      </c>
      <c r="D1483" t="s">
        <v>1963</v>
      </c>
      <c r="E1483" t="s">
        <v>2020</v>
      </c>
      <c r="F1483" t="s">
        <v>2021</v>
      </c>
      <c r="G1483" t="s">
        <v>2022</v>
      </c>
      <c r="H1483" t="s">
        <v>2023</v>
      </c>
      <c r="I1483" t="s">
        <v>80</v>
      </c>
      <c r="J1483" t="s">
        <v>1963</v>
      </c>
      <c r="K1483" t="s">
        <v>4681</v>
      </c>
      <c r="L1483" t="s">
        <v>2046</v>
      </c>
      <c r="M1483" t="s">
        <v>2026</v>
      </c>
      <c r="N1483" t="s">
        <v>2027</v>
      </c>
      <c r="O1483" t="s">
        <v>2650</v>
      </c>
      <c r="P1483" t="s">
        <v>2651</v>
      </c>
      <c r="Q1483" t="s">
        <v>14</v>
      </c>
      <c r="R1483" t="s">
        <v>14</v>
      </c>
      <c r="S1483" t="s">
        <v>3083</v>
      </c>
      <c r="T1483" t="s">
        <v>3084</v>
      </c>
      <c r="U1483" t="s">
        <v>2030</v>
      </c>
      <c r="V1483" t="s">
        <v>14</v>
      </c>
      <c r="W1483" t="b">
        <v>1</v>
      </c>
      <c r="X1483" t="s">
        <v>4682</v>
      </c>
      <c r="Y1483" t="b">
        <v>0</v>
      </c>
      <c r="Z1483" t="s">
        <v>2032</v>
      </c>
    </row>
    <row r="1484" spans="1:26" x14ac:dyDescent="0.35">
      <c r="A1484" t="s">
        <v>982</v>
      </c>
      <c r="B1484" t="s">
        <v>983</v>
      </c>
      <c r="C1484" t="s">
        <v>2967</v>
      </c>
      <c r="D1484" t="s">
        <v>1963</v>
      </c>
      <c r="E1484" t="s">
        <v>2020</v>
      </c>
      <c r="F1484" t="s">
        <v>2021</v>
      </c>
      <c r="G1484" t="s">
        <v>2022</v>
      </c>
      <c r="H1484" t="s">
        <v>2023</v>
      </c>
      <c r="I1484" t="s">
        <v>80</v>
      </c>
      <c r="J1484" t="s">
        <v>1963</v>
      </c>
      <c r="K1484" t="s">
        <v>4683</v>
      </c>
      <c r="L1484" t="s">
        <v>2046</v>
      </c>
      <c r="M1484" t="s">
        <v>2026</v>
      </c>
      <c r="N1484" t="s">
        <v>2027</v>
      </c>
      <c r="O1484" t="s">
        <v>2650</v>
      </c>
      <c r="P1484" t="s">
        <v>2651</v>
      </c>
      <c r="Q1484" t="s">
        <v>14</v>
      </c>
      <c r="R1484" t="s">
        <v>14</v>
      </c>
      <c r="S1484" t="s">
        <v>3083</v>
      </c>
      <c r="T1484" t="s">
        <v>3084</v>
      </c>
      <c r="U1484" t="s">
        <v>2030</v>
      </c>
      <c r="V1484" t="s">
        <v>14</v>
      </c>
      <c r="W1484" t="b">
        <v>1</v>
      </c>
      <c r="X1484" t="s">
        <v>4684</v>
      </c>
      <c r="Y1484" t="b">
        <v>0</v>
      </c>
      <c r="Z1484" t="s">
        <v>2032</v>
      </c>
    </row>
    <row r="1485" spans="1:26" x14ac:dyDescent="0.35">
      <c r="A1485" t="s">
        <v>982</v>
      </c>
      <c r="B1485" t="s">
        <v>983</v>
      </c>
      <c r="C1485" t="s">
        <v>2967</v>
      </c>
      <c r="D1485" t="s">
        <v>1963</v>
      </c>
      <c r="E1485" t="s">
        <v>2020</v>
      </c>
      <c r="F1485" t="s">
        <v>2021</v>
      </c>
      <c r="G1485" t="s">
        <v>2022</v>
      </c>
      <c r="H1485" t="s">
        <v>2023</v>
      </c>
      <c r="I1485" t="s">
        <v>80</v>
      </c>
      <c r="J1485" t="s">
        <v>1963</v>
      </c>
      <c r="K1485" t="s">
        <v>4683</v>
      </c>
      <c r="L1485" t="s">
        <v>2046</v>
      </c>
      <c r="M1485" t="s">
        <v>2026</v>
      </c>
      <c r="N1485" t="s">
        <v>2027</v>
      </c>
      <c r="O1485" t="s">
        <v>2650</v>
      </c>
      <c r="P1485" t="s">
        <v>2651</v>
      </c>
      <c r="Q1485" t="s">
        <v>14</v>
      </c>
      <c r="R1485" t="s">
        <v>14</v>
      </c>
      <c r="S1485" t="s">
        <v>3083</v>
      </c>
      <c r="T1485" t="s">
        <v>3084</v>
      </c>
      <c r="U1485" t="s">
        <v>2030</v>
      </c>
      <c r="V1485" t="s">
        <v>14</v>
      </c>
      <c r="W1485" t="b">
        <v>1</v>
      </c>
      <c r="X1485" t="s">
        <v>4684</v>
      </c>
      <c r="Y1485" t="b">
        <v>0</v>
      </c>
      <c r="Z1485" t="s">
        <v>2032</v>
      </c>
    </row>
    <row r="1486" spans="1:26" x14ac:dyDescent="0.35">
      <c r="A1486" t="s">
        <v>984</v>
      </c>
      <c r="B1486" t="s">
        <v>985</v>
      </c>
      <c r="C1486" t="s">
        <v>2967</v>
      </c>
      <c r="D1486" t="s">
        <v>1963</v>
      </c>
      <c r="E1486" t="s">
        <v>2020</v>
      </c>
      <c r="F1486" t="s">
        <v>2021</v>
      </c>
      <c r="G1486" t="s">
        <v>2022</v>
      </c>
      <c r="H1486" t="s">
        <v>2023</v>
      </c>
      <c r="I1486" t="s">
        <v>80</v>
      </c>
      <c r="J1486" t="s">
        <v>1963</v>
      </c>
      <c r="K1486" t="s">
        <v>4685</v>
      </c>
      <c r="L1486" t="s">
        <v>2046</v>
      </c>
      <c r="M1486" t="s">
        <v>2026</v>
      </c>
      <c r="N1486" t="s">
        <v>2027</v>
      </c>
      <c r="O1486" t="s">
        <v>2650</v>
      </c>
      <c r="P1486" t="s">
        <v>2651</v>
      </c>
      <c r="Q1486" t="s">
        <v>14</v>
      </c>
      <c r="R1486" t="s">
        <v>14</v>
      </c>
      <c r="S1486" t="s">
        <v>3083</v>
      </c>
      <c r="T1486" t="s">
        <v>3084</v>
      </c>
      <c r="U1486" t="s">
        <v>2030</v>
      </c>
      <c r="V1486" t="s">
        <v>14</v>
      </c>
      <c r="W1486" t="b">
        <v>1</v>
      </c>
      <c r="X1486" t="s">
        <v>4686</v>
      </c>
      <c r="Y1486" t="b">
        <v>0</v>
      </c>
      <c r="Z1486" t="s">
        <v>2032</v>
      </c>
    </row>
    <row r="1487" spans="1:26" x14ac:dyDescent="0.35">
      <c r="A1487" t="s">
        <v>986</v>
      </c>
      <c r="B1487" t="s">
        <v>987</v>
      </c>
      <c r="C1487" t="s">
        <v>2967</v>
      </c>
      <c r="D1487" t="s">
        <v>1963</v>
      </c>
      <c r="E1487" t="s">
        <v>2020</v>
      </c>
      <c r="F1487" t="s">
        <v>2021</v>
      </c>
      <c r="G1487" t="s">
        <v>2022</v>
      </c>
      <c r="H1487" t="s">
        <v>2023</v>
      </c>
      <c r="I1487" t="s">
        <v>80</v>
      </c>
      <c r="J1487" t="s">
        <v>1963</v>
      </c>
      <c r="K1487" t="s">
        <v>4687</v>
      </c>
      <c r="L1487" t="s">
        <v>2046</v>
      </c>
      <c r="M1487" t="s">
        <v>2026</v>
      </c>
      <c r="N1487" t="s">
        <v>2027</v>
      </c>
      <c r="O1487" t="s">
        <v>2650</v>
      </c>
      <c r="P1487" t="s">
        <v>2651</v>
      </c>
      <c r="Q1487" t="s">
        <v>14</v>
      </c>
      <c r="R1487" t="s">
        <v>14</v>
      </c>
      <c r="S1487" t="s">
        <v>3083</v>
      </c>
      <c r="T1487" t="s">
        <v>3084</v>
      </c>
      <c r="U1487" t="s">
        <v>2030</v>
      </c>
      <c r="V1487" t="s">
        <v>14</v>
      </c>
      <c r="W1487" t="b">
        <v>1</v>
      </c>
      <c r="X1487" t="s">
        <v>4688</v>
      </c>
      <c r="Y1487" t="b">
        <v>0</v>
      </c>
      <c r="Z1487" t="s">
        <v>2032</v>
      </c>
    </row>
    <row r="1488" spans="1:26" x14ac:dyDescent="0.35">
      <c r="A1488" t="s">
        <v>988</v>
      </c>
      <c r="B1488" t="s">
        <v>989</v>
      </c>
      <c r="C1488" t="s">
        <v>2967</v>
      </c>
      <c r="D1488" t="s">
        <v>1963</v>
      </c>
      <c r="E1488" t="s">
        <v>2020</v>
      </c>
      <c r="F1488" t="s">
        <v>2021</v>
      </c>
      <c r="G1488" t="s">
        <v>2022</v>
      </c>
      <c r="H1488" t="s">
        <v>2023</v>
      </c>
      <c r="I1488" t="s">
        <v>80</v>
      </c>
      <c r="J1488" t="s">
        <v>1963</v>
      </c>
      <c r="K1488" t="s">
        <v>4689</v>
      </c>
      <c r="L1488" t="s">
        <v>2046</v>
      </c>
      <c r="M1488" t="s">
        <v>2026</v>
      </c>
      <c r="N1488" t="s">
        <v>2027</v>
      </c>
      <c r="O1488" t="s">
        <v>2650</v>
      </c>
      <c r="P1488" t="s">
        <v>2651</v>
      </c>
      <c r="Q1488" t="s">
        <v>14</v>
      </c>
      <c r="R1488" t="s">
        <v>14</v>
      </c>
      <c r="S1488" t="s">
        <v>3083</v>
      </c>
      <c r="T1488" t="s">
        <v>3084</v>
      </c>
      <c r="U1488" t="s">
        <v>2030</v>
      </c>
      <c r="V1488" t="s">
        <v>14</v>
      </c>
      <c r="W1488" t="b">
        <v>1</v>
      </c>
      <c r="X1488" t="s">
        <v>4690</v>
      </c>
      <c r="Y1488" t="b">
        <v>0</v>
      </c>
      <c r="Z1488" t="s">
        <v>2032</v>
      </c>
    </row>
    <row r="1489" spans="1:26" x14ac:dyDescent="0.35">
      <c r="A1489" t="s">
        <v>990</v>
      </c>
      <c r="B1489" t="s">
        <v>991</v>
      </c>
      <c r="C1489" t="s">
        <v>2967</v>
      </c>
      <c r="D1489" t="s">
        <v>1963</v>
      </c>
      <c r="E1489" t="s">
        <v>2020</v>
      </c>
      <c r="F1489" t="s">
        <v>2021</v>
      </c>
      <c r="G1489" t="s">
        <v>2022</v>
      </c>
      <c r="H1489" t="s">
        <v>2023</v>
      </c>
      <c r="I1489" t="s">
        <v>80</v>
      </c>
      <c r="J1489" t="s">
        <v>1963</v>
      </c>
      <c r="K1489" t="s">
        <v>4691</v>
      </c>
      <c r="L1489" t="s">
        <v>2046</v>
      </c>
      <c r="M1489" t="s">
        <v>2026</v>
      </c>
      <c r="N1489" t="s">
        <v>2027</v>
      </c>
      <c r="O1489" t="s">
        <v>2650</v>
      </c>
      <c r="P1489" t="s">
        <v>2651</v>
      </c>
      <c r="Q1489" t="s">
        <v>14</v>
      </c>
      <c r="R1489" t="s">
        <v>14</v>
      </c>
      <c r="S1489" t="s">
        <v>3083</v>
      </c>
      <c r="T1489" t="s">
        <v>3084</v>
      </c>
      <c r="U1489" t="s">
        <v>2030</v>
      </c>
      <c r="V1489" t="s">
        <v>14</v>
      </c>
      <c r="W1489" t="b">
        <v>1</v>
      </c>
      <c r="X1489" t="s">
        <v>4692</v>
      </c>
      <c r="Y1489" t="b">
        <v>0</v>
      </c>
      <c r="Z1489" t="s">
        <v>2032</v>
      </c>
    </row>
    <row r="1490" spans="1:26" x14ac:dyDescent="0.35">
      <c r="A1490" t="s">
        <v>992</v>
      </c>
      <c r="B1490" t="s">
        <v>993</v>
      </c>
      <c r="C1490" t="s">
        <v>2967</v>
      </c>
      <c r="D1490" t="s">
        <v>1963</v>
      </c>
      <c r="E1490" t="s">
        <v>2020</v>
      </c>
      <c r="F1490" t="s">
        <v>2021</v>
      </c>
      <c r="G1490" t="s">
        <v>2022</v>
      </c>
      <c r="H1490" t="s">
        <v>2023</v>
      </c>
      <c r="I1490" t="s">
        <v>1431</v>
      </c>
      <c r="J1490" t="s">
        <v>1963</v>
      </c>
      <c r="K1490" t="s">
        <v>4693</v>
      </c>
      <c r="L1490" t="s">
        <v>2046</v>
      </c>
      <c r="M1490" t="s">
        <v>2026</v>
      </c>
      <c r="N1490" t="s">
        <v>2027</v>
      </c>
      <c r="O1490" t="s">
        <v>2650</v>
      </c>
      <c r="P1490" t="s">
        <v>2651</v>
      </c>
      <c r="Q1490" t="s">
        <v>14</v>
      </c>
      <c r="R1490" t="s">
        <v>14</v>
      </c>
      <c r="S1490" t="s">
        <v>14</v>
      </c>
      <c r="T1490" t="s">
        <v>14</v>
      </c>
      <c r="U1490" t="s">
        <v>2030</v>
      </c>
      <c r="V1490" t="s">
        <v>14</v>
      </c>
      <c r="W1490" t="b">
        <v>1</v>
      </c>
      <c r="X1490" t="s">
        <v>4694</v>
      </c>
      <c r="Y1490" t="b">
        <v>0</v>
      </c>
      <c r="Z1490" t="s">
        <v>2053</v>
      </c>
    </row>
    <row r="1491" spans="1:26" x14ac:dyDescent="0.35">
      <c r="A1491" t="s">
        <v>994</v>
      </c>
      <c r="B1491" t="s">
        <v>995</v>
      </c>
      <c r="C1491" t="s">
        <v>2967</v>
      </c>
      <c r="D1491" t="s">
        <v>1963</v>
      </c>
      <c r="E1491" t="s">
        <v>2020</v>
      </c>
      <c r="F1491" t="s">
        <v>2021</v>
      </c>
      <c r="G1491" t="s">
        <v>2022</v>
      </c>
      <c r="H1491" t="s">
        <v>2023</v>
      </c>
      <c r="I1491" t="s">
        <v>1431</v>
      </c>
      <c r="J1491" t="s">
        <v>1963</v>
      </c>
      <c r="K1491" t="s">
        <v>4695</v>
      </c>
      <c r="L1491" t="s">
        <v>2046</v>
      </c>
      <c r="M1491" t="s">
        <v>2026</v>
      </c>
      <c r="N1491" t="s">
        <v>2027</v>
      </c>
      <c r="O1491" t="s">
        <v>2650</v>
      </c>
      <c r="P1491" t="s">
        <v>2651</v>
      </c>
      <c r="Q1491" t="s">
        <v>14</v>
      </c>
      <c r="R1491" t="s">
        <v>14</v>
      </c>
      <c r="S1491" t="s">
        <v>14</v>
      </c>
      <c r="T1491" t="s">
        <v>14</v>
      </c>
      <c r="U1491" t="s">
        <v>2030</v>
      </c>
      <c r="V1491" t="s">
        <v>14</v>
      </c>
      <c r="W1491" t="b">
        <v>1</v>
      </c>
      <c r="X1491" t="s">
        <v>4696</v>
      </c>
      <c r="Y1491" t="b">
        <v>0</v>
      </c>
      <c r="Z1491" t="s">
        <v>2053</v>
      </c>
    </row>
    <row r="1492" spans="1:26" x14ac:dyDescent="0.35">
      <c r="A1492" t="s">
        <v>997</v>
      </c>
      <c r="B1492" t="s">
        <v>998</v>
      </c>
      <c r="C1492" t="s">
        <v>2967</v>
      </c>
      <c r="D1492" t="s">
        <v>1963</v>
      </c>
      <c r="E1492" t="s">
        <v>2020</v>
      </c>
      <c r="F1492" t="s">
        <v>2021</v>
      </c>
      <c r="G1492" t="s">
        <v>2022</v>
      </c>
      <c r="H1492" t="s">
        <v>2023</v>
      </c>
      <c r="I1492" t="s">
        <v>4697</v>
      </c>
      <c r="J1492" t="s">
        <v>1963</v>
      </c>
      <c r="K1492" t="s">
        <v>4698</v>
      </c>
      <c r="L1492" t="s">
        <v>2046</v>
      </c>
      <c r="M1492" t="s">
        <v>4660</v>
      </c>
      <c r="N1492" t="s">
        <v>4661</v>
      </c>
      <c r="O1492" t="s">
        <v>2635</v>
      </c>
      <c r="P1492" t="s">
        <v>2636</v>
      </c>
      <c r="Q1492" t="s">
        <v>4662</v>
      </c>
      <c r="R1492" t="s">
        <v>14</v>
      </c>
      <c r="S1492" t="s">
        <v>4663</v>
      </c>
      <c r="T1492" t="s">
        <v>4664</v>
      </c>
      <c r="U1492" t="s">
        <v>2171</v>
      </c>
      <c r="V1492" t="s">
        <v>14</v>
      </c>
      <c r="W1492" t="b">
        <v>1</v>
      </c>
      <c r="X1492" t="s">
        <v>4699</v>
      </c>
      <c r="Y1492" t="b">
        <v>0</v>
      </c>
      <c r="Z1492" t="s">
        <v>2032</v>
      </c>
    </row>
    <row r="1493" spans="1:26" x14ac:dyDescent="0.35">
      <c r="A1493" t="s">
        <v>997</v>
      </c>
      <c r="B1493" t="s">
        <v>998</v>
      </c>
      <c r="C1493" t="s">
        <v>2967</v>
      </c>
      <c r="D1493" t="s">
        <v>1963</v>
      </c>
      <c r="E1493" t="s">
        <v>2020</v>
      </c>
      <c r="F1493" t="s">
        <v>2021</v>
      </c>
      <c r="G1493" t="s">
        <v>2022</v>
      </c>
      <c r="H1493" t="s">
        <v>2023</v>
      </c>
      <c r="I1493" t="s">
        <v>4658</v>
      </c>
      <c r="J1493" t="s">
        <v>1963</v>
      </c>
      <c r="K1493" t="s">
        <v>4698</v>
      </c>
      <c r="L1493" t="s">
        <v>2046</v>
      </c>
      <c r="M1493" t="s">
        <v>4660</v>
      </c>
      <c r="N1493" t="s">
        <v>4661</v>
      </c>
      <c r="O1493" t="s">
        <v>2635</v>
      </c>
      <c r="P1493" t="s">
        <v>2636</v>
      </c>
      <c r="Q1493" t="s">
        <v>4662</v>
      </c>
      <c r="R1493" t="s">
        <v>14</v>
      </c>
      <c r="S1493" t="s">
        <v>4663</v>
      </c>
      <c r="T1493" t="s">
        <v>4664</v>
      </c>
      <c r="U1493" t="s">
        <v>2171</v>
      </c>
      <c r="V1493" t="s">
        <v>14</v>
      </c>
      <c r="W1493" t="b">
        <v>1</v>
      </c>
      <c r="X1493" t="s">
        <v>4699</v>
      </c>
      <c r="Y1493" t="b">
        <v>0</v>
      </c>
      <c r="Z1493" t="s">
        <v>2032</v>
      </c>
    </row>
    <row r="1494" spans="1:26" x14ac:dyDescent="0.35">
      <c r="A1494" t="s">
        <v>997</v>
      </c>
      <c r="B1494" t="s">
        <v>998</v>
      </c>
      <c r="C1494" t="s">
        <v>2967</v>
      </c>
      <c r="D1494" t="s">
        <v>1963</v>
      </c>
      <c r="E1494" t="s">
        <v>2020</v>
      </c>
      <c r="F1494" t="s">
        <v>2021</v>
      </c>
      <c r="G1494" t="s">
        <v>2022</v>
      </c>
      <c r="H1494" t="s">
        <v>2023</v>
      </c>
      <c r="I1494" t="s">
        <v>1431</v>
      </c>
      <c r="J1494" t="s">
        <v>1963</v>
      </c>
      <c r="K1494" t="s">
        <v>4698</v>
      </c>
      <c r="L1494" t="s">
        <v>2046</v>
      </c>
      <c r="M1494" t="s">
        <v>2026</v>
      </c>
      <c r="N1494" t="s">
        <v>2027</v>
      </c>
      <c r="O1494" t="s">
        <v>2650</v>
      </c>
      <c r="P1494" t="s">
        <v>2651</v>
      </c>
      <c r="Q1494" t="s">
        <v>14</v>
      </c>
      <c r="R1494" t="s">
        <v>14</v>
      </c>
      <c r="S1494" t="s">
        <v>14</v>
      </c>
      <c r="T1494" t="s">
        <v>14</v>
      </c>
      <c r="U1494" t="s">
        <v>2030</v>
      </c>
      <c r="V1494" t="s">
        <v>14</v>
      </c>
      <c r="W1494" t="b">
        <v>1</v>
      </c>
      <c r="X1494" t="s">
        <v>4699</v>
      </c>
      <c r="Y1494" t="b">
        <v>0</v>
      </c>
      <c r="Z1494" t="s">
        <v>2053</v>
      </c>
    </row>
    <row r="1495" spans="1:26" x14ac:dyDescent="0.35">
      <c r="A1495" t="s">
        <v>999</v>
      </c>
      <c r="B1495" t="s">
        <v>1000</v>
      </c>
      <c r="C1495" t="s">
        <v>2967</v>
      </c>
      <c r="D1495" t="s">
        <v>1963</v>
      </c>
      <c r="E1495" t="s">
        <v>2020</v>
      </c>
      <c r="F1495" t="s">
        <v>2021</v>
      </c>
      <c r="G1495" t="s">
        <v>2022</v>
      </c>
      <c r="H1495" t="s">
        <v>2023</v>
      </c>
      <c r="I1495" t="s">
        <v>4697</v>
      </c>
      <c r="J1495" t="s">
        <v>1963</v>
      </c>
      <c r="K1495" t="s">
        <v>4700</v>
      </c>
      <c r="L1495" t="s">
        <v>2046</v>
      </c>
      <c r="M1495" t="s">
        <v>4660</v>
      </c>
      <c r="N1495" t="s">
        <v>4661</v>
      </c>
      <c r="O1495" t="s">
        <v>2635</v>
      </c>
      <c r="P1495" t="s">
        <v>2636</v>
      </c>
      <c r="Q1495" t="s">
        <v>4662</v>
      </c>
      <c r="R1495" t="s">
        <v>14</v>
      </c>
      <c r="S1495" t="s">
        <v>4663</v>
      </c>
      <c r="T1495" t="s">
        <v>4664</v>
      </c>
      <c r="U1495" t="s">
        <v>2171</v>
      </c>
      <c r="V1495" t="s">
        <v>14</v>
      </c>
      <c r="W1495" t="b">
        <v>1</v>
      </c>
      <c r="X1495" t="s">
        <v>4701</v>
      </c>
      <c r="Y1495" t="b">
        <v>0</v>
      </c>
      <c r="Z1495" t="s">
        <v>2032</v>
      </c>
    </row>
    <row r="1496" spans="1:26" x14ac:dyDescent="0.35">
      <c r="A1496" t="s">
        <v>999</v>
      </c>
      <c r="B1496" t="s">
        <v>1000</v>
      </c>
      <c r="C1496" t="s">
        <v>2967</v>
      </c>
      <c r="D1496" t="s">
        <v>1963</v>
      </c>
      <c r="E1496" t="s">
        <v>2020</v>
      </c>
      <c r="F1496" t="s">
        <v>2021</v>
      </c>
      <c r="G1496" t="s">
        <v>2022</v>
      </c>
      <c r="H1496" t="s">
        <v>2023</v>
      </c>
      <c r="I1496" t="s">
        <v>4658</v>
      </c>
      <c r="J1496" t="s">
        <v>1963</v>
      </c>
      <c r="K1496" t="s">
        <v>4700</v>
      </c>
      <c r="L1496" t="s">
        <v>2046</v>
      </c>
      <c r="M1496" t="s">
        <v>4660</v>
      </c>
      <c r="N1496" t="s">
        <v>4661</v>
      </c>
      <c r="O1496" t="s">
        <v>2635</v>
      </c>
      <c r="P1496" t="s">
        <v>2636</v>
      </c>
      <c r="Q1496" t="s">
        <v>4662</v>
      </c>
      <c r="R1496" t="s">
        <v>14</v>
      </c>
      <c r="S1496" t="s">
        <v>4663</v>
      </c>
      <c r="T1496" t="s">
        <v>4664</v>
      </c>
      <c r="U1496" t="s">
        <v>2171</v>
      </c>
      <c r="V1496" t="s">
        <v>14</v>
      </c>
      <c r="W1496" t="b">
        <v>1</v>
      </c>
      <c r="X1496" t="s">
        <v>4701</v>
      </c>
      <c r="Y1496" t="b">
        <v>0</v>
      </c>
      <c r="Z1496" t="s">
        <v>2032</v>
      </c>
    </row>
    <row r="1497" spans="1:26" x14ac:dyDescent="0.35">
      <c r="A1497" t="s">
        <v>999</v>
      </c>
      <c r="B1497" t="s">
        <v>1000</v>
      </c>
      <c r="C1497" t="s">
        <v>2967</v>
      </c>
      <c r="D1497" t="s">
        <v>1963</v>
      </c>
      <c r="E1497" t="s">
        <v>2020</v>
      </c>
      <c r="F1497" t="s">
        <v>2021</v>
      </c>
      <c r="G1497" t="s">
        <v>2022</v>
      </c>
      <c r="H1497" t="s">
        <v>2023</v>
      </c>
      <c r="I1497" t="s">
        <v>1431</v>
      </c>
      <c r="J1497" t="s">
        <v>1963</v>
      </c>
      <c r="K1497" t="s">
        <v>4700</v>
      </c>
      <c r="L1497" t="s">
        <v>2046</v>
      </c>
      <c r="M1497" t="s">
        <v>2026</v>
      </c>
      <c r="N1497" t="s">
        <v>2027</v>
      </c>
      <c r="O1497" t="s">
        <v>2650</v>
      </c>
      <c r="P1497" t="s">
        <v>2651</v>
      </c>
      <c r="Q1497" t="s">
        <v>14</v>
      </c>
      <c r="R1497" t="s">
        <v>14</v>
      </c>
      <c r="S1497" t="s">
        <v>14</v>
      </c>
      <c r="T1497" t="s">
        <v>14</v>
      </c>
      <c r="U1497" t="s">
        <v>2030</v>
      </c>
      <c r="V1497" t="s">
        <v>14</v>
      </c>
      <c r="W1497" t="b">
        <v>1</v>
      </c>
      <c r="X1497" t="s">
        <v>4701</v>
      </c>
      <c r="Y1497" t="b">
        <v>0</v>
      </c>
      <c r="Z1497" t="s">
        <v>2053</v>
      </c>
    </row>
    <row r="1498" spans="1:26" x14ac:dyDescent="0.35">
      <c r="A1498" t="s">
        <v>1001</v>
      </c>
      <c r="B1498" t="s">
        <v>1002</v>
      </c>
      <c r="C1498" t="s">
        <v>2967</v>
      </c>
      <c r="D1498" t="s">
        <v>1963</v>
      </c>
      <c r="E1498" t="s">
        <v>2020</v>
      </c>
      <c r="F1498" t="s">
        <v>2021</v>
      </c>
      <c r="G1498" t="s">
        <v>2022</v>
      </c>
      <c r="H1498" t="s">
        <v>2023</v>
      </c>
      <c r="I1498" t="s">
        <v>1431</v>
      </c>
      <c r="J1498" t="s">
        <v>1963</v>
      </c>
      <c r="K1498" t="s">
        <v>4702</v>
      </c>
      <c r="L1498" t="s">
        <v>2046</v>
      </c>
      <c r="M1498" t="s">
        <v>2026</v>
      </c>
      <c r="N1498" t="s">
        <v>2027</v>
      </c>
      <c r="O1498" t="s">
        <v>2650</v>
      </c>
      <c r="P1498" t="s">
        <v>2651</v>
      </c>
      <c r="Q1498" t="s">
        <v>14</v>
      </c>
      <c r="R1498" t="s">
        <v>14</v>
      </c>
      <c r="S1498" t="s">
        <v>14</v>
      </c>
      <c r="T1498" t="s">
        <v>14</v>
      </c>
      <c r="U1498" t="s">
        <v>2030</v>
      </c>
      <c r="V1498" t="s">
        <v>14</v>
      </c>
      <c r="W1498" t="b">
        <v>1</v>
      </c>
      <c r="X1498" t="s">
        <v>4703</v>
      </c>
      <c r="Y1498" t="b">
        <v>0</v>
      </c>
      <c r="Z1498" t="s">
        <v>2053</v>
      </c>
    </row>
    <row r="1499" spans="1:26" x14ac:dyDescent="0.35">
      <c r="A1499" t="s">
        <v>1003</v>
      </c>
      <c r="B1499" t="s">
        <v>1004</v>
      </c>
      <c r="C1499" t="s">
        <v>2967</v>
      </c>
      <c r="D1499" t="s">
        <v>1963</v>
      </c>
      <c r="E1499" t="s">
        <v>2020</v>
      </c>
      <c r="F1499" t="s">
        <v>2021</v>
      </c>
      <c r="G1499" t="s">
        <v>2022</v>
      </c>
      <c r="H1499" t="s">
        <v>2023</v>
      </c>
      <c r="I1499" t="s">
        <v>1431</v>
      </c>
      <c r="J1499" t="s">
        <v>1963</v>
      </c>
      <c r="K1499" t="s">
        <v>4704</v>
      </c>
      <c r="L1499" t="s">
        <v>2046</v>
      </c>
      <c r="M1499" t="s">
        <v>2026</v>
      </c>
      <c r="N1499" t="s">
        <v>2027</v>
      </c>
      <c r="O1499" t="s">
        <v>2650</v>
      </c>
      <c r="P1499" t="s">
        <v>2651</v>
      </c>
      <c r="Q1499" t="s">
        <v>14</v>
      </c>
      <c r="R1499" t="s">
        <v>14</v>
      </c>
      <c r="S1499" t="s">
        <v>14</v>
      </c>
      <c r="T1499" t="s">
        <v>14</v>
      </c>
      <c r="U1499" t="s">
        <v>2030</v>
      </c>
      <c r="V1499" t="s">
        <v>14</v>
      </c>
      <c r="W1499" t="b">
        <v>1</v>
      </c>
      <c r="X1499" t="s">
        <v>4705</v>
      </c>
      <c r="Y1499" t="b">
        <v>0</v>
      </c>
      <c r="Z1499" t="s">
        <v>2053</v>
      </c>
    </row>
    <row r="1500" spans="1:26" x14ac:dyDescent="0.35">
      <c r="A1500" t="s">
        <v>1005</v>
      </c>
      <c r="B1500" t="s">
        <v>1006</v>
      </c>
      <c r="C1500" t="s">
        <v>2967</v>
      </c>
      <c r="D1500" t="s">
        <v>1963</v>
      </c>
      <c r="E1500" t="s">
        <v>2020</v>
      </c>
      <c r="F1500" t="s">
        <v>2021</v>
      </c>
      <c r="G1500" t="s">
        <v>2022</v>
      </c>
      <c r="H1500" t="s">
        <v>2023</v>
      </c>
      <c r="I1500" t="s">
        <v>1431</v>
      </c>
      <c r="J1500" t="s">
        <v>1963</v>
      </c>
      <c r="K1500" t="s">
        <v>4706</v>
      </c>
      <c r="L1500" t="s">
        <v>2046</v>
      </c>
      <c r="M1500" t="s">
        <v>2026</v>
      </c>
      <c r="N1500" t="s">
        <v>2027</v>
      </c>
      <c r="O1500" t="s">
        <v>2650</v>
      </c>
      <c r="P1500" t="s">
        <v>2651</v>
      </c>
      <c r="Q1500" t="s">
        <v>14</v>
      </c>
      <c r="R1500" t="s">
        <v>14</v>
      </c>
      <c r="S1500" t="s">
        <v>14</v>
      </c>
      <c r="T1500" t="s">
        <v>14</v>
      </c>
      <c r="U1500" t="s">
        <v>2030</v>
      </c>
      <c r="V1500" t="s">
        <v>14</v>
      </c>
      <c r="W1500" t="b">
        <v>1</v>
      </c>
      <c r="X1500" t="s">
        <v>4707</v>
      </c>
      <c r="Y1500" t="b">
        <v>0</v>
      </c>
      <c r="Z1500" t="s">
        <v>2053</v>
      </c>
    </row>
    <row r="1501" spans="1:26" x14ac:dyDescent="0.35">
      <c r="A1501" t="s">
        <v>1007</v>
      </c>
      <c r="B1501" t="s">
        <v>1008</v>
      </c>
      <c r="C1501" t="s">
        <v>2967</v>
      </c>
      <c r="D1501" t="s">
        <v>1963</v>
      </c>
      <c r="E1501" t="s">
        <v>2020</v>
      </c>
      <c r="F1501" t="s">
        <v>2021</v>
      </c>
      <c r="G1501" t="s">
        <v>2022</v>
      </c>
      <c r="H1501" t="s">
        <v>2023</v>
      </c>
      <c r="I1501" t="s">
        <v>1431</v>
      </c>
      <c r="J1501" t="s">
        <v>1963</v>
      </c>
      <c r="K1501" t="s">
        <v>4708</v>
      </c>
      <c r="L1501" t="s">
        <v>2046</v>
      </c>
      <c r="M1501" t="s">
        <v>2026</v>
      </c>
      <c r="N1501" t="s">
        <v>2027</v>
      </c>
      <c r="O1501" t="s">
        <v>2650</v>
      </c>
      <c r="P1501" t="s">
        <v>2651</v>
      </c>
      <c r="Q1501" t="s">
        <v>14</v>
      </c>
      <c r="R1501" t="s">
        <v>14</v>
      </c>
      <c r="S1501" t="s">
        <v>14</v>
      </c>
      <c r="T1501" t="s">
        <v>14</v>
      </c>
      <c r="U1501" t="s">
        <v>2030</v>
      </c>
      <c r="V1501" t="s">
        <v>14</v>
      </c>
      <c r="W1501" t="b">
        <v>1</v>
      </c>
      <c r="X1501" t="s">
        <v>4709</v>
      </c>
      <c r="Y1501" t="b">
        <v>0</v>
      </c>
      <c r="Z1501" t="s">
        <v>2053</v>
      </c>
    </row>
    <row r="1502" spans="1:26" x14ac:dyDescent="0.35">
      <c r="A1502" t="s">
        <v>1009</v>
      </c>
      <c r="B1502" t="s">
        <v>1010</v>
      </c>
      <c r="C1502" t="s">
        <v>2967</v>
      </c>
      <c r="D1502" t="s">
        <v>1963</v>
      </c>
      <c r="E1502" t="s">
        <v>2020</v>
      </c>
      <c r="F1502" t="s">
        <v>2021</v>
      </c>
      <c r="G1502" t="s">
        <v>2022</v>
      </c>
      <c r="H1502" t="s">
        <v>2023</v>
      </c>
      <c r="I1502" t="s">
        <v>1431</v>
      </c>
      <c r="J1502" t="s">
        <v>1963</v>
      </c>
      <c r="K1502" t="s">
        <v>4710</v>
      </c>
      <c r="L1502" t="s">
        <v>2046</v>
      </c>
      <c r="M1502" t="s">
        <v>2026</v>
      </c>
      <c r="N1502" t="s">
        <v>2027</v>
      </c>
      <c r="O1502" t="s">
        <v>2650</v>
      </c>
      <c r="P1502" t="s">
        <v>2651</v>
      </c>
      <c r="Q1502" t="s">
        <v>14</v>
      </c>
      <c r="R1502" t="s">
        <v>14</v>
      </c>
      <c r="S1502" t="s">
        <v>14</v>
      </c>
      <c r="T1502" t="s">
        <v>14</v>
      </c>
      <c r="U1502" t="s">
        <v>2030</v>
      </c>
      <c r="V1502" t="s">
        <v>14</v>
      </c>
      <c r="W1502" t="b">
        <v>1</v>
      </c>
      <c r="X1502" t="s">
        <v>4711</v>
      </c>
      <c r="Y1502" t="b">
        <v>0</v>
      </c>
      <c r="Z1502" t="s">
        <v>2053</v>
      </c>
    </row>
    <row r="1503" spans="1:26" x14ac:dyDescent="0.35">
      <c r="A1503" t="s">
        <v>1011</v>
      </c>
      <c r="B1503" t="s">
        <v>1012</v>
      </c>
      <c r="C1503" t="s">
        <v>2967</v>
      </c>
      <c r="D1503" t="s">
        <v>1963</v>
      </c>
      <c r="E1503" t="s">
        <v>2020</v>
      </c>
      <c r="F1503" t="s">
        <v>2021</v>
      </c>
      <c r="G1503" t="s">
        <v>2022</v>
      </c>
      <c r="H1503" t="s">
        <v>2023</v>
      </c>
      <c r="I1503" t="s">
        <v>1431</v>
      </c>
      <c r="J1503" t="s">
        <v>1963</v>
      </c>
      <c r="K1503" t="s">
        <v>4712</v>
      </c>
      <c r="L1503" t="s">
        <v>2046</v>
      </c>
      <c r="M1503" t="s">
        <v>2026</v>
      </c>
      <c r="N1503" t="s">
        <v>2027</v>
      </c>
      <c r="O1503" t="s">
        <v>2650</v>
      </c>
      <c r="P1503" t="s">
        <v>2651</v>
      </c>
      <c r="Q1503" t="s">
        <v>14</v>
      </c>
      <c r="R1503" t="s">
        <v>14</v>
      </c>
      <c r="S1503" t="s">
        <v>14</v>
      </c>
      <c r="T1503" t="s">
        <v>14</v>
      </c>
      <c r="U1503" t="s">
        <v>2030</v>
      </c>
      <c r="V1503" t="s">
        <v>14</v>
      </c>
      <c r="W1503" t="b">
        <v>1</v>
      </c>
      <c r="X1503" t="s">
        <v>4713</v>
      </c>
      <c r="Y1503" t="b">
        <v>0</v>
      </c>
      <c r="Z1503" t="s">
        <v>2053</v>
      </c>
    </row>
    <row r="1504" spans="1:26" x14ac:dyDescent="0.35">
      <c r="A1504" t="s">
        <v>1013</v>
      </c>
      <c r="B1504" t="s">
        <v>1014</v>
      </c>
      <c r="C1504" t="s">
        <v>2967</v>
      </c>
      <c r="D1504" t="s">
        <v>1963</v>
      </c>
      <c r="E1504" t="s">
        <v>2020</v>
      </c>
      <c r="F1504" t="s">
        <v>2021</v>
      </c>
      <c r="G1504" t="s">
        <v>2022</v>
      </c>
      <c r="H1504" t="s">
        <v>2023</v>
      </c>
      <c r="I1504" t="s">
        <v>4697</v>
      </c>
      <c r="J1504" t="s">
        <v>1963</v>
      </c>
      <c r="K1504" t="s">
        <v>4714</v>
      </c>
      <c r="L1504" t="s">
        <v>2046</v>
      </c>
      <c r="M1504" t="s">
        <v>4660</v>
      </c>
      <c r="N1504" t="s">
        <v>4661</v>
      </c>
      <c r="O1504" t="s">
        <v>2635</v>
      </c>
      <c r="P1504" t="s">
        <v>2636</v>
      </c>
      <c r="Q1504" t="s">
        <v>4662</v>
      </c>
      <c r="R1504" t="s">
        <v>14</v>
      </c>
      <c r="S1504" t="s">
        <v>4663</v>
      </c>
      <c r="T1504" t="s">
        <v>4664</v>
      </c>
      <c r="U1504" t="s">
        <v>2171</v>
      </c>
      <c r="V1504" t="s">
        <v>14</v>
      </c>
      <c r="W1504" t="b">
        <v>1</v>
      </c>
      <c r="X1504" t="s">
        <v>4715</v>
      </c>
      <c r="Y1504" t="b">
        <v>0</v>
      </c>
      <c r="Z1504" t="s">
        <v>2032</v>
      </c>
    </row>
    <row r="1505" spans="1:26" x14ac:dyDescent="0.35">
      <c r="A1505" t="s">
        <v>1013</v>
      </c>
      <c r="B1505" t="s">
        <v>1014</v>
      </c>
      <c r="C1505" t="s">
        <v>2967</v>
      </c>
      <c r="D1505" t="s">
        <v>1963</v>
      </c>
      <c r="E1505" t="s">
        <v>2020</v>
      </c>
      <c r="F1505" t="s">
        <v>2021</v>
      </c>
      <c r="G1505" t="s">
        <v>2022</v>
      </c>
      <c r="H1505" t="s">
        <v>2023</v>
      </c>
      <c r="I1505" t="s">
        <v>1431</v>
      </c>
      <c r="J1505" t="s">
        <v>1963</v>
      </c>
      <c r="K1505" t="s">
        <v>4714</v>
      </c>
      <c r="L1505" t="s">
        <v>2046</v>
      </c>
      <c r="M1505" t="s">
        <v>2026</v>
      </c>
      <c r="N1505" t="s">
        <v>2027</v>
      </c>
      <c r="O1505" t="s">
        <v>2650</v>
      </c>
      <c r="P1505" t="s">
        <v>2651</v>
      </c>
      <c r="Q1505" t="s">
        <v>14</v>
      </c>
      <c r="R1505" t="s">
        <v>14</v>
      </c>
      <c r="S1505" t="s">
        <v>14</v>
      </c>
      <c r="T1505" t="s">
        <v>14</v>
      </c>
      <c r="U1505" t="s">
        <v>2030</v>
      </c>
      <c r="V1505" t="s">
        <v>14</v>
      </c>
      <c r="W1505" t="b">
        <v>1</v>
      </c>
      <c r="X1505" t="s">
        <v>4715</v>
      </c>
      <c r="Y1505" t="b">
        <v>0</v>
      </c>
      <c r="Z1505" t="s">
        <v>2053</v>
      </c>
    </row>
    <row r="1506" spans="1:26" x14ac:dyDescent="0.35">
      <c r="A1506" t="s">
        <v>1013</v>
      </c>
      <c r="B1506" t="s">
        <v>1014</v>
      </c>
      <c r="C1506" t="s">
        <v>2967</v>
      </c>
      <c r="D1506" t="s">
        <v>1963</v>
      </c>
      <c r="E1506" t="s">
        <v>2020</v>
      </c>
      <c r="F1506" t="s">
        <v>2021</v>
      </c>
      <c r="G1506" t="s">
        <v>2022</v>
      </c>
      <c r="H1506" t="s">
        <v>2023</v>
      </c>
      <c r="I1506" t="s">
        <v>4658</v>
      </c>
      <c r="J1506" t="s">
        <v>1963</v>
      </c>
      <c r="K1506" t="s">
        <v>4714</v>
      </c>
      <c r="L1506" t="s">
        <v>2046</v>
      </c>
      <c r="M1506" t="s">
        <v>4660</v>
      </c>
      <c r="N1506" t="s">
        <v>4661</v>
      </c>
      <c r="O1506" t="s">
        <v>2635</v>
      </c>
      <c r="P1506" t="s">
        <v>2636</v>
      </c>
      <c r="Q1506" t="s">
        <v>4662</v>
      </c>
      <c r="R1506" t="s">
        <v>14</v>
      </c>
      <c r="S1506" t="s">
        <v>4663</v>
      </c>
      <c r="T1506" t="s">
        <v>4664</v>
      </c>
      <c r="U1506" t="s">
        <v>2171</v>
      </c>
      <c r="V1506" t="s">
        <v>14</v>
      </c>
      <c r="W1506" t="b">
        <v>1</v>
      </c>
      <c r="X1506" t="s">
        <v>4715</v>
      </c>
      <c r="Y1506" t="b">
        <v>0</v>
      </c>
      <c r="Z1506" t="s">
        <v>2032</v>
      </c>
    </row>
    <row r="1507" spans="1:26" x14ac:dyDescent="0.35">
      <c r="A1507" t="s">
        <v>1015</v>
      </c>
      <c r="B1507" t="s">
        <v>1016</v>
      </c>
      <c r="C1507" t="s">
        <v>2967</v>
      </c>
      <c r="D1507" t="s">
        <v>1963</v>
      </c>
      <c r="E1507" t="s">
        <v>2020</v>
      </c>
      <c r="F1507" t="s">
        <v>2021</v>
      </c>
      <c r="G1507" t="s">
        <v>2022</v>
      </c>
      <c r="H1507" t="s">
        <v>2023</v>
      </c>
      <c r="I1507" t="s">
        <v>4658</v>
      </c>
      <c r="J1507" t="s">
        <v>1963</v>
      </c>
      <c r="K1507" t="s">
        <v>4716</v>
      </c>
      <c r="L1507" t="s">
        <v>2046</v>
      </c>
      <c r="M1507" t="s">
        <v>4660</v>
      </c>
      <c r="N1507" t="s">
        <v>4661</v>
      </c>
      <c r="O1507" t="s">
        <v>2635</v>
      </c>
      <c r="P1507" t="s">
        <v>2636</v>
      </c>
      <c r="Q1507" t="s">
        <v>4662</v>
      </c>
      <c r="R1507" t="s">
        <v>14</v>
      </c>
      <c r="S1507" t="s">
        <v>4663</v>
      </c>
      <c r="T1507" t="s">
        <v>4664</v>
      </c>
      <c r="U1507" t="s">
        <v>2171</v>
      </c>
      <c r="V1507" t="s">
        <v>14</v>
      </c>
      <c r="W1507" t="b">
        <v>1</v>
      </c>
      <c r="X1507" t="s">
        <v>4717</v>
      </c>
      <c r="Y1507" t="b">
        <v>0</v>
      </c>
      <c r="Z1507" t="s">
        <v>2032</v>
      </c>
    </row>
    <row r="1508" spans="1:26" x14ac:dyDescent="0.35">
      <c r="A1508" t="s">
        <v>1015</v>
      </c>
      <c r="B1508" t="s">
        <v>1016</v>
      </c>
      <c r="C1508" t="s">
        <v>2967</v>
      </c>
      <c r="D1508" t="s">
        <v>1963</v>
      </c>
      <c r="E1508" t="s">
        <v>2020</v>
      </c>
      <c r="F1508" t="s">
        <v>2021</v>
      </c>
      <c r="G1508" t="s">
        <v>2022</v>
      </c>
      <c r="H1508" t="s">
        <v>2023</v>
      </c>
      <c r="I1508" t="s">
        <v>1431</v>
      </c>
      <c r="J1508" t="s">
        <v>1963</v>
      </c>
      <c r="K1508" t="s">
        <v>4716</v>
      </c>
      <c r="L1508" t="s">
        <v>2046</v>
      </c>
      <c r="M1508" t="s">
        <v>2026</v>
      </c>
      <c r="N1508" t="s">
        <v>2027</v>
      </c>
      <c r="O1508" t="s">
        <v>2650</v>
      </c>
      <c r="P1508" t="s">
        <v>2651</v>
      </c>
      <c r="Q1508" t="s">
        <v>14</v>
      </c>
      <c r="R1508" t="s">
        <v>14</v>
      </c>
      <c r="S1508" t="s">
        <v>14</v>
      </c>
      <c r="T1508" t="s">
        <v>14</v>
      </c>
      <c r="U1508" t="s">
        <v>2030</v>
      </c>
      <c r="V1508" t="s">
        <v>14</v>
      </c>
      <c r="W1508" t="b">
        <v>1</v>
      </c>
      <c r="X1508" t="s">
        <v>4717</v>
      </c>
      <c r="Y1508" t="b">
        <v>0</v>
      </c>
      <c r="Z1508" t="s">
        <v>2053</v>
      </c>
    </row>
    <row r="1509" spans="1:26" x14ac:dyDescent="0.35">
      <c r="A1509" t="s">
        <v>1015</v>
      </c>
      <c r="B1509" t="s">
        <v>1016</v>
      </c>
      <c r="C1509" t="s">
        <v>2967</v>
      </c>
      <c r="D1509" t="s">
        <v>1963</v>
      </c>
      <c r="E1509" t="s">
        <v>2020</v>
      </c>
      <c r="F1509" t="s">
        <v>2021</v>
      </c>
      <c r="G1509" t="s">
        <v>2022</v>
      </c>
      <c r="H1509" t="s">
        <v>2023</v>
      </c>
      <c r="I1509" t="s">
        <v>4697</v>
      </c>
      <c r="J1509" t="s">
        <v>1963</v>
      </c>
      <c r="K1509" t="s">
        <v>4716</v>
      </c>
      <c r="L1509" t="s">
        <v>2046</v>
      </c>
      <c r="M1509" t="s">
        <v>4660</v>
      </c>
      <c r="N1509" t="s">
        <v>4661</v>
      </c>
      <c r="O1509" t="s">
        <v>2635</v>
      </c>
      <c r="P1509" t="s">
        <v>2636</v>
      </c>
      <c r="Q1509" t="s">
        <v>4662</v>
      </c>
      <c r="R1509" t="s">
        <v>14</v>
      </c>
      <c r="S1509" t="s">
        <v>4663</v>
      </c>
      <c r="T1509" t="s">
        <v>4664</v>
      </c>
      <c r="U1509" t="s">
        <v>2171</v>
      </c>
      <c r="V1509" t="s">
        <v>14</v>
      </c>
      <c r="W1509" t="b">
        <v>1</v>
      </c>
      <c r="X1509" t="s">
        <v>4717</v>
      </c>
      <c r="Y1509" t="b">
        <v>0</v>
      </c>
      <c r="Z1509" t="s">
        <v>2032</v>
      </c>
    </row>
    <row r="1510" spans="1:26" x14ac:dyDescent="0.35">
      <c r="A1510" t="s">
        <v>1017</v>
      </c>
      <c r="B1510" t="s">
        <v>1018</v>
      </c>
      <c r="C1510" t="s">
        <v>2967</v>
      </c>
      <c r="D1510" t="s">
        <v>1963</v>
      </c>
      <c r="E1510" t="s">
        <v>2020</v>
      </c>
      <c r="F1510" t="s">
        <v>2021</v>
      </c>
      <c r="G1510" t="s">
        <v>2022</v>
      </c>
      <c r="H1510" t="s">
        <v>2023</v>
      </c>
      <c r="I1510" t="s">
        <v>1431</v>
      </c>
      <c r="J1510" t="s">
        <v>1963</v>
      </c>
      <c r="K1510" t="s">
        <v>4718</v>
      </c>
      <c r="L1510" t="s">
        <v>2046</v>
      </c>
      <c r="M1510" t="s">
        <v>2026</v>
      </c>
      <c r="N1510" t="s">
        <v>2027</v>
      </c>
      <c r="O1510" t="s">
        <v>2650</v>
      </c>
      <c r="P1510" t="s">
        <v>2651</v>
      </c>
      <c r="Q1510" t="s">
        <v>14</v>
      </c>
      <c r="R1510" t="s">
        <v>14</v>
      </c>
      <c r="S1510" t="s">
        <v>14</v>
      </c>
      <c r="T1510" t="s">
        <v>14</v>
      </c>
      <c r="U1510" t="s">
        <v>2030</v>
      </c>
      <c r="V1510" t="s">
        <v>14</v>
      </c>
      <c r="W1510" t="b">
        <v>1</v>
      </c>
      <c r="X1510" t="s">
        <v>4719</v>
      </c>
      <c r="Y1510" t="b">
        <v>0</v>
      </c>
      <c r="Z1510" t="s">
        <v>2053</v>
      </c>
    </row>
    <row r="1511" spans="1:26" x14ac:dyDescent="0.35">
      <c r="A1511" t="s">
        <v>1017</v>
      </c>
      <c r="B1511" t="s">
        <v>1018</v>
      </c>
      <c r="C1511" t="s">
        <v>2967</v>
      </c>
      <c r="D1511" t="s">
        <v>1963</v>
      </c>
      <c r="E1511" t="s">
        <v>2020</v>
      </c>
      <c r="F1511" t="s">
        <v>2021</v>
      </c>
      <c r="G1511" t="s">
        <v>2022</v>
      </c>
      <c r="H1511" t="s">
        <v>2023</v>
      </c>
      <c r="I1511" t="s">
        <v>4658</v>
      </c>
      <c r="J1511" t="s">
        <v>1963</v>
      </c>
      <c r="K1511" t="s">
        <v>4718</v>
      </c>
      <c r="L1511" t="s">
        <v>2046</v>
      </c>
      <c r="M1511" t="s">
        <v>4660</v>
      </c>
      <c r="N1511" t="s">
        <v>4661</v>
      </c>
      <c r="O1511" t="s">
        <v>2635</v>
      </c>
      <c r="P1511" t="s">
        <v>2636</v>
      </c>
      <c r="Q1511" t="s">
        <v>4662</v>
      </c>
      <c r="R1511" t="s">
        <v>14</v>
      </c>
      <c r="S1511" t="s">
        <v>4663</v>
      </c>
      <c r="T1511" t="s">
        <v>4664</v>
      </c>
      <c r="U1511" t="s">
        <v>2171</v>
      </c>
      <c r="V1511" t="s">
        <v>14</v>
      </c>
      <c r="W1511" t="b">
        <v>1</v>
      </c>
      <c r="X1511" t="s">
        <v>4719</v>
      </c>
      <c r="Y1511" t="b">
        <v>0</v>
      </c>
      <c r="Z1511" t="s">
        <v>2032</v>
      </c>
    </row>
    <row r="1512" spans="1:26" x14ac:dyDescent="0.35">
      <c r="A1512" t="s">
        <v>1017</v>
      </c>
      <c r="B1512" t="s">
        <v>1018</v>
      </c>
      <c r="C1512" t="s">
        <v>2967</v>
      </c>
      <c r="D1512" t="s">
        <v>1963</v>
      </c>
      <c r="E1512" t="s">
        <v>2020</v>
      </c>
      <c r="F1512" t="s">
        <v>2021</v>
      </c>
      <c r="G1512" t="s">
        <v>2022</v>
      </c>
      <c r="H1512" t="s">
        <v>2023</v>
      </c>
      <c r="I1512" t="s">
        <v>4697</v>
      </c>
      <c r="J1512" t="s">
        <v>1963</v>
      </c>
      <c r="K1512" t="s">
        <v>4718</v>
      </c>
      <c r="L1512" t="s">
        <v>2046</v>
      </c>
      <c r="M1512" t="s">
        <v>4660</v>
      </c>
      <c r="N1512" t="s">
        <v>4661</v>
      </c>
      <c r="O1512" t="s">
        <v>2635</v>
      </c>
      <c r="P1512" t="s">
        <v>2636</v>
      </c>
      <c r="Q1512" t="s">
        <v>4662</v>
      </c>
      <c r="R1512" t="s">
        <v>14</v>
      </c>
      <c r="S1512" t="s">
        <v>4663</v>
      </c>
      <c r="T1512" t="s">
        <v>4664</v>
      </c>
      <c r="U1512" t="s">
        <v>2171</v>
      </c>
      <c r="V1512" t="s">
        <v>14</v>
      </c>
      <c r="W1512" t="b">
        <v>1</v>
      </c>
      <c r="X1512" t="s">
        <v>4719</v>
      </c>
      <c r="Y1512" t="b">
        <v>0</v>
      </c>
      <c r="Z1512" t="s">
        <v>2032</v>
      </c>
    </row>
    <row r="1513" spans="1:26" x14ac:dyDescent="0.35">
      <c r="A1513" t="s">
        <v>1019</v>
      </c>
      <c r="B1513" t="s">
        <v>1020</v>
      </c>
      <c r="C1513" t="s">
        <v>2967</v>
      </c>
      <c r="D1513" t="s">
        <v>1963</v>
      </c>
      <c r="E1513" t="s">
        <v>2020</v>
      </c>
      <c r="F1513" t="s">
        <v>2021</v>
      </c>
      <c r="G1513" t="s">
        <v>2022</v>
      </c>
      <c r="H1513" t="s">
        <v>2023</v>
      </c>
      <c r="I1513" t="s">
        <v>4658</v>
      </c>
      <c r="J1513" t="s">
        <v>1963</v>
      </c>
      <c r="K1513" t="s">
        <v>4720</v>
      </c>
      <c r="L1513" t="s">
        <v>2046</v>
      </c>
      <c r="M1513" t="s">
        <v>4660</v>
      </c>
      <c r="N1513" t="s">
        <v>4661</v>
      </c>
      <c r="O1513" t="s">
        <v>2635</v>
      </c>
      <c r="P1513" t="s">
        <v>2636</v>
      </c>
      <c r="Q1513" t="s">
        <v>4662</v>
      </c>
      <c r="R1513" t="s">
        <v>14</v>
      </c>
      <c r="S1513" t="s">
        <v>4663</v>
      </c>
      <c r="T1513" t="s">
        <v>4664</v>
      </c>
      <c r="U1513" t="s">
        <v>2171</v>
      </c>
      <c r="V1513" t="s">
        <v>14</v>
      </c>
      <c r="W1513" t="b">
        <v>1</v>
      </c>
      <c r="X1513" t="s">
        <v>4721</v>
      </c>
      <c r="Y1513" t="b">
        <v>0</v>
      </c>
      <c r="Z1513" t="s">
        <v>2032</v>
      </c>
    </row>
    <row r="1514" spans="1:26" x14ac:dyDescent="0.35">
      <c r="A1514" t="s">
        <v>1019</v>
      </c>
      <c r="B1514" t="s">
        <v>1020</v>
      </c>
      <c r="C1514" t="s">
        <v>2967</v>
      </c>
      <c r="D1514" t="s">
        <v>1963</v>
      </c>
      <c r="E1514" t="s">
        <v>2020</v>
      </c>
      <c r="F1514" t="s">
        <v>2021</v>
      </c>
      <c r="G1514" t="s">
        <v>2022</v>
      </c>
      <c r="H1514" t="s">
        <v>2023</v>
      </c>
      <c r="I1514" t="s">
        <v>4697</v>
      </c>
      <c r="J1514" t="s">
        <v>1963</v>
      </c>
      <c r="K1514" t="s">
        <v>4720</v>
      </c>
      <c r="L1514" t="s">
        <v>2046</v>
      </c>
      <c r="M1514" t="s">
        <v>4660</v>
      </c>
      <c r="N1514" t="s">
        <v>4661</v>
      </c>
      <c r="O1514" t="s">
        <v>2635</v>
      </c>
      <c r="P1514" t="s">
        <v>2636</v>
      </c>
      <c r="Q1514" t="s">
        <v>4662</v>
      </c>
      <c r="R1514" t="s">
        <v>14</v>
      </c>
      <c r="S1514" t="s">
        <v>4663</v>
      </c>
      <c r="T1514" t="s">
        <v>4664</v>
      </c>
      <c r="U1514" t="s">
        <v>2171</v>
      </c>
      <c r="V1514" t="s">
        <v>14</v>
      </c>
      <c r="W1514" t="b">
        <v>1</v>
      </c>
      <c r="X1514" t="s">
        <v>4721</v>
      </c>
      <c r="Y1514" t="b">
        <v>0</v>
      </c>
      <c r="Z1514" t="s">
        <v>2032</v>
      </c>
    </row>
    <row r="1515" spans="1:26" x14ac:dyDescent="0.35">
      <c r="A1515" t="s">
        <v>1019</v>
      </c>
      <c r="B1515" t="s">
        <v>1020</v>
      </c>
      <c r="C1515" t="s">
        <v>2967</v>
      </c>
      <c r="D1515" t="s">
        <v>1963</v>
      </c>
      <c r="E1515" t="s">
        <v>2020</v>
      </c>
      <c r="F1515" t="s">
        <v>2021</v>
      </c>
      <c r="G1515" t="s">
        <v>2022</v>
      </c>
      <c r="H1515" t="s">
        <v>2023</v>
      </c>
      <c r="I1515" t="s">
        <v>1431</v>
      </c>
      <c r="J1515" t="s">
        <v>1963</v>
      </c>
      <c r="K1515" t="s">
        <v>4720</v>
      </c>
      <c r="L1515" t="s">
        <v>2046</v>
      </c>
      <c r="M1515" t="s">
        <v>2026</v>
      </c>
      <c r="N1515" t="s">
        <v>2027</v>
      </c>
      <c r="O1515" t="s">
        <v>2650</v>
      </c>
      <c r="P1515" t="s">
        <v>2651</v>
      </c>
      <c r="Q1515" t="s">
        <v>14</v>
      </c>
      <c r="R1515" t="s">
        <v>14</v>
      </c>
      <c r="S1515" t="s">
        <v>14</v>
      </c>
      <c r="T1515" t="s">
        <v>14</v>
      </c>
      <c r="U1515" t="s">
        <v>2030</v>
      </c>
      <c r="V1515" t="s">
        <v>14</v>
      </c>
      <c r="W1515" t="b">
        <v>1</v>
      </c>
      <c r="X1515" t="s">
        <v>4721</v>
      </c>
      <c r="Y1515" t="b">
        <v>0</v>
      </c>
      <c r="Z1515" t="s">
        <v>2053</v>
      </c>
    </row>
    <row r="1516" spans="1:26" x14ac:dyDescent="0.35">
      <c r="A1516" t="s">
        <v>1021</v>
      </c>
      <c r="B1516" t="s">
        <v>1022</v>
      </c>
      <c r="C1516" t="s">
        <v>2967</v>
      </c>
      <c r="D1516" t="s">
        <v>1963</v>
      </c>
      <c r="E1516" t="s">
        <v>2020</v>
      </c>
      <c r="F1516" t="s">
        <v>2021</v>
      </c>
      <c r="G1516" t="s">
        <v>2022</v>
      </c>
      <c r="H1516" t="s">
        <v>2023</v>
      </c>
      <c r="I1516" t="s">
        <v>1431</v>
      </c>
      <c r="J1516" t="s">
        <v>1963</v>
      </c>
      <c r="K1516" t="s">
        <v>4722</v>
      </c>
      <c r="L1516" t="s">
        <v>2046</v>
      </c>
      <c r="M1516" t="s">
        <v>2026</v>
      </c>
      <c r="N1516" t="s">
        <v>2027</v>
      </c>
      <c r="O1516" t="s">
        <v>2650</v>
      </c>
      <c r="P1516" t="s">
        <v>2651</v>
      </c>
      <c r="Q1516" t="s">
        <v>14</v>
      </c>
      <c r="R1516" t="s">
        <v>14</v>
      </c>
      <c r="S1516" t="s">
        <v>14</v>
      </c>
      <c r="T1516" t="s">
        <v>14</v>
      </c>
      <c r="U1516" t="s">
        <v>2030</v>
      </c>
      <c r="V1516" t="s">
        <v>14</v>
      </c>
      <c r="W1516" t="b">
        <v>1</v>
      </c>
      <c r="X1516" t="s">
        <v>4723</v>
      </c>
      <c r="Y1516" t="b">
        <v>0</v>
      </c>
      <c r="Z1516" t="s">
        <v>2053</v>
      </c>
    </row>
    <row r="1517" spans="1:26" x14ac:dyDescent="0.35">
      <c r="A1517" t="s">
        <v>1021</v>
      </c>
      <c r="B1517" t="s">
        <v>1022</v>
      </c>
      <c r="C1517" t="s">
        <v>2967</v>
      </c>
      <c r="D1517" t="s">
        <v>1963</v>
      </c>
      <c r="E1517" t="s">
        <v>2020</v>
      </c>
      <c r="F1517" t="s">
        <v>2021</v>
      </c>
      <c r="G1517" t="s">
        <v>2022</v>
      </c>
      <c r="H1517" t="s">
        <v>2023</v>
      </c>
      <c r="I1517" t="s">
        <v>4697</v>
      </c>
      <c r="J1517" t="s">
        <v>1963</v>
      </c>
      <c r="K1517" t="s">
        <v>4722</v>
      </c>
      <c r="L1517" t="s">
        <v>2046</v>
      </c>
      <c r="M1517" t="s">
        <v>4660</v>
      </c>
      <c r="N1517" t="s">
        <v>4661</v>
      </c>
      <c r="O1517" t="s">
        <v>2635</v>
      </c>
      <c r="P1517" t="s">
        <v>2636</v>
      </c>
      <c r="Q1517" t="s">
        <v>4662</v>
      </c>
      <c r="R1517" t="s">
        <v>14</v>
      </c>
      <c r="S1517" t="s">
        <v>4663</v>
      </c>
      <c r="T1517" t="s">
        <v>4664</v>
      </c>
      <c r="U1517" t="s">
        <v>2171</v>
      </c>
      <c r="V1517" t="s">
        <v>14</v>
      </c>
      <c r="W1517" t="b">
        <v>1</v>
      </c>
      <c r="X1517" t="s">
        <v>4723</v>
      </c>
      <c r="Y1517" t="b">
        <v>0</v>
      </c>
      <c r="Z1517" t="s">
        <v>2032</v>
      </c>
    </row>
    <row r="1518" spans="1:26" x14ac:dyDescent="0.35">
      <c r="A1518" t="s">
        <v>1021</v>
      </c>
      <c r="B1518" t="s">
        <v>1022</v>
      </c>
      <c r="C1518" t="s">
        <v>2967</v>
      </c>
      <c r="D1518" t="s">
        <v>1963</v>
      </c>
      <c r="E1518" t="s">
        <v>2020</v>
      </c>
      <c r="F1518" t="s">
        <v>2021</v>
      </c>
      <c r="G1518" t="s">
        <v>2022</v>
      </c>
      <c r="H1518" t="s">
        <v>2023</v>
      </c>
      <c r="I1518" t="s">
        <v>4658</v>
      </c>
      <c r="J1518" t="s">
        <v>1963</v>
      </c>
      <c r="K1518" t="s">
        <v>4722</v>
      </c>
      <c r="L1518" t="s">
        <v>2046</v>
      </c>
      <c r="M1518" t="s">
        <v>4660</v>
      </c>
      <c r="N1518" t="s">
        <v>4661</v>
      </c>
      <c r="O1518" t="s">
        <v>2635</v>
      </c>
      <c r="P1518" t="s">
        <v>2636</v>
      </c>
      <c r="Q1518" t="s">
        <v>4662</v>
      </c>
      <c r="R1518" t="s">
        <v>14</v>
      </c>
      <c r="S1518" t="s">
        <v>4663</v>
      </c>
      <c r="T1518" t="s">
        <v>4664</v>
      </c>
      <c r="U1518" t="s">
        <v>2171</v>
      </c>
      <c r="V1518" t="s">
        <v>14</v>
      </c>
      <c r="W1518" t="b">
        <v>1</v>
      </c>
      <c r="X1518" t="s">
        <v>4723</v>
      </c>
      <c r="Y1518" t="b">
        <v>0</v>
      </c>
      <c r="Z1518" t="s">
        <v>2032</v>
      </c>
    </row>
    <row r="1519" spans="1:26" x14ac:dyDescent="0.35">
      <c r="A1519" t="s">
        <v>1023</v>
      </c>
      <c r="B1519" t="s">
        <v>1024</v>
      </c>
      <c r="C1519" t="s">
        <v>2967</v>
      </c>
      <c r="D1519" t="s">
        <v>1963</v>
      </c>
      <c r="E1519" t="s">
        <v>2020</v>
      </c>
      <c r="F1519" t="s">
        <v>2021</v>
      </c>
      <c r="G1519" t="s">
        <v>2022</v>
      </c>
      <c r="H1519" t="s">
        <v>2023</v>
      </c>
      <c r="I1519" t="s">
        <v>4697</v>
      </c>
      <c r="J1519" t="s">
        <v>1963</v>
      </c>
      <c r="K1519" t="s">
        <v>4724</v>
      </c>
      <c r="L1519" t="s">
        <v>2046</v>
      </c>
      <c r="M1519" t="s">
        <v>4660</v>
      </c>
      <c r="N1519" t="s">
        <v>4661</v>
      </c>
      <c r="O1519" t="s">
        <v>2635</v>
      </c>
      <c r="P1519" t="s">
        <v>2636</v>
      </c>
      <c r="Q1519" t="s">
        <v>4662</v>
      </c>
      <c r="R1519" t="s">
        <v>14</v>
      </c>
      <c r="S1519" t="s">
        <v>4663</v>
      </c>
      <c r="T1519" t="s">
        <v>4664</v>
      </c>
      <c r="U1519" t="s">
        <v>2171</v>
      </c>
      <c r="V1519" t="s">
        <v>14</v>
      </c>
      <c r="W1519" t="b">
        <v>1</v>
      </c>
      <c r="X1519" t="s">
        <v>4725</v>
      </c>
      <c r="Y1519" t="b">
        <v>0</v>
      </c>
      <c r="Z1519" t="s">
        <v>2032</v>
      </c>
    </row>
    <row r="1520" spans="1:26" x14ac:dyDescent="0.35">
      <c r="A1520" t="s">
        <v>1023</v>
      </c>
      <c r="B1520" t="s">
        <v>1024</v>
      </c>
      <c r="C1520" t="s">
        <v>2967</v>
      </c>
      <c r="D1520" t="s">
        <v>1963</v>
      </c>
      <c r="E1520" t="s">
        <v>2020</v>
      </c>
      <c r="F1520" t="s">
        <v>2021</v>
      </c>
      <c r="G1520" t="s">
        <v>2022</v>
      </c>
      <c r="H1520" t="s">
        <v>2023</v>
      </c>
      <c r="I1520" t="s">
        <v>1431</v>
      </c>
      <c r="J1520" t="s">
        <v>1963</v>
      </c>
      <c r="K1520" t="s">
        <v>4724</v>
      </c>
      <c r="L1520" t="s">
        <v>2046</v>
      </c>
      <c r="M1520" t="s">
        <v>2026</v>
      </c>
      <c r="N1520" t="s">
        <v>2027</v>
      </c>
      <c r="O1520" t="s">
        <v>2650</v>
      </c>
      <c r="P1520" t="s">
        <v>2651</v>
      </c>
      <c r="Q1520" t="s">
        <v>14</v>
      </c>
      <c r="R1520" t="s">
        <v>14</v>
      </c>
      <c r="S1520" t="s">
        <v>14</v>
      </c>
      <c r="T1520" t="s">
        <v>14</v>
      </c>
      <c r="U1520" t="s">
        <v>2030</v>
      </c>
      <c r="V1520" t="s">
        <v>14</v>
      </c>
      <c r="W1520" t="b">
        <v>1</v>
      </c>
      <c r="X1520" t="s">
        <v>4725</v>
      </c>
      <c r="Y1520" t="b">
        <v>0</v>
      </c>
      <c r="Z1520" t="s">
        <v>2053</v>
      </c>
    </row>
    <row r="1521" spans="1:26" x14ac:dyDescent="0.35">
      <c r="A1521" t="s">
        <v>1023</v>
      </c>
      <c r="B1521" t="s">
        <v>1024</v>
      </c>
      <c r="C1521" t="s">
        <v>2967</v>
      </c>
      <c r="D1521" t="s">
        <v>1963</v>
      </c>
      <c r="E1521" t="s">
        <v>2020</v>
      </c>
      <c r="F1521" t="s">
        <v>2021</v>
      </c>
      <c r="G1521" t="s">
        <v>2022</v>
      </c>
      <c r="H1521" t="s">
        <v>2023</v>
      </c>
      <c r="I1521" t="s">
        <v>4658</v>
      </c>
      <c r="J1521" t="s">
        <v>1963</v>
      </c>
      <c r="K1521" t="s">
        <v>4724</v>
      </c>
      <c r="L1521" t="s">
        <v>2046</v>
      </c>
      <c r="M1521" t="s">
        <v>4660</v>
      </c>
      <c r="N1521" t="s">
        <v>4661</v>
      </c>
      <c r="O1521" t="s">
        <v>2635</v>
      </c>
      <c r="P1521" t="s">
        <v>2636</v>
      </c>
      <c r="Q1521" t="s">
        <v>4662</v>
      </c>
      <c r="R1521" t="s">
        <v>14</v>
      </c>
      <c r="S1521" t="s">
        <v>4663</v>
      </c>
      <c r="T1521" t="s">
        <v>4664</v>
      </c>
      <c r="U1521" t="s">
        <v>2171</v>
      </c>
      <c r="V1521" t="s">
        <v>14</v>
      </c>
      <c r="W1521" t="b">
        <v>1</v>
      </c>
      <c r="X1521" t="s">
        <v>4725</v>
      </c>
      <c r="Y1521" t="b">
        <v>0</v>
      </c>
      <c r="Z1521" t="s">
        <v>2032</v>
      </c>
    </row>
    <row r="1522" spans="1:26" x14ac:dyDescent="0.35">
      <c r="A1522" t="s">
        <v>1025</v>
      </c>
      <c r="B1522" t="s">
        <v>1026</v>
      </c>
      <c r="C1522" t="s">
        <v>2967</v>
      </c>
      <c r="D1522" t="s">
        <v>1963</v>
      </c>
      <c r="E1522" t="s">
        <v>2020</v>
      </c>
      <c r="F1522" t="s">
        <v>2021</v>
      </c>
      <c r="G1522" t="s">
        <v>2022</v>
      </c>
      <c r="H1522" t="s">
        <v>2023</v>
      </c>
      <c r="I1522" t="s">
        <v>4697</v>
      </c>
      <c r="J1522" t="s">
        <v>1963</v>
      </c>
      <c r="K1522" t="s">
        <v>4726</v>
      </c>
      <c r="L1522" t="s">
        <v>2046</v>
      </c>
      <c r="M1522" t="s">
        <v>4660</v>
      </c>
      <c r="N1522" t="s">
        <v>4661</v>
      </c>
      <c r="O1522" t="s">
        <v>2635</v>
      </c>
      <c r="P1522" t="s">
        <v>2636</v>
      </c>
      <c r="Q1522" t="s">
        <v>4662</v>
      </c>
      <c r="R1522" t="s">
        <v>14</v>
      </c>
      <c r="S1522" t="s">
        <v>4663</v>
      </c>
      <c r="T1522" t="s">
        <v>4664</v>
      </c>
      <c r="U1522" t="s">
        <v>2171</v>
      </c>
      <c r="V1522" t="s">
        <v>14</v>
      </c>
      <c r="W1522" t="b">
        <v>1</v>
      </c>
      <c r="X1522" t="s">
        <v>4727</v>
      </c>
      <c r="Y1522" t="b">
        <v>0</v>
      </c>
      <c r="Z1522" t="s">
        <v>2032</v>
      </c>
    </row>
    <row r="1523" spans="1:26" x14ac:dyDescent="0.35">
      <c r="A1523" t="s">
        <v>1025</v>
      </c>
      <c r="B1523" t="s">
        <v>1026</v>
      </c>
      <c r="C1523" t="s">
        <v>2967</v>
      </c>
      <c r="D1523" t="s">
        <v>1963</v>
      </c>
      <c r="E1523" t="s">
        <v>2020</v>
      </c>
      <c r="F1523" t="s">
        <v>2021</v>
      </c>
      <c r="G1523" t="s">
        <v>2022</v>
      </c>
      <c r="H1523" t="s">
        <v>2023</v>
      </c>
      <c r="I1523" t="s">
        <v>1431</v>
      </c>
      <c r="J1523" t="s">
        <v>1963</v>
      </c>
      <c r="K1523" t="s">
        <v>4726</v>
      </c>
      <c r="L1523" t="s">
        <v>2046</v>
      </c>
      <c r="M1523" t="s">
        <v>2026</v>
      </c>
      <c r="N1523" t="s">
        <v>2027</v>
      </c>
      <c r="O1523" t="s">
        <v>2650</v>
      </c>
      <c r="P1523" t="s">
        <v>2651</v>
      </c>
      <c r="Q1523" t="s">
        <v>14</v>
      </c>
      <c r="R1523" t="s">
        <v>14</v>
      </c>
      <c r="S1523" t="s">
        <v>14</v>
      </c>
      <c r="T1523" t="s">
        <v>14</v>
      </c>
      <c r="U1523" t="s">
        <v>2030</v>
      </c>
      <c r="V1523" t="s">
        <v>14</v>
      </c>
      <c r="W1523" t="b">
        <v>1</v>
      </c>
      <c r="X1523" t="s">
        <v>4727</v>
      </c>
      <c r="Y1523" t="b">
        <v>0</v>
      </c>
      <c r="Z1523" t="s">
        <v>2053</v>
      </c>
    </row>
    <row r="1524" spans="1:26" x14ac:dyDescent="0.35">
      <c r="A1524" t="s">
        <v>1025</v>
      </c>
      <c r="B1524" t="s">
        <v>1026</v>
      </c>
      <c r="C1524" t="s">
        <v>2967</v>
      </c>
      <c r="D1524" t="s">
        <v>1963</v>
      </c>
      <c r="E1524" t="s">
        <v>2020</v>
      </c>
      <c r="F1524" t="s">
        <v>2021</v>
      </c>
      <c r="G1524" t="s">
        <v>2022</v>
      </c>
      <c r="H1524" t="s">
        <v>2023</v>
      </c>
      <c r="I1524" t="s">
        <v>4658</v>
      </c>
      <c r="J1524" t="s">
        <v>1963</v>
      </c>
      <c r="K1524" t="s">
        <v>4726</v>
      </c>
      <c r="L1524" t="s">
        <v>2046</v>
      </c>
      <c r="M1524" t="s">
        <v>4660</v>
      </c>
      <c r="N1524" t="s">
        <v>4661</v>
      </c>
      <c r="O1524" t="s">
        <v>2635</v>
      </c>
      <c r="P1524" t="s">
        <v>2636</v>
      </c>
      <c r="Q1524" t="s">
        <v>4662</v>
      </c>
      <c r="R1524" t="s">
        <v>14</v>
      </c>
      <c r="S1524" t="s">
        <v>4663</v>
      </c>
      <c r="T1524" t="s">
        <v>4664</v>
      </c>
      <c r="U1524" t="s">
        <v>2171</v>
      </c>
      <c r="V1524" t="s">
        <v>14</v>
      </c>
      <c r="W1524" t="b">
        <v>1</v>
      </c>
      <c r="X1524" t="s">
        <v>4727</v>
      </c>
      <c r="Y1524" t="b">
        <v>0</v>
      </c>
      <c r="Z1524" t="s">
        <v>2032</v>
      </c>
    </row>
    <row r="1525" spans="1:26" x14ac:dyDescent="0.35">
      <c r="A1525" t="s">
        <v>1027</v>
      </c>
      <c r="B1525" t="s">
        <v>1028</v>
      </c>
      <c r="C1525" t="s">
        <v>2967</v>
      </c>
      <c r="D1525" t="s">
        <v>1963</v>
      </c>
      <c r="E1525" t="s">
        <v>2020</v>
      </c>
      <c r="F1525" t="s">
        <v>2021</v>
      </c>
      <c r="G1525" t="s">
        <v>2022</v>
      </c>
      <c r="H1525" t="s">
        <v>2023</v>
      </c>
      <c r="I1525" t="s">
        <v>1431</v>
      </c>
      <c r="J1525" t="s">
        <v>1963</v>
      </c>
      <c r="K1525" t="s">
        <v>4728</v>
      </c>
      <c r="L1525" t="s">
        <v>2046</v>
      </c>
      <c r="M1525" t="s">
        <v>2026</v>
      </c>
      <c r="N1525" t="s">
        <v>2027</v>
      </c>
      <c r="O1525" t="s">
        <v>2650</v>
      </c>
      <c r="P1525" t="s">
        <v>2651</v>
      </c>
      <c r="Q1525" t="s">
        <v>14</v>
      </c>
      <c r="R1525" t="s">
        <v>14</v>
      </c>
      <c r="S1525" t="s">
        <v>14</v>
      </c>
      <c r="T1525" t="s">
        <v>14</v>
      </c>
      <c r="U1525" t="s">
        <v>2030</v>
      </c>
      <c r="V1525" t="s">
        <v>14</v>
      </c>
      <c r="W1525" t="b">
        <v>1</v>
      </c>
      <c r="X1525" t="s">
        <v>4729</v>
      </c>
      <c r="Y1525" t="b">
        <v>0</v>
      </c>
      <c r="Z1525" t="s">
        <v>2053</v>
      </c>
    </row>
    <row r="1526" spans="1:26" x14ac:dyDescent="0.35">
      <c r="A1526" t="s">
        <v>1029</v>
      </c>
      <c r="B1526" t="s">
        <v>1030</v>
      </c>
      <c r="C1526" t="s">
        <v>2967</v>
      </c>
      <c r="D1526" t="s">
        <v>1963</v>
      </c>
      <c r="E1526" t="s">
        <v>2020</v>
      </c>
      <c r="F1526" t="s">
        <v>2021</v>
      </c>
      <c r="G1526" t="s">
        <v>2022</v>
      </c>
      <c r="H1526" t="s">
        <v>2023</v>
      </c>
      <c r="I1526" t="s">
        <v>3139</v>
      </c>
      <c r="J1526" t="s">
        <v>1963</v>
      </c>
      <c r="K1526" t="s">
        <v>4730</v>
      </c>
      <c r="L1526" t="s">
        <v>2046</v>
      </c>
      <c r="M1526" t="s">
        <v>2026</v>
      </c>
      <c r="N1526" t="s">
        <v>2027</v>
      </c>
      <c r="O1526" t="s">
        <v>2650</v>
      </c>
      <c r="P1526" t="s">
        <v>2651</v>
      </c>
      <c r="Q1526" t="s">
        <v>14</v>
      </c>
      <c r="R1526" t="s">
        <v>14</v>
      </c>
      <c r="S1526" t="s">
        <v>14</v>
      </c>
      <c r="T1526" t="s">
        <v>14</v>
      </c>
      <c r="U1526" t="s">
        <v>2052</v>
      </c>
      <c r="V1526" t="s">
        <v>14</v>
      </c>
      <c r="W1526" t="b">
        <v>1</v>
      </c>
      <c r="X1526" t="s">
        <v>4731</v>
      </c>
      <c r="Y1526" t="b">
        <v>0</v>
      </c>
      <c r="Z1526" t="s">
        <v>2053</v>
      </c>
    </row>
    <row r="1527" spans="1:26" x14ac:dyDescent="0.35">
      <c r="A1527" t="s">
        <v>1031</v>
      </c>
      <c r="B1527" t="s">
        <v>1032</v>
      </c>
      <c r="C1527" t="s">
        <v>2967</v>
      </c>
      <c r="D1527" t="s">
        <v>1963</v>
      </c>
      <c r="E1527" t="s">
        <v>2020</v>
      </c>
      <c r="F1527" t="s">
        <v>2021</v>
      </c>
      <c r="G1527" t="s">
        <v>2022</v>
      </c>
      <c r="H1527" t="s">
        <v>2023</v>
      </c>
      <c r="I1527" t="s">
        <v>3139</v>
      </c>
      <c r="J1527" t="s">
        <v>1963</v>
      </c>
      <c r="K1527" t="s">
        <v>4732</v>
      </c>
      <c r="L1527" t="s">
        <v>2046</v>
      </c>
      <c r="M1527" t="s">
        <v>2026</v>
      </c>
      <c r="N1527" t="s">
        <v>2027</v>
      </c>
      <c r="O1527" t="s">
        <v>2650</v>
      </c>
      <c r="P1527" t="s">
        <v>2651</v>
      </c>
      <c r="Q1527" t="s">
        <v>14</v>
      </c>
      <c r="R1527" t="s">
        <v>14</v>
      </c>
      <c r="S1527" t="s">
        <v>14</v>
      </c>
      <c r="T1527" t="s">
        <v>14</v>
      </c>
      <c r="U1527" t="s">
        <v>2052</v>
      </c>
      <c r="V1527" t="s">
        <v>14</v>
      </c>
      <c r="W1527" t="b">
        <v>1</v>
      </c>
      <c r="X1527" t="s">
        <v>4733</v>
      </c>
      <c r="Y1527" t="b">
        <v>0</v>
      </c>
      <c r="Z1527" t="s">
        <v>2053</v>
      </c>
    </row>
    <row r="1528" spans="1:26" x14ac:dyDescent="0.35">
      <c r="A1528" t="s">
        <v>1033</v>
      </c>
      <c r="B1528" t="s">
        <v>1034</v>
      </c>
      <c r="C1528" t="s">
        <v>2967</v>
      </c>
      <c r="D1528" t="s">
        <v>1963</v>
      </c>
      <c r="E1528" t="s">
        <v>2020</v>
      </c>
      <c r="F1528" t="s">
        <v>2021</v>
      </c>
      <c r="G1528" t="s">
        <v>2022</v>
      </c>
      <c r="H1528" t="s">
        <v>2023</v>
      </c>
      <c r="I1528" t="s">
        <v>3139</v>
      </c>
      <c r="J1528" t="s">
        <v>1963</v>
      </c>
      <c r="K1528" t="s">
        <v>4734</v>
      </c>
      <c r="L1528" t="s">
        <v>2046</v>
      </c>
      <c r="M1528" t="s">
        <v>2026</v>
      </c>
      <c r="N1528" t="s">
        <v>2027</v>
      </c>
      <c r="O1528" t="s">
        <v>2650</v>
      </c>
      <c r="P1528" t="s">
        <v>2651</v>
      </c>
      <c r="Q1528" t="s">
        <v>14</v>
      </c>
      <c r="R1528" t="s">
        <v>14</v>
      </c>
      <c r="S1528" t="s">
        <v>14</v>
      </c>
      <c r="T1528" t="s">
        <v>14</v>
      </c>
      <c r="U1528" t="s">
        <v>2052</v>
      </c>
      <c r="V1528" t="s">
        <v>14</v>
      </c>
      <c r="W1528" t="b">
        <v>1</v>
      </c>
      <c r="X1528" t="s">
        <v>4735</v>
      </c>
      <c r="Y1528" t="b">
        <v>0</v>
      </c>
      <c r="Z1528" t="s">
        <v>2053</v>
      </c>
    </row>
    <row r="1529" spans="1:26" x14ac:dyDescent="0.35">
      <c r="A1529" t="s">
        <v>1035</v>
      </c>
      <c r="B1529" t="s">
        <v>1036</v>
      </c>
      <c r="C1529" t="s">
        <v>2967</v>
      </c>
      <c r="D1529" t="s">
        <v>1963</v>
      </c>
      <c r="E1529" t="s">
        <v>2020</v>
      </c>
      <c r="F1529" t="s">
        <v>2021</v>
      </c>
      <c r="G1529" t="s">
        <v>2022</v>
      </c>
      <c r="H1529" t="s">
        <v>2023</v>
      </c>
      <c r="I1529" t="s">
        <v>3139</v>
      </c>
      <c r="J1529" t="s">
        <v>1963</v>
      </c>
      <c r="K1529" t="s">
        <v>4736</v>
      </c>
      <c r="L1529" t="s">
        <v>2046</v>
      </c>
      <c r="M1529" t="s">
        <v>2026</v>
      </c>
      <c r="N1529" t="s">
        <v>2027</v>
      </c>
      <c r="O1529" t="s">
        <v>2650</v>
      </c>
      <c r="P1529" t="s">
        <v>2651</v>
      </c>
      <c r="Q1529" t="s">
        <v>14</v>
      </c>
      <c r="R1529" t="s">
        <v>14</v>
      </c>
      <c r="S1529" t="s">
        <v>14</v>
      </c>
      <c r="T1529" t="s">
        <v>14</v>
      </c>
      <c r="U1529" t="s">
        <v>2052</v>
      </c>
      <c r="V1529" t="s">
        <v>14</v>
      </c>
      <c r="W1529" t="b">
        <v>1</v>
      </c>
      <c r="X1529" t="s">
        <v>4737</v>
      </c>
      <c r="Y1529" t="b">
        <v>0</v>
      </c>
      <c r="Z1529" t="s">
        <v>2053</v>
      </c>
    </row>
    <row r="1530" spans="1:26" x14ac:dyDescent="0.35">
      <c r="A1530" t="s">
        <v>1037</v>
      </c>
      <c r="B1530" t="s">
        <v>1038</v>
      </c>
      <c r="C1530" t="s">
        <v>2967</v>
      </c>
      <c r="D1530" t="s">
        <v>1963</v>
      </c>
      <c r="E1530" t="s">
        <v>2020</v>
      </c>
      <c r="F1530" t="s">
        <v>2021</v>
      </c>
      <c r="G1530" t="s">
        <v>2022</v>
      </c>
      <c r="H1530" t="s">
        <v>2023</v>
      </c>
      <c r="I1530" t="s">
        <v>1431</v>
      </c>
      <c r="J1530" t="s">
        <v>1963</v>
      </c>
      <c r="K1530" t="s">
        <v>4738</v>
      </c>
      <c r="L1530" t="s">
        <v>2046</v>
      </c>
      <c r="M1530" t="s">
        <v>2026</v>
      </c>
      <c r="N1530" t="s">
        <v>2027</v>
      </c>
      <c r="O1530" t="s">
        <v>2650</v>
      </c>
      <c r="P1530" t="s">
        <v>2651</v>
      </c>
      <c r="Q1530" t="s">
        <v>14</v>
      </c>
      <c r="R1530" t="s">
        <v>14</v>
      </c>
      <c r="S1530" t="s">
        <v>14</v>
      </c>
      <c r="T1530" t="s">
        <v>14</v>
      </c>
      <c r="U1530" t="s">
        <v>2030</v>
      </c>
      <c r="V1530" t="s">
        <v>14</v>
      </c>
      <c r="W1530" t="b">
        <v>1</v>
      </c>
      <c r="X1530" t="s">
        <v>4739</v>
      </c>
      <c r="Y1530" t="b">
        <v>0</v>
      </c>
      <c r="Z1530" t="s">
        <v>2053</v>
      </c>
    </row>
    <row r="1531" spans="1:26" x14ac:dyDescent="0.35">
      <c r="A1531" t="s">
        <v>1039</v>
      </c>
      <c r="B1531" t="s">
        <v>1040</v>
      </c>
      <c r="C1531" t="s">
        <v>2967</v>
      </c>
      <c r="D1531" t="s">
        <v>1963</v>
      </c>
      <c r="E1531" t="s">
        <v>2020</v>
      </c>
      <c r="F1531" t="s">
        <v>2021</v>
      </c>
      <c r="G1531" t="s">
        <v>2022</v>
      </c>
      <c r="H1531" t="s">
        <v>2023</v>
      </c>
      <c r="I1531" t="s">
        <v>1431</v>
      </c>
      <c r="J1531" t="s">
        <v>1963</v>
      </c>
      <c r="K1531" t="s">
        <v>4740</v>
      </c>
      <c r="L1531" t="s">
        <v>2046</v>
      </c>
      <c r="M1531" t="s">
        <v>2026</v>
      </c>
      <c r="N1531" t="s">
        <v>2027</v>
      </c>
      <c r="O1531" t="s">
        <v>2650</v>
      </c>
      <c r="P1531" t="s">
        <v>2651</v>
      </c>
      <c r="Q1531" t="s">
        <v>14</v>
      </c>
      <c r="R1531" t="s">
        <v>14</v>
      </c>
      <c r="S1531" t="s">
        <v>14</v>
      </c>
      <c r="T1531" t="s">
        <v>14</v>
      </c>
      <c r="U1531" t="s">
        <v>2030</v>
      </c>
      <c r="V1531" t="s">
        <v>14</v>
      </c>
      <c r="W1531" t="b">
        <v>1</v>
      </c>
      <c r="X1531" t="s">
        <v>4741</v>
      </c>
      <c r="Y1531" t="b">
        <v>0</v>
      </c>
      <c r="Z1531" t="s">
        <v>2053</v>
      </c>
    </row>
    <row r="1532" spans="1:26" x14ac:dyDescent="0.35">
      <c r="A1532" t="s">
        <v>1041</v>
      </c>
      <c r="B1532" t="s">
        <v>1042</v>
      </c>
      <c r="C1532" t="s">
        <v>3167</v>
      </c>
      <c r="D1532" t="s">
        <v>1963</v>
      </c>
      <c r="E1532" t="s">
        <v>2020</v>
      </c>
      <c r="F1532" t="s">
        <v>2055</v>
      </c>
      <c r="G1532" t="s">
        <v>2056</v>
      </c>
      <c r="H1532" t="s">
        <v>2023</v>
      </c>
      <c r="I1532" t="s">
        <v>4742</v>
      </c>
      <c r="J1532" t="s">
        <v>1963</v>
      </c>
      <c r="K1532" t="s">
        <v>4743</v>
      </c>
      <c r="L1532" t="s">
        <v>2046</v>
      </c>
      <c r="M1532" t="s">
        <v>3366</v>
      </c>
      <c r="N1532" t="s">
        <v>3367</v>
      </c>
      <c r="O1532" t="s">
        <v>2635</v>
      </c>
      <c r="P1532" t="s">
        <v>2636</v>
      </c>
      <c r="Q1532" t="s">
        <v>4333</v>
      </c>
      <c r="R1532" t="s">
        <v>14</v>
      </c>
      <c r="S1532" t="s">
        <v>4334</v>
      </c>
      <c r="T1532" t="s">
        <v>4335</v>
      </c>
      <c r="U1532" t="s">
        <v>2171</v>
      </c>
      <c r="V1532" t="s">
        <v>14</v>
      </c>
      <c r="W1532" t="b">
        <v>1</v>
      </c>
      <c r="X1532" t="s">
        <v>4744</v>
      </c>
      <c r="Y1532" t="b">
        <v>0</v>
      </c>
      <c r="Z1532" t="s">
        <v>2081</v>
      </c>
    </row>
    <row r="1533" spans="1:26" x14ac:dyDescent="0.35">
      <c r="A1533" t="s">
        <v>1043</v>
      </c>
      <c r="B1533" t="s">
        <v>1044</v>
      </c>
      <c r="C1533" t="s">
        <v>2967</v>
      </c>
      <c r="D1533" t="s">
        <v>1963</v>
      </c>
      <c r="E1533" t="s">
        <v>2020</v>
      </c>
      <c r="F1533" t="s">
        <v>2021</v>
      </c>
      <c r="G1533" t="s">
        <v>2022</v>
      </c>
      <c r="H1533" t="s">
        <v>2023</v>
      </c>
      <c r="I1533" t="s">
        <v>3786</v>
      </c>
      <c r="J1533" t="s">
        <v>1963</v>
      </c>
      <c r="K1533" t="s">
        <v>4745</v>
      </c>
      <c r="L1533" t="s">
        <v>2046</v>
      </c>
      <c r="M1533" t="s">
        <v>2026</v>
      </c>
      <c r="N1533" t="s">
        <v>2027</v>
      </c>
      <c r="O1533" t="s">
        <v>3783</v>
      </c>
      <c r="P1533" t="s">
        <v>3784</v>
      </c>
      <c r="Q1533" t="s">
        <v>14</v>
      </c>
      <c r="R1533" t="s">
        <v>14</v>
      </c>
      <c r="S1533" t="s">
        <v>3083</v>
      </c>
      <c r="T1533" t="s">
        <v>3084</v>
      </c>
      <c r="U1533" t="s">
        <v>2030</v>
      </c>
      <c r="V1533" t="s">
        <v>14</v>
      </c>
      <c r="W1533" t="b">
        <v>1</v>
      </c>
      <c r="X1533" t="s">
        <v>4746</v>
      </c>
      <c r="Y1533" t="b">
        <v>0</v>
      </c>
      <c r="Z1533" t="s">
        <v>2081</v>
      </c>
    </row>
    <row r="1534" spans="1:26" x14ac:dyDescent="0.35">
      <c r="A1534" t="s">
        <v>1043</v>
      </c>
      <c r="B1534" t="s">
        <v>1044</v>
      </c>
      <c r="C1534" t="s">
        <v>2967</v>
      </c>
      <c r="D1534" t="s">
        <v>1963</v>
      </c>
      <c r="E1534" t="s">
        <v>2020</v>
      </c>
      <c r="F1534" t="s">
        <v>2021</v>
      </c>
      <c r="G1534" t="s">
        <v>2022</v>
      </c>
      <c r="H1534" t="s">
        <v>2023</v>
      </c>
      <c r="I1534" t="s">
        <v>3781</v>
      </c>
      <c r="J1534" t="s">
        <v>1963</v>
      </c>
      <c r="K1534" t="s">
        <v>4745</v>
      </c>
      <c r="L1534" t="s">
        <v>2046</v>
      </c>
      <c r="M1534" t="s">
        <v>2026</v>
      </c>
      <c r="N1534" t="s">
        <v>2027</v>
      </c>
      <c r="O1534" t="s">
        <v>3783</v>
      </c>
      <c r="P1534" t="s">
        <v>3784</v>
      </c>
      <c r="Q1534" t="s">
        <v>14</v>
      </c>
      <c r="R1534" t="s">
        <v>14</v>
      </c>
      <c r="S1534" t="s">
        <v>14</v>
      </c>
      <c r="T1534" t="s">
        <v>14</v>
      </c>
      <c r="U1534" t="s">
        <v>2030</v>
      </c>
      <c r="V1534" t="s">
        <v>14</v>
      </c>
      <c r="W1534" t="b">
        <v>1</v>
      </c>
      <c r="X1534" t="s">
        <v>4746</v>
      </c>
      <c r="Y1534" t="b">
        <v>0</v>
      </c>
      <c r="Z1534" t="s">
        <v>2081</v>
      </c>
    </row>
    <row r="1535" spans="1:26" x14ac:dyDescent="0.35">
      <c r="A1535" t="s">
        <v>1045</v>
      </c>
      <c r="B1535" t="s">
        <v>1046</v>
      </c>
      <c r="C1535" t="s">
        <v>2967</v>
      </c>
      <c r="D1535" t="s">
        <v>1963</v>
      </c>
      <c r="E1535" t="s">
        <v>2020</v>
      </c>
      <c r="F1535" t="s">
        <v>2021</v>
      </c>
      <c r="G1535" t="s">
        <v>2022</v>
      </c>
      <c r="H1535" t="s">
        <v>2023</v>
      </c>
      <c r="I1535" t="s">
        <v>3781</v>
      </c>
      <c r="J1535" t="s">
        <v>1963</v>
      </c>
      <c r="K1535" t="s">
        <v>4747</v>
      </c>
      <c r="L1535" t="s">
        <v>2046</v>
      </c>
      <c r="M1535" t="s">
        <v>2026</v>
      </c>
      <c r="N1535" t="s">
        <v>2027</v>
      </c>
      <c r="O1535" t="s">
        <v>3783</v>
      </c>
      <c r="P1535" t="s">
        <v>3784</v>
      </c>
      <c r="Q1535" t="s">
        <v>14</v>
      </c>
      <c r="R1535" t="s">
        <v>14</v>
      </c>
      <c r="S1535" t="s">
        <v>14</v>
      </c>
      <c r="T1535" t="s">
        <v>14</v>
      </c>
      <c r="U1535" t="s">
        <v>2030</v>
      </c>
      <c r="V1535" t="s">
        <v>14</v>
      </c>
      <c r="W1535" t="b">
        <v>1</v>
      </c>
      <c r="X1535" t="s">
        <v>4748</v>
      </c>
      <c r="Y1535" t="b">
        <v>0</v>
      </c>
      <c r="Z1535" t="s">
        <v>2081</v>
      </c>
    </row>
    <row r="1536" spans="1:26" x14ac:dyDescent="0.35">
      <c r="A1536" t="s">
        <v>1045</v>
      </c>
      <c r="B1536" t="s">
        <v>1046</v>
      </c>
      <c r="C1536" t="s">
        <v>2967</v>
      </c>
      <c r="D1536" t="s">
        <v>1963</v>
      </c>
      <c r="E1536" t="s">
        <v>2020</v>
      </c>
      <c r="F1536" t="s">
        <v>2021</v>
      </c>
      <c r="G1536" t="s">
        <v>2022</v>
      </c>
      <c r="H1536" t="s">
        <v>2023</v>
      </c>
      <c r="I1536" t="s">
        <v>3786</v>
      </c>
      <c r="J1536" t="s">
        <v>1963</v>
      </c>
      <c r="K1536" t="s">
        <v>4747</v>
      </c>
      <c r="L1536" t="s">
        <v>2046</v>
      </c>
      <c r="M1536" t="s">
        <v>2026</v>
      </c>
      <c r="N1536" t="s">
        <v>2027</v>
      </c>
      <c r="O1536" t="s">
        <v>3783</v>
      </c>
      <c r="P1536" t="s">
        <v>3784</v>
      </c>
      <c r="Q1536" t="s">
        <v>14</v>
      </c>
      <c r="R1536" t="s">
        <v>14</v>
      </c>
      <c r="S1536" t="s">
        <v>3083</v>
      </c>
      <c r="T1536" t="s">
        <v>3084</v>
      </c>
      <c r="U1536" t="s">
        <v>2030</v>
      </c>
      <c r="V1536" t="s">
        <v>14</v>
      </c>
      <c r="W1536" t="b">
        <v>1</v>
      </c>
      <c r="X1536" t="s">
        <v>4748</v>
      </c>
      <c r="Y1536" t="b">
        <v>0</v>
      </c>
      <c r="Z1536" t="s">
        <v>2081</v>
      </c>
    </row>
    <row r="1537" spans="1:26" x14ac:dyDescent="0.35">
      <c r="A1537" t="s">
        <v>1047</v>
      </c>
      <c r="B1537" t="s">
        <v>4749</v>
      </c>
      <c r="C1537" t="s">
        <v>2967</v>
      </c>
      <c r="D1537" t="s">
        <v>1963</v>
      </c>
      <c r="E1537" t="s">
        <v>2020</v>
      </c>
      <c r="F1537" t="s">
        <v>2021</v>
      </c>
      <c r="G1537" t="s">
        <v>2022</v>
      </c>
      <c r="H1537" t="s">
        <v>2023</v>
      </c>
      <c r="I1537" t="s">
        <v>3786</v>
      </c>
      <c r="J1537" t="s">
        <v>1963</v>
      </c>
      <c r="K1537" t="s">
        <v>4750</v>
      </c>
      <c r="L1537" t="s">
        <v>2046</v>
      </c>
      <c r="M1537" t="s">
        <v>2026</v>
      </c>
      <c r="N1537" t="s">
        <v>2027</v>
      </c>
      <c r="O1537" t="s">
        <v>3783</v>
      </c>
      <c r="P1537" t="s">
        <v>3784</v>
      </c>
      <c r="Q1537" t="s">
        <v>14</v>
      </c>
      <c r="R1537" t="s">
        <v>14</v>
      </c>
      <c r="S1537" t="s">
        <v>3083</v>
      </c>
      <c r="T1537" t="s">
        <v>3084</v>
      </c>
      <c r="U1537" t="s">
        <v>2030</v>
      </c>
      <c r="V1537" t="s">
        <v>14</v>
      </c>
      <c r="W1537" t="b">
        <v>1</v>
      </c>
      <c r="X1537" t="s">
        <v>4751</v>
      </c>
      <c r="Y1537" t="b">
        <v>0</v>
      </c>
      <c r="Z1537" t="s">
        <v>2081</v>
      </c>
    </row>
    <row r="1538" spans="1:26" x14ac:dyDescent="0.35">
      <c r="A1538" t="s">
        <v>1047</v>
      </c>
      <c r="B1538" t="s">
        <v>4749</v>
      </c>
      <c r="C1538" t="s">
        <v>2967</v>
      </c>
      <c r="D1538" t="s">
        <v>1963</v>
      </c>
      <c r="E1538" t="s">
        <v>2020</v>
      </c>
      <c r="F1538" t="s">
        <v>2021</v>
      </c>
      <c r="G1538" t="s">
        <v>2022</v>
      </c>
      <c r="H1538" t="s">
        <v>2023</v>
      </c>
      <c r="I1538" t="s">
        <v>3781</v>
      </c>
      <c r="J1538" t="s">
        <v>1963</v>
      </c>
      <c r="K1538" t="s">
        <v>4750</v>
      </c>
      <c r="L1538" t="s">
        <v>2046</v>
      </c>
      <c r="M1538" t="s">
        <v>2026</v>
      </c>
      <c r="N1538" t="s">
        <v>2027</v>
      </c>
      <c r="O1538" t="s">
        <v>3783</v>
      </c>
      <c r="P1538" t="s">
        <v>3784</v>
      </c>
      <c r="Q1538" t="s">
        <v>14</v>
      </c>
      <c r="R1538" t="s">
        <v>14</v>
      </c>
      <c r="S1538" t="s">
        <v>14</v>
      </c>
      <c r="T1538" t="s">
        <v>14</v>
      </c>
      <c r="U1538" t="s">
        <v>2030</v>
      </c>
      <c r="V1538" t="s">
        <v>14</v>
      </c>
      <c r="W1538" t="b">
        <v>1</v>
      </c>
      <c r="X1538" t="s">
        <v>4751</v>
      </c>
      <c r="Y1538" t="b">
        <v>0</v>
      </c>
      <c r="Z1538" t="s">
        <v>2081</v>
      </c>
    </row>
    <row r="1539" spans="1:26" x14ac:dyDescent="0.35">
      <c r="A1539" t="s">
        <v>1048</v>
      </c>
      <c r="B1539" t="s">
        <v>1049</v>
      </c>
      <c r="C1539" t="s">
        <v>2967</v>
      </c>
      <c r="D1539" t="s">
        <v>1963</v>
      </c>
      <c r="E1539" t="s">
        <v>2020</v>
      </c>
      <c r="F1539" t="s">
        <v>2021</v>
      </c>
      <c r="G1539" t="s">
        <v>2022</v>
      </c>
      <c r="H1539" t="s">
        <v>2023</v>
      </c>
      <c r="I1539" t="s">
        <v>3781</v>
      </c>
      <c r="J1539" t="s">
        <v>1963</v>
      </c>
      <c r="K1539" t="s">
        <v>4752</v>
      </c>
      <c r="L1539" t="s">
        <v>2046</v>
      </c>
      <c r="M1539" t="s">
        <v>2026</v>
      </c>
      <c r="N1539" t="s">
        <v>2027</v>
      </c>
      <c r="O1539" t="s">
        <v>3783</v>
      </c>
      <c r="P1539" t="s">
        <v>3784</v>
      </c>
      <c r="Q1539" t="s">
        <v>14</v>
      </c>
      <c r="R1539" t="s">
        <v>14</v>
      </c>
      <c r="S1539" t="s">
        <v>14</v>
      </c>
      <c r="T1539" t="s">
        <v>14</v>
      </c>
      <c r="U1539" t="s">
        <v>2030</v>
      </c>
      <c r="V1539" t="s">
        <v>14</v>
      </c>
      <c r="W1539" t="b">
        <v>1</v>
      </c>
      <c r="X1539" t="s">
        <v>4753</v>
      </c>
      <c r="Y1539" t="b">
        <v>0</v>
      </c>
      <c r="Z1539" t="s">
        <v>2081</v>
      </c>
    </row>
    <row r="1540" spans="1:26" x14ac:dyDescent="0.35">
      <c r="A1540" t="s">
        <v>1048</v>
      </c>
      <c r="B1540" t="s">
        <v>1049</v>
      </c>
      <c r="C1540" t="s">
        <v>2967</v>
      </c>
      <c r="D1540" t="s">
        <v>1963</v>
      </c>
      <c r="E1540" t="s">
        <v>2020</v>
      </c>
      <c r="F1540" t="s">
        <v>2021</v>
      </c>
      <c r="G1540" t="s">
        <v>2022</v>
      </c>
      <c r="H1540" t="s">
        <v>2023</v>
      </c>
      <c r="I1540" t="s">
        <v>3786</v>
      </c>
      <c r="J1540" t="s">
        <v>1963</v>
      </c>
      <c r="K1540" t="s">
        <v>4752</v>
      </c>
      <c r="L1540" t="s">
        <v>2046</v>
      </c>
      <c r="M1540" t="s">
        <v>2026</v>
      </c>
      <c r="N1540" t="s">
        <v>2027</v>
      </c>
      <c r="O1540" t="s">
        <v>3783</v>
      </c>
      <c r="P1540" t="s">
        <v>3784</v>
      </c>
      <c r="Q1540" t="s">
        <v>14</v>
      </c>
      <c r="R1540" t="s">
        <v>14</v>
      </c>
      <c r="S1540" t="s">
        <v>3083</v>
      </c>
      <c r="T1540" t="s">
        <v>3084</v>
      </c>
      <c r="U1540" t="s">
        <v>2030</v>
      </c>
      <c r="V1540" t="s">
        <v>14</v>
      </c>
      <c r="W1540" t="b">
        <v>1</v>
      </c>
      <c r="X1540" t="s">
        <v>4753</v>
      </c>
      <c r="Y1540" t="b">
        <v>0</v>
      </c>
      <c r="Z1540" t="s">
        <v>2081</v>
      </c>
    </row>
    <row r="1541" spans="1:26" x14ac:dyDescent="0.35">
      <c r="A1541" t="s">
        <v>1050</v>
      </c>
      <c r="B1541" t="s">
        <v>1051</v>
      </c>
      <c r="C1541" t="s">
        <v>2967</v>
      </c>
      <c r="D1541" t="s">
        <v>1963</v>
      </c>
      <c r="E1541" t="s">
        <v>2020</v>
      </c>
      <c r="F1541" t="s">
        <v>2021</v>
      </c>
      <c r="G1541" t="s">
        <v>2022</v>
      </c>
      <c r="H1541" t="s">
        <v>2023</v>
      </c>
      <c r="I1541" t="s">
        <v>3786</v>
      </c>
      <c r="J1541" t="s">
        <v>1963</v>
      </c>
      <c r="K1541" t="s">
        <v>4754</v>
      </c>
      <c r="L1541" t="s">
        <v>2046</v>
      </c>
      <c r="M1541" t="s">
        <v>2026</v>
      </c>
      <c r="N1541" t="s">
        <v>2027</v>
      </c>
      <c r="O1541" t="s">
        <v>3783</v>
      </c>
      <c r="P1541" t="s">
        <v>3784</v>
      </c>
      <c r="Q1541" t="s">
        <v>14</v>
      </c>
      <c r="R1541" t="s">
        <v>14</v>
      </c>
      <c r="S1541" t="s">
        <v>3083</v>
      </c>
      <c r="T1541" t="s">
        <v>3084</v>
      </c>
      <c r="U1541" t="s">
        <v>2030</v>
      </c>
      <c r="V1541" t="s">
        <v>14</v>
      </c>
      <c r="W1541" t="b">
        <v>1</v>
      </c>
      <c r="X1541" t="s">
        <v>4755</v>
      </c>
      <c r="Y1541" t="b">
        <v>0</v>
      </c>
      <c r="Z1541" t="s">
        <v>2081</v>
      </c>
    </row>
    <row r="1542" spans="1:26" x14ac:dyDescent="0.35">
      <c r="A1542" t="s">
        <v>1050</v>
      </c>
      <c r="B1542" t="s">
        <v>1051</v>
      </c>
      <c r="C1542" t="s">
        <v>2967</v>
      </c>
      <c r="D1542" t="s">
        <v>1963</v>
      </c>
      <c r="E1542" t="s">
        <v>2020</v>
      </c>
      <c r="F1542" t="s">
        <v>2021</v>
      </c>
      <c r="G1542" t="s">
        <v>2022</v>
      </c>
      <c r="H1542" t="s">
        <v>2023</v>
      </c>
      <c r="I1542" t="s">
        <v>3781</v>
      </c>
      <c r="J1542" t="s">
        <v>1963</v>
      </c>
      <c r="K1542" t="s">
        <v>4754</v>
      </c>
      <c r="L1542" t="s">
        <v>2046</v>
      </c>
      <c r="M1542" t="s">
        <v>2026</v>
      </c>
      <c r="N1542" t="s">
        <v>2027</v>
      </c>
      <c r="O1542" t="s">
        <v>3783</v>
      </c>
      <c r="P1542" t="s">
        <v>3784</v>
      </c>
      <c r="Q1542" t="s">
        <v>14</v>
      </c>
      <c r="R1542" t="s">
        <v>14</v>
      </c>
      <c r="S1542" t="s">
        <v>14</v>
      </c>
      <c r="T1542" t="s">
        <v>14</v>
      </c>
      <c r="U1542" t="s">
        <v>2030</v>
      </c>
      <c r="V1542" t="s">
        <v>14</v>
      </c>
      <c r="W1542" t="b">
        <v>1</v>
      </c>
      <c r="X1542" t="s">
        <v>4755</v>
      </c>
      <c r="Y1542" t="b">
        <v>0</v>
      </c>
      <c r="Z1542" t="s">
        <v>2081</v>
      </c>
    </row>
    <row r="1543" spans="1:26" x14ac:dyDescent="0.35">
      <c r="A1543" t="s">
        <v>1052</v>
      </c>
      <c r="B1543" t="s">
        <v>1053</v>
      </c>
      <c r="C1543" t="s">
        <v>2967</v>
      </c>
      <c r="D1543" t="s">
        <v>1963</v>
      </c>
      <c r="E1543" t="s">
        <v>2020</v>
      </c>
      <c r="F1543" t="s">
        <v>2021</v>
      </c>
      <c r="G1543" t="s">
        <v>2022</v>
      </c>
      <c r="H1543" t="s">
        <v>2023</v>
      </c>
      <c r="I1543" t="s">
        <v>3786</v>
      </c>
      <c r="J1543" t="s">
        <v>1963</v>
      </c>
      <c r="K1543" t="s">
        <v>4756</v>
      </c>
      <c r="L1543" t="s">
        <v>2046</v>
      </c>
      <c r="M1543" t="s">
        <v>2026</v>
      </c>
      <c r="N1543" t="s">
        <v>2027</v>
      </c>
      <c r="O1543" t="s">
        <v>3783</v>
      </c>
      <c r="P1543" t="s">
        <v>3784</v>
      </c>
      <c r="Q1543" t="s">
        <v>14</v>
      </c>
      <c r="R1543" t="s">
        <v>14</v>
      </c>
      <c r="S1543" t="s">
        <v>3083</v>
      </c>
      <c r="T1543" t="s">
        <v>3084</v>
      </c>
      <c r="U1543" t="s">
        <v>2030</v>
      </c>
      <c r="V1543" t="s">
        <v>14</v>
      </c>
      <c r="W1543" t="b">
        <v>1</v>
      </c>
      <c r="X1543" t="s">
        <v>4757</v>
      </c>
      <c r="Y1543" t="b">
        <v>0</v>
      </c>
      <c r="Z1543" t="s">
        <v>2081</v>
      </c>
    </row>
    <row r="1544" spans="1:26" x14ac:dyDescent="0.35">
      <c r="A1544" t="s">
        <v>1052</v>
      </c>
      <c r="B1544" t="s">
        <v>1053</v>
      </c>
      <c r="C1544" t="s">
        <v>2967</v>
      </c>
      <c r="D1544" t="s">
        <v>1963</v>
      </c>
      <c r="E1544" t="s">
        <v>2020</v>
      </c>
      <c r="F1544" t="s">
        <v>2021</v>
      </c>
      <c r="G1544" t="s">
        <v>2022</v>
      </c>
      <c r="H1544" t="s">
        <v>2023</v>
      </c>
      <c r="I1544" t="s">
        <v>3781</v>
      </c>
      <c r="J1544" t="s">
        <v>1963</v>
      </c>
      <c r="K1544" t="s">
        <v>4756</v>
      </c>
      <c r="L1544" t="s">
        <v>2046</v>
      </c>
      <c r="M1544" t="s">
        <v>2026</v>
      </c>
      <c r="N1544" t="s">
        <v>2027</v>
      </c>
      <c r="O1544" t="s">
        <v>3783</v>
      </c>
      <c r="P1544" t="s">
        <v>3784</v>
      </c>
      <c r="Q1544" t="s">
        <v>14</v>
      </c>
      <c r="R1544" t="s">
        <v>14</v>
      </c>
      <c r="S1544" t="s">
        <v>14</v>
      </c>
      <c r="T1544" t="s">
        <v>14</v>
      </c>
      <c r="U1544" t="s">
        <v>2030</v>
      </c>
      <c r="V1544" t="s">
        <v>14</v>
      </c>
      <c r="W1544" t="b">
        <v>1</v>
      </c>
      <c r="X1544" t="s">
        <v>4757</v>
      </c>
      <c r="Y1544" t="b">
        <v>0</v>
      </c>
      <c r="Z1544" t="s">
        <v>2081</v>
      </c>
    </row>
    <row r="1545" spans="1:26" x14ac:dyDescent="0.35">
      <c r="A1545" t="s">
        <v>1054</v>
      </c>
      <c r="B1545" t="s">
        <v>1055</v>
      </c>
      <c r="C1545" t="s">
        <v>2967</v>
      </c>
      <c r="D1545" t="s">
        <v>1963</v>
      </c>
      <c r="E1545" t="s">
        <v>2020</v>
      </c>
      <c r="F1545" t="s">
        <v>2021</v>
      </c>
      <c r="G1545" t="s">
        <v>2022</v>
      </c>
      <c r="H1545" t="s">
        <v>2023</v>
      </c>
      <c r="I1545" t="s">
        <v>3781</v>
      </c>
      <c r="J1545" t="s">
        <v>1963</v>
      </c>
      <c r="K1545" t="s">
        <v>4758</v>
      </c>
      <c r="L1545" t="s">
        <v>2046</v>
      </c>
      <c r="M1545" t="s">
        <v>2026</v>
      </c>
      <c r="N1545" t="s">
        <v>2027</v>
      </c>
      <c r="O1545" t="s">
        <v>3783</v>
      </c>
      <c r="P1545" t="s">
        <v>3784</v>
      </c>
      <c r="Q1545" t="s">
        <v>14</v>
      </c>
      <c r="R1545" t="s">
        <v>14</v>
      </c>
      <c r="S1545" t="s">
        <v>14</v>
      </c>
      <c r="T1545" t="s">
        <v>14</v>
      </c>
      <c r="U1545" t="s">
        <v>2030</v>
      </c>
      <c r="V1545" t="s">
        <v>14</v>
      </c>
      <c r="W1545" t="b">
        <v>1</v>
      </c>
      <c r="X1545" t="s">
        <v>4759</v>
      </c>
      <c r="Y1545" t="b">
        <v>0</v>
      </c>
      <c r="Z1545" t="s">
        <v>2081</v>
      </c>
    </row>
    <row r="1546" spans="1:26" x14ac:dyDescent="0.35">
      <c r="A1546" t="s">
        <v>1054</v>
      </c>
      <c r="B1546" t="s">
        <v>1055</v>
      </c>
      <c r="C1546" t="s">
        <v>2967</v>
      </c>
      <c r="D1546" t="s">
        <v>1963</v>
      </c>
      <c r="E1546" t="s">
        <v>2020</v>
      </c>
      <c r="F1546" t="s">
        <v>2021</v>
      </c>
      <c r="G1546" t="s">
        <v>2022</v>
      </c>
      <c r="H1546" t="s">
        <v>2023</v>
      </c>
      <c r="I1546" t="s">
        <v>3786</v>
      </c>
      <c r="J1546" t="s">
        <v>1963</v>
      </c>
      <c r="K1546" t="s">
        <v>4758</v>
      </c>
      <c r="L1546" t="s">
        <v>2046</v>
      </c>
      <c r="M1546" t="s">
        <v>2026</v>
      </c>
      <c r="N1546" t="s">
        <v>2027</v>
      </c>
      <c r="O1546" t="s">
        <v>3783</v>
      </c>
      <c r="P1546" t="s">
        <v>3784</v>
      </c>
      <c r="Q1546" t="s">
        <v>14</v>
      </c>
      <c r="R1546" t="s">
        <v>14</v>
      </c>
      <c r="S1546" t="s">
        <v>3083</v>
      </c>
      <c r="T1546" t="s">
        <v>3084</v>
      </c>
      <c r="U1546" t="s">
        <v>2030</v>
      </c>
      <c r="V1546" t="s">
        <v>14</v>
      </c>
      <c r="W1546" t="b">
        <v>1</v>
      </c>
      <c r="X1546" t="s">
        <v>4759</v>
      </c>
      <c r="Y1546" t="b">
        <v>0</v>
      </c>
      <c r="Z1546" t="s">
        <v>2081</v>
      </c>
    </row>
    <row r="1547" spans="1:26" x14ac:dyDescent="0.35">
      <c r="A1547" t="s">
        <v>1056</v>
      </c>
      <c r="B1547" t="s">
        <v>1057</v>
      </c>
      <c r="C1547" t="s">
        <v>2967</v>
      </c>
      <c r="D1547" t="s">
        <v>1963</v>
      </c>
      <c r="E1547" t="s">
        <v>2020</v>
      </c>
      <c r="F1547" t="s">
        <v>2021</v>
      </c>
      <c r="G1547" t="s">
        <v>2022</v>
      </c>
      <c r="H1547" t="s">
        <v>2023</v>
      </c>
      <c r="I1547" t="s">
        <v>3786</v>
      </c>
      <c r="J1547" t="s">
        <v>1963</v>
      </c>
      <c r="K1547" t="s">
        <v>4760</v>
      </c>
      <c r="L1547" t="s">
        <v>2046</v>
      </c>
      <c r="M1547" t="s">
        <v>2026</v>
      </c>
      <c r="N1547" t="s">
        <v>2027</v>
      </c>
      <c r="O1547" t="s">
        <v>3783</v>
      </c>
      <c r="P1547" t="s">
        <v>3784</v>
      </c>
      <c r="Q1547" t="s">
        <v>14</v>
      </c>
      <c r="R1547" t="s">
        <v>14</v>
      </c>
      <c r="S1547" t="s">
        <v>3083</v>
      </c>
      <c r="T1547" t="s">
        <v>3084</v>
      </c>
      <c r="U1547" t="s">
        <v>2030</v>
      </c>
      <c r="V1547" t="s">
        <v>14</v>
      </c>
      <c r="W1547" t="b">
        <v>1</v>
      </c>
      <c r="X1547" t="s">
        <v>4761</v>
      </c>
      <c r="Y1547" t="b">
        <v>0</v>
      </c>
      <c r="Z1547" t="s">
        <v>2081</v>
      </c>
    </row>
    <row r="1548" spans="1:26" x14ac:dyDescent="0.35">
      <c r="A1548" t="s">
        <v>1056</v>
      </c>
      <c r="B1548" t="s">
        <v>1057</v>
      </c>
      <c r="C1548" t="s">
        <v>2967</v>
      </c>
      <c r="D1548" t="s">
        <v>1963</v>
      </c>
      <c r="E1548" t="s">
        <v>2020</v>
      </c>
      <c r="F1548" t="s">
        <v>2021</v>
      </c>
      <c r="G1548" t="s">
        <v>2022</v>
      </c>
      <c r="H1548" t="s">
        <v>2023</v>
      </c>
      <c r="I1548" t="s">
        <v>3781</v>
      </c>
      <c r="J1548" t="s">
        <v>1963</v>
      </c>
      <c r="K1548" t="s">
        <v>4760</v>
      </c>
      <c r="L1548" t="s">
        <v>2046</v>
      </c>
      <c r="M1548" t="s">
        <v>2026</v>
      </c>
      <c r="N1548" t="s">
        <v>2027</v>
      </c>
      <c r="O1548" t="s">
        <v>3783</v>
      </c>
      <c r="P1548" t="s">
        <v>3784</v>
      </c>
      <c r="Q1548" t="s">
        <v>14</v>
      </c>
      <c r="R1548" t="s">
        <v>14</v>
      </c>
      <c r="S1548" t="s">
        <v>14</v>
      </c>
      <c r="T1548" t="s">
        <v>14</v>
      </c>
      <c r="U1548" t="s">
        <v>2030</v>
      </c>
      <c r="V1548" t="s">
        <v>14</v>
      </c>
      <c r="W1548" t="b">
        <v>1</v>
      </c>
      <c r="X1548" t="s">
        <v>4761</v>
      </c>
      <c r="Y1548" t="b">
        <v>0</v>
      </c>
      <c r="Z1548" t="s">
        <v>2081</v>
      </c>
    </row>
    <row r="1549" spans="1:26" x14ac:dyDescent="0.35">
      <c r="A1549" t="s">
        <v>1058</v>
      </c>
      <c r="B1549" t="s">
        <v>1059</v>
      </c>
      <c r="C1549" t="s">
        <v>3167</v>
      </c>
      <c r="D1549" t="s">
        <v>1963</v>
      </c>
      <c r="E1549" t="s">
        <v>2020</v>
      </c>
      <c r="F1549" t="s">
        <v>2021</v>
      </c>
      <c r="G1549" t="s">
        <v>2022</v>
      </c>
      <c r="H1549" t="s">
        <v>2023</v>
      </c>
      <c r="I1549" t="s">
        <v>3786</v>
      </c>
      <c r="J1549" t="s">
        <v>1963</v>
      </c>
      <c r="K1549" t="s">
        <v>4762</v>
      </c>
      <c r="L1549" t="s">
        <v>2046</v>
      </c>
      <c r="M1549" t="s">
        <v>2026</v>
      </c>
      <c r="N1549" t="s">
        <v>2027</v>
      </c>
      <c r="O1549" t="s">
        <v>3783</v>
      </c>
      <c r="P1549" t="s">
        <v>3784</v>
      </c>
      <c r="Q1549" t="s">
        <v>14</v>
      </c>
      <c r="R1549" t="s">
        <v>14</v>
      </c>
      <c r="S1549" t="s">
        <v>3083</v>
      </c>
      <c r="T1549" t="s">
        <v>3084</v>
      </c>
      <c r="U1549" t="s">
        <v>2030</v>
      </c>
      <c r="V1549" t="s">
        <v>14</v>
      </c>
      <c r="W1549" t="b">
        <v>1</v>
      </c>
      <c r="X1549" t="s">
        <v>4763</v>
      </c>
      <c r="Y1549" t="b">
        <v>0</v>
      </c>
      <c r="Z1549" t="s">
        <v>2081</v>
      </c>
    </row>
    <row r="1550" spans="1:26" x14ac:dyDescent="0.35">
      <c r="A1550" t="s">
        <v>1058</v>
      </c>
      <c r="B1550" t="s">
        <v>1059</v>
      </c>
      <c r="C1550" t="s">
        <v>3167</v>
      </c>
      <c r="D1550" t="s">
        <v>1963</v>
      </c>
      <c r="E1550" t="s">
        <v>2020</v>
      </c>
      <c r="F1550" t="s">
        <v>2021</v>
      </c>
      <c r="G1550" t="s">
        <v>2022</v>
      </c>
      <c r="H1550" t="s">
        <v>2023</v>
      </c>
      <c r="I1550" t="s">
        <v>3781</v>
      </c>
      <c r="J1550" t="s">
        <v>1963</v>
      </c>
      <c r="K1550" t="s">
        <v>4762</v>
      </c>
      <c r="L1550" t="s">
        <v>2046</v>
      </c>
      <c r="M1550" t="s">
        <v>2026</v>
      </c>
      <c r="N1550" t="s">
        <v>2027</v>
      </c>
      <c r="O1550" t="s">
        <v>3783</v>
      </c>
      <c r="P1550" t="s">
        <v>3784</v>
      </c>
      <c r="Q1550" t="s">
        <v>14</v>
      </c>
      <c r="R1550" t="s">
        <v>14</v>
      </c>
      <c r="S1550" t="s">
        <v>14</v>
      </c>
      <c r="T1550" t="s">
        <v>14</v>
      </c>
      <c r="U1550" t="s">
        <v>2030</v>
      </c>
      <c r="V1550" t="s">
        <v>14</v>
      </c>
      <c r="W1550" t="b">
        <v>1</v>
      </c>
      <c r="X1550" t="s">
        <v>4763</v>
      </c>
      <c r="Y1550" t="b">
        <v>0</v>
      </c>
      <c r="Z1550" t="s">
        <v>2081</v>
      </c>
    </row>
    <row r="1551" spans="1:26" x14ac:dyDescent="0.35">
      <c r="A1551" t="s">
        <v>1060</v>
      </c>
      <c r="B1551" t="s">
        <v>1061</v>
      </c>
      <c r="C1551" t="s">
        <v>3167</v>
      </c>
      <c r="D1551" t="s">
        <v>1963</v>
      </c>
      <c r="E1551" t="s">
        <v>2020</v>
      </c>
      <c r="F1551" t="s">
        <v>2021</v>
      </c>
      <c r="G1551" t="s">
        <v>2022</v>
      </c>
      <c r="H1551" t="s">
        <v>2023</v>
      </c>
      <c r="I1551" t="s">
        <v>3781</v>
      </c>
      <c r="J1551" t="s">
        <v>1963</v>
      </c>
      <c r="K1551" t="s">
        <v>4764</v>
      </c>
      <c r="L1551" t="s">
        <v>2046</v>
      </c>
      <c r="M1551" t="s">
        <v>2026</v>
      </c>
      <c r="N1551" t="s">
        <v>2027</v>
      </c>
      <c r="O1551" t="s">
        <v>3783</v>
      </c>
      <c r="P1551" t="s">
        <v>3784</v>
      </c>
      <c r="Q1551" t="s">
        <v>14</v>
      </c>
      <c r="R1551" t="s">
        <v>14</v>
      </c>
      <c r="S1551" t="s">
        <v>14</v>
      </c>
      <c r="T1551" t="s">
        <v>14</v>
      </c>
      <c r="U1551" t="s">
        <v>2030</v>
      </c>
      <c r="V1551" t="s">
        <v>14</v>
      </c>
      <c r="W1551" t="b">
        <v>1</v>
      </c>
      <c r="X1551" t="s">
        <v>4765</v>
      </c>
      <c r="Y1551" t="b">
        <v>0</v>
      </c>
      <c r="Z1551" t="s">
        <v>2081</v>
      </c>
    </row>
    <row r="1552" spans="1:26" x14ac:dyDescent="0.35">
      <c r="A1552" t="s">
        <v>1060</v>
      </c>
      <c r="B1552" t="s">
        <v>1061</v>
      </c>
      <c r="C1552" t="s">
        <v>3167</v>
      </c>
      <c r="D1552" t="s">
        <v>1963</v>
      </c>
      <c r="E1552" t="s">
        <v>2020</v>
      </c>
      <c r="F1552" t="s">
        <v>2021</v>
      </c>
      <c r="G1552" t="s">
        <v>2022</v>
      </c>
      <c r="H1552" t="s">
        <v>2023</v>
      </c>
      <c r="I1552" t="s">
        <v>3786</v>
      </c>
      <c r="J1552" t="s">
        <v>1963</v>
      </c>
      <c r="K1552" t="s">
        <v>4764</v>
      </c>
      <c r="L1552" t="s">
        <v>2046</v>
      </c>
      <c r="M1552" t="s">
        <v>2026</v>
      </c>
      <c r="N1552" t="s">
        <v>2027</v>
      </c>
      <c r="O1552" t="s">
        <v>3783</v>
      </c>
      <c r="P1552" t="s">
        <v>3784</v>
      </c>
      <c r="Q1552" t="s">
        <v>14</v>
      </c>
      <c r="R1552" t="s">
        <v>14</v>
      </c>
      <c r="S1552" t="s">
        <v>3083</v>
      </c>
      <c r="T1552" t="s">
        <v>3084</v>
      </c>
      <c r="U1552" t="s">
        <v>2030</v>
      </c>
      <c r="V1552" t="s">
        <v>14</v>
      </c>
      <c r="W1552" t="b">
        <v>1</v>
      </c>
      <c r="X1552" t="s">
        <v>4765</v>
      </c>
      <c r="Y1552" t="b">
        <v>0</v>
      </c>
      <c r="Z1552" t="s">
        <v>2081</v>
      </c>
    </row>
    <row r="1553" spans="1:26" x14ac:dyDescent="0.35">
      <c r="A1553" t="s">
        <v>1062</v>
      </c>
      <c r="B1553" t="s">
        <v>1063</v>
      </c>
      <c r="C1553" t="s">
        <v>3167</v>
      </c>
      <c r="D1553" t="s">
        <v>1963</v>
      </c>
      <c r="E1553" t="s">
        <v>2020</v>
      </c>
      <c r="F1553" t="s">
        <v>2021</v>
      </c>
      <c r="G1553" t="s">
        <v>2022</v>
      </c>
      <c r="H1553" t="s">
        <v>2023</v>
      </c>
      <c r="I1553" t="s">
        <v>3786</v>
      </c>
      <c r="J1553" t="s">
        <v>1963</v>
      </c>
      <c r="K1553" t="s">
        <v>4766</v>
      </c>
      <c r="L1553" t="s">
        <v>2046</v>
      </c>
      <c r="M1553" t="s">
        <v>2026</v>
      </c>
      <c r="N1553" t="s">
        <v>2027</v>
      </c>
      <c r="O1553" t="s">
        <v>3783</v>
      </c>
      <c r="P1553" t="s">
        <v>3784</v>
      </c>
      <c r="Q1553" t="s">
        <v>14</v>
      </c>
      <c r="R1553" t="s">
        <v>14</v>
      </c>
      <c r="S1553" t="s">
        <v>3083</v>
      </c>
      <c r="T1553" t="s">
        <v>3084</v>
      </c>
      <c r="U1553" t="s">
        <v>2030</v>
      </c>
      <c r="V1553" t="s">
        <v>14</v>
      </c>
      <c r="W1553" t="b">
        <v>1</v>
      </c>
      <c r="X1553" t="s">
        <v>4767</v>
      </c>
      <c r="Y1553" t="b">
        <v>0</v>
      </c>
      <c r="Z1553" t="s">
        <v>2081</v>
      </c>
    </row>
    <row r="1554" spans="1:26" x14ac:dyDescent="0.35">
      <c r="A1554" t="s">
        <v>1062</v>
      </c>
      <c r="B1554" t="s">
        <v>1063</v>
      </c>
      <c r="C1554" t="s">
        <v>3167</v>
      </c>
      <c r="D1554" t="s">
        <v>1963</v>
      </c>
      <c r="E1554" t="s">
        <v>2020</v>
      </c>
      <c r="F1554" t="s">
        <v>2021</v>
      </c>
      <c r="G1554" t="s">
        <v>2022</v>
      </c>
      <c r="H1554" t="s">
        <v>2023</v>
      </c>
      <c r="I1554" t="s">
        <v>3781</v>
      </c>
      <c r="J1554" t="s">
        <v>1963</v>
      </c>
      <c r="K1554" t="s">
        <v>4766</v>
      </c>
      <c r="L1554" t="s">
        <v>2046</v>
      </c>
      <c r="M1554" t="s">
        <v>2026</v>
      </c>
      <c r="N1554" t="s">
        <v>2027</v>
      </c>
      <c r="O1554" t="s">
        <v>3783</v>
      </c>
      <c r="P1554" t="s">
        <v>3784</v>
      </c>
      <c r="Q1554" t="s">
        <v>14</v>
      </c>
      <c r="R1554" t="s">
        <v>14</v>
      </c>
      <c r="S1554" t="s">
        <v>14</v>
      </c>
      <c r="T1554" t="s">
        <v>14</v>
      </c>
      <c r="U1554" t="s">
        <v>2030</v>
      </c>
      <c r="V1554" t="s">
        <v>14</v>
      </c>
      <c r="W1554" t="b">
        <v>1</v>
      </c>
      <c r="X1554" t="s">
        <v>4767</v>
      </c>
      <c r="Y1554" t="b">
        <v>0</v>
      </c>
      <c r="Z1554" t="s">
        <v>2081</v>
      </c>
    </row>
    <row r="1555" spans="1:26" x14ac:dyDescent="0.35">
      <c r="A1555" t="s">
        <v>1064</v>
      </c>
      <c r="B1555" t="s">
        <v>1065</v>
      </c>
      <c r="C1555" t="s">
        <v>3167</v>
      </c>
      <c r="D1555" t="s">
        <v>1963</v>
      </c>
      <c r="E1555" t="s">
        <v>2020</v>
      </c>
      <c r="F1555" t="s">
        <v>2021</v>
      </c>
      <c r="G1555" t="s">
        <v>2022</v>
      </c>
      <c r="H1555" t="s">
        <v>2023</v>
      </c>
      <c r="I1555" t="s">
        <v>3786</v>
      </c>
      <c r="J1555" t="s">
        <v>1963</v>
      </c>
      <c r="K1555" t="s">
        <v>4768</v>
      </c>
      <c r="L1555" t="s">
        <v>2046</v>
      </c>
      <c r="M1555" t="s">
        <v>2026</v>
      </c>
      <c r="N1555" t="s">
        <v>2027</v>
      </c>
      <c r="O1555" t="s">
        <v>3783</v>
      </c>
      <c r="P1555" t="s">
        <v>3784</v>
      </c>
      <c r="Q1555" t="s">
        <v>14</v>
      </c>
      <c r="R1555" t="s">
        <v>14</v>
      </c>
      <c r="S1555" t="s">
        <v>3083</v>
      </c>
      <c r="T1555" t="s">
        <v>3084</v>
      </c>
      <c r="U1555" t="s">
        <v>2030</v>
      </c>
      <c r="V1555" t="s">
        <v>14</v>
      </c>
      <c r="W1555" t="b">
        <v>1</v>
      </c>
      <c r="X1555" t="s">
        <v>4769</v>
      </c>
      <c r="Y1555" t="b">
        <v>0</v>
      </c>
      <c r="Z1555" t="s">
        <v>2081</v>
      </c>
    </row>
    <row r="1556" spans="1:26" x14ac:dyDescent="0.35">
      <c r="A1556" t="s">
        <v>1064</v>
      </c>
      <c r="B1556" t="s">
        <v>1065</v>
      </c>
      <c r="C1556" t="s">
        <v>3167</v>
      </c>
      <c r="D1556" t="s">
        <v>1963</v>
      </c>
      <c r="E1556" t="s">
        <v>2020</v>
      </c>
      <c r="F1556" t="s">
        <v>2021</v>
      </c>
      <c r="G1556" t="s">
        <v>2022</v>
      </c>
      <c r="H1556" t="s">
        <v>2023</v>
      </c>
      <c r="I1556" t="s">
        <v>3781</v>
      </c>
      <c r="J1556" t="s">
        <v>1963</v>
      </c>
      <c r="K1556" t="s">
        <v>4768</v>
      </c>
      <c r="L1556" t="s">
        <v>2046</v>
      </c>
      <c r="M1556" t="s">
        <v>2026</v>
      </c>
      <c r="N1556" t="s">
        <v>2027</v>
      </c>
      <c r="O1556" t="s">
        <v>3783</v>
      </c>
      <c r="P1556" t="s">
        <v>3784</v>
      </c>
      <c r="Q1556" t="s">
        <v>14</v>
      </c>
      <c r="R1556" t="s">
        <v>14</v>
      </c>
      <c r="S1556" t="s">
        <v>14</v>
      </c>
      <c r="T1556" t="s">
        <v>14</v>
      </c>
      <c r="U1556" t="s">
        <v>2030</v>
      </c>
      <c r="V1556" t="s">
        <v>14</v>
      </c>
      <c r="W1556" t="b">
        <v>1</v>
      </c>
      <c r="X1556" t="s">
        <v>4769</v>
      </c>
      <c r="Y1556" t="b">
        <v>0</v>
      </c>
      <c r="Z1556" t="s">
        <v>2081</v>
      </c>
    </row>
    <row r="1557" spans="1:26" x14ac:dyDescent="0.35">
      <c r="A1557" t="s">
        <v>1066</v>
      </c>
      <c r="B1557" t="s">
        <v>1067</v>
      </c>
      <c r="C1557" t="s">
        <v>3167</v>
      </c>
      <c r="D1557" t="s">
        <v>1963</v>
      </c>
      <c r="E1557" t="s">
        <v>2020</v>
      </c>
      <c r="F1557" t="s">
        <v>2021</v>
      </c>
      <c r="G1557" t="s">
        <v>2022</v>
      </c>
      <c r="H1557" t="s">
        <v>2023</v>
      </c>
      <c r="I1557" t="s">
        <v>3781</v>
      </c>
      <c r="J1557" t="s">
        <v>1963</v>
      </c>
      <c r="K1557" t="s">
        <v>4770</v>
      </c>
      <c r="L1557" t="s">
        <v>2046</v>
      </c>
      <c r="M1557" t="s">
        <v>2026</v>
      </c>
      <c r="N1557" t="s">
        <v>2027</v>
      </c>
      <c r="O1557" t="s">
        <v>3783</v>
      </c>
      <c r="P1557" t="s">
        <v>3784</v>
      </c>
      <c r="Q1557" t="s">
        <v>14</v>
      </c>
      <c r="R1557" t="s">
        <v>14</v>
      </c>
      <c r="S1557" t="s">
        <v>14</v>
      </c>
      <c r="T1557" t="s">
        <v>14</v>
      </c>
      <c r="U1557" t="s">
        <v>2030</v>
      </c>
      <c r="V1557" t="s">
        <v>14</v>
      </c>
      <c r="W1557" t="b">
        <v>1</v>
      </c>
      <c r="X1557" t="s">
        <v>4771</v>
      </c>
      <c r="Y1557" t="b">
        <v>0</v>
      </c>
      <c r="Z1557" t="s">
        <v>2081</v>
      </c>
    </row>
    <row r="1558" spans="1:26" x14ac:dyDescent="0.35">
      <c r="A1558" t="s">
        <v>1066</v>
      </c>
      <c r="B1558" t="s">
        <v>1067</v>
      </c>
      <c r="C1558" t="s">
        <v>3167</v>
      </c>
      <c r="D1558" t="s">
        <v>1963</v>
      </c>
      <c r="E1558" t="s">
        <v>2020</v>
      </c>
      <c r="F1558" t="s">
        <v>2021</v>
      </c>
      <c r="G1558" t="s">
        <v>2022</v>
      </c>
      <c r="H1558" t="s">
        <v>2023</v>
      </c>
      <c r="I1558" t="s">
        <v>3786</v>
      </c>
      <c r="J1558" t="s">
        <v>1963</v>
      </c>
      <c r="K1558" t="s">
        <v>4770</v>
      </c>
      <c r="L1558" t="s">
        <v>2046</v>
      </c>
      <c r="M1558" t="s">
        <v>2026</v>
      </c>
      <c r="N1558" t="s">
        <v>2027</v>
      </c>
      <c r="O1558" t="s">
        <v>3783</v>
      </c>
      <c r="P1558" t="s">
        <v>3784</v>
      </c>
      <c r="Q1558" t="s">
        <v>14</v>
      </c>
      <c r="R1558" t="s">
        <v>14</v>
      </c>
      <c r="S1558" t="s">
        <v>3083</v>
      </c>
      <c r="T1558" t="s">
        <v>3084</v>
      </c>
      <c r="U1558" t="s">
        <v>2030</v>
      </c>
      <c r="V1558" t="s">
        <v>14</v>
      </c>
      <c r="W1558" t="b">
        <v>1</v>
      </c>
      <c r="X1558" t="s">
        <v>4771</v>
      </c>
      <c r="Y1558" t="b">
        <v>0</v>
      </c>
      <c r="Z1558" t="s">
        <v>2081</v>
      </c>
    </row>
    <row r="1559" spans="1:26" x14ac:dyDescent="0.35">
      <c r="A1559" t="s">
        <v>1068</v>
      </c>
      <c r="B1559" t="s">
        <v>1069</v>
      </c>
      <c r="C1559" t="s">
        <v>3167</v>
      </c>
      <c r="D1559" t="s">
        <v>1963</v>
      </c>
      <c r="E1559" t="s">
        <v>2020</v>
      </c>
      <c r="F1559" t="s">
        <v>2021</v>
      </c>
      <c r="G1559" t="s">
        <v>2022</v>
      </c>
      <c r="H1559" t="s">
        <v>2023</v>
      </c>
      <c r="I1559" t="s">
        <v>3786</v>
      </c>
      <c r="J1559" t="s">
        <v>1963</v>
      </c>
      <c r="K1559" t="s">
        <v>4772</v>
      </c>
      <c r="L1559" t="s">
        <v>2046</v>
      </c>
      <c r="M1559" t="s">
        <v>2026</v>
      </c>
      <c r="N1559" t="s">
        <v>2027</v>
      </c>
      <c r="O1559" t="s">
        <v>3783</v>
      </c>
      <c r="P1559" t="s">
        <v>3784</v>
      </c>
      <c r="Q1559" t="s">
        <v>14</v>
      </c>
      <c r="R1559" t="s">
        <v>14</v>
      </c>
      <c r="S1559" t="s">
        <v>3083</v>
      </c>
      <c r="T1559" t="s">
        <v>3084</v>
      </c>
      <c r="U1559" t="s">
        <v>2030</v>
      </c>
      <c r="V1559" t="s">
        <v>14</v>
      </c>
      <c r="W1559" t="b">
        <v>1</v>
      </c>
      <c r="X1559" t="s">
        <v>4773</v>
      </c>
      <c r="Y1559" t="b">
        <v>0</v>
      </c>
      <c r="Z1559" t="s">
        <v>2081</v>
      </c>
    </row>
    <row r="1560" spans="1:26" x14ac:dyDescent="0.35">
      <c r="A1560" t="s">
        <v>1068</v>
      </c>
      <c r="B1560" t="s">
        <v>1069</v>
      </c>
      <c r="C1560" t="s">
        <v>3167</v>
      </c>
      <c r="D1560" t="s">
        <v>1963</v>
      </c>
      <c r="E1560" t="s">
        <v>2020</v>
      </c>
      <c r="F1560" t="s">
        <v>2021</v>
      </c>
      <c r="G1560" t="s">
        <v>2022</v>
      </c>
      <c r="H1560" t="s">
        <v>2023</v>
      </c>
      <c r="I1560" t="s">
        <v>3781</v>
      </c>
      <c r="J1560" t="s">
        <v>1963</v>
      </c>
      <c r="K1560" t="s">
        <v>4772</v>
      </c>
      <c r="L1560" t="s">
        <v>2046</v>
      </c>
      <c r="M1560" t="s">
        <v>2026</v>
      </c>
      <c r="N1560" t="s">
        <v>2027</v>
      </c>
      <c r="O1560" t="s">
        <v>3783</v>
      </c>
      <c r="P1560" t="s">
        <v>3784</v>
      </c>
      <c r="Q1560" t="s">
        <v>14</v>
      </c>
      <c r="R1560" t="s">
        <v>14</v>
      </c>
      <c r="S1560" t="s">
        <v>14</v>
      </c>
      <c r="T1560" t="s">
        <v>14</v>
      </c>
      <c r="U1560" t="s">
        <v>2030</v>
      </c>
      <c r="V1560" t="s">
        <v>14</v>
      </c>
      <c r="W1560" t="b">
        <v>1</v>
      </c>
      <c r="X1560" t="s">
        <v>4773</v>
      </c>
      <c r="Y1560" t="b">
        <v>0</v>
      </c>
      <c r="Z1560" t="s">
        <v>2081</v>
      </c>
    </row>
    <row r="1561" spans="1:26" x14ac:dyDescent="0.35">
      <c r="A1561" t="s">
        <v>1070</v>
      </c>
      <c r="B1561" t="s">
        <v>1071</v>
      </c>
      <c r="C1561" t="s">
        <v>3167</v>
      </c>
      <c r="D1561" t="s">
        <v>1963</v>
      </c>
      <c r="E1561" t="s">
        <v>2020</v>
      </c>
      <c r="F1561" t="s">
        <v>2021</v>
      </c>
      <c r="G1561" t="s">
        <v>2022</v>
      </c>
      <c r="H1561" t="s">
        <v>2023</v>
      </c>
      <c r="I1561" t="s">
        <v>3786</v>
      </c>
      <c r="J1561" t="s">
        <v>1963</v>
      </c>
      <c r="K1561" t="s">
        <v>4774</v>
      </c>
      <c r="L1561" t="s">
        <v>2046</v>
      </c>
      <c r="M1561" t="s">
        <v>2026</v>
      </c>
      <c r="N1561" t="s">
        <v>2027</v>
      </c>
      <c r="O1561" t="s">
        <v>3783</v>
      </c>
      <c r="P1561" t="s">
        <v>3784</v>
      </c>
      <c r="Q1561" t="s">
        <v>14</v>
      </c>
      <c r="R1561" t="s">
        <v>14</v>
      </c>
      <c r="S1561" t="s">
        <v>3083</v>
      </c>
      <c r="T1561" t="s">
        <v>3084</v>
      </c>
      <c r="U1561" t="s">
        <v>2030</v>
      </c>
      <c r="V1561" t="s">
        <v>14</v>
      </c>
      <c r="W1561" t="b">
        <v>1</v>
      </c>
      <c r="X1561" t="s">
        <v>4775</v>
      </c>
      <c r="Y1561" t="b">
        <v>0</v>
      </c>
      <c r="Z1561" t="s">
        <v>2081</v>
      </c>
    </row>
    <row r="1562" spans="1:26" x14ac:dyDescent="0.35">
      <c r="A1562" t="s">
        <v>1070</v>
      </c>
      <c r="B1562" t="s">
        <v>1071</v>
      </c>
      <c r="C1562" t="s">
        <v>3167</v>
      </c>
      <c r="D1562" t="s">
        <v>1963</v>
      </c>
      <c r="E1562" t="s">
        <v>2020</v>
      </c>
      <c r="F1562" t="s">
        <v>2021</v>
      </c>
      <c r="G1562" t="s">
        <v>2022</v>
      </c>
      <c r="H1562" t="s">
        <v>2023</v>
      </c>
      <c r="I1562" t="s">
        <v>3781</v>
      </c>
      <c r="J1562" t="s">
        <v>1963</v>
      </c>
      <c r="K1562" t="s">
        <v>4774</v>
      </c>
      <c r="L1562" t="s">
        <v>2046</v>
      </c>
      <c r="M1562" t="s">
        <v>2026</v>
      </c>
      <c r="N1562" t="s">
        <v>2027</v>
      </c>
      <c r="O1562" t="s">
        <v>3783</v>
      </c>
      <c r="P1562" t="s">
        <v>3784</v>
      </c>
      <c r="Q1562" t="s">
        <v>14</v>
      </c>
      <c r="R1562" t="s">
        <v>14</v>
      </c>
      <c r="S1562" t="s">
        <v>14</v>
      </c>
      <c r="T1562" t="s">
        <v>14</v>
      </c>
      <c r="U1562" t="s">
        <v>2030</v>
      </c>
      <c r="V1562" t="s">
        <v>14</v>
      </c>
      <c r="W1562" t="b">
        <v>1</v>
      </c>
      <c r="X1562" t="s">
        <v>4775</v>
      </c>
      <c r="Y1562" t="b">
        <v>0</v>
      </c>
      <c r="Z1562" t="s">
        <v>2081</v>
      </c>
    </row>
    <row r="1563" spans="1:26" x14ac:dyDescent="0.35">
      <c r="A1563" t="s">
        <v>1072</v>
      </c>
      <c r="B1563" t="s">
        <v>1073</v>
      </c>
      <c r="C1563" t="s">
        <v>2967</v>
      </c>
      <c r="D1563" t="s">
        <v>1963</v>
      </c>
      <c r="E1563" t="s">
        <v>2020</v>
      </c>
      <c r="F1563" t="s">
        <v>2021</v>
      </c>
      <c r="G1563" t="s">
        <v>2022</v>
      </c>
      <c r="H1563" t="s">
        <v>2023</v>
      </c>
      <c r="I1563" t="s">
        <v>4776</v>
      </c>
      <c r="J1563" t="s">
        <v>1963</v>
      </c>
      <c r="K1563" t="s">
        <v>4777</v>
      </c>
      <c r="L1563" t="s">
        <v>2046</v>
      </c>
      <c r="M1563" t="s">
        <v>3483</v>
      </c>
      <c r="N1563" t="s">
        <v>3484</v>
      </c>
      <c r="O1563" t="s">
        <v>2362</v>
      </c>
      <c r="P1563" t="s">
        <v>2363</v>
      </c>
      <c r="Q1563" t="s">
        <v>14</v>
      </c>
      <c r="R1563" t="s">
        <v>14</v>
      </c>
      <c r="S1563" t="s">
        <v>3675</v>
      </c>
      <c r="T1563" t="s">
        <v>3676</v>
      </c>
      <c r="U1563" t="s">
        <v>2171</v>
      </c>
      <c r="V1563" t="s">
        <v>14</v>
      </c>
      <c r="W1563" t="b">
        <v>1</v>
      </c>
      <c r="X1563" t="s">
        <v>4778</v>
      </c>
      <c r="Y1563" t="b">
        <v>0</v>
      </c>
      <c r="Z1563" t="s">
        <v>2032</v>
      </c>
    </row>
    <row r="1564" spans="1:26" x14ac:dyDescent="0.35">
      <c r="A1564" t="s">
        <v>1072</v>
      </c>
      <c r="B1564" t="s">
        <v>1073</v>
      </c>
      <c r="C1564" t="s">
        <v>2967</v>
      </c>
      <c r="D1564" t="s">
        <v>1963</v>
      </c>
      <c r="E1564" t="s">
        <v>2020</v>
      </c>
      <c r="F1564" t="s">
        <v>2021</v>
      </c>
      <c r="G1564" t="s">
        <v>2022</v>
      </c>
      <c r="H1564" t="s">
        <v>2023</v>
      </c>
      <c r="I1564" t="s">
        <v>4779</v>
      </c>
      <c r="J1564" t="s">
        <v>1963</v>
      </c>
      <c r="K1564" t="s">
        <v>4777</v>
      </c>
      <c r="L1564" t="s">
        <v>2046</v>
      </c>
      <c r="M1564" t="s">
        <v>4780</v>
      </c>
      <c r="N1564" t="s">
        <v>4781</v>
      </c>
      <c r="O1564" t="s">
        <v>2214</v>
      </c>
      <c r="P1564" t="s">
        <v>2215</v>
      </c>
      <c r="Q1564" t="s">
        <v>3465</v>
      </c>
      <c r="R1564" t="s">
        <v>14</v>
      </c>
      <c r="S1564" t="s">
        <v>3466</v>
      </c>
      <c r="T1564" t="s">
        <v>3467</v>
      </c>
      <c r="U1564" t="s">
        <v>2052</v>
      </c>
      <c r="V1564" t="s">
        <v>14</v>
      </c>
      <c r="W1564" t="b">
        <v>1</v>
      </c>
      <c r="X1564" t="s">
        <v>4778</v>
      </c>
      <c r="Y1564" t="b">
        <v>0</v>
      </c>
      <c r="Z1564" t="s">
        <v>2053</v>
      </c>
    </row>
    <row r="1565" spans="1:26" x14ac:dyDescent="0.35">
      <c r="A1565" t="s">
        <v>1072</v>
      </c>
      <c r="B1565" t="s">
        <v>1073</v>
      </c>
      <c r="C1565" t="s">
        <v>2967</v>
      </c>
      <c r="D1565" t="s">
        <v>1963</v>
      </c>
      <c r="E1565" t="s">
        <v>2020</v>
      </c>
      <c r="F1565" t="s">
        <v>2021</v>
      </c>
      <c r="G1565" t="s">
        <v>2022</v>
      </c>
      <c r="H1565" t="s">
        <v>2023</v>
      </c>
      <c r="I1565" t="s">
        <v>1416</v>
      </c>
      <c r="J1565" t="s">
        <v>1963</v>
      </c>
      <c r="K1565" t="s">
        <v>4777</v>
      </c>
      <c r="L1565" t="s">
        <v>2046</v>
      </c>
      <c r="M1565" t="s">
        <v>3483</v>
      </c>
      <c r="N1565" t="s">
        <v>3484</v>
      </c>
      <c r="O1565" t="s">
        <v>2362</v>
      </c>
      <c r="P1565" t="s">
        <v>2363</v>
      </c>
      <c r="Q1565" t="s">
        <v>3674</v>
      </c>
      <c r="R1565" t="s">
        <v>14</v>
      </c>
      <c r="S1565" t="s">
        <v>3675</v>
      </c>
      <c r="T1565" t="s">
        <v>3676</v>
      </c>
      <c r="U1565" t="s">
        <v>2171</v>
      </c>
      <c r="V1565" t="s">
        <v>14</v>
      </c>
      <c r="W1565" t="b">
        <v>1</v>
      </c>
      <c r="X1565" t="s">
        <v>4778</v>
      </c>
      <c r="Y1565" t="b">
        <v>1</v>
      </c>
      <c r="Z1565" t="s">
        <v>2032</v>
      </c>
    </row>
    <row r="1566" spans="1:26" x14ac:dyDescent="0.35">
      <c r="A1566" t="s">
        <v>1074</v>
      </c>
      <c r="B1566" t="s">
        <v>1075</v>
      </c>
      <c r="C1566" t="s">
        <v>2967</v>
      </c>
      <c r="D1566" t="s">
        <v>1963</v>
      </c>
      <c r="E1566" t="s">
        <v>2020</v>
      </c>
      <c r="F1566" t="s">
        <v>2021</v>
      </c>
      <c r="G1566" t="s">
        <v>2022</v>
      </c>
      <c r="H1566" t="s">
        <v>2023</v>
      </c>
      <c r="I1566" t="s">
        <v>4776</v>
      </c>
      <c r="J1566" t="s">
        <v>1963</v>
      </c>
      <c r="K1566" t="s">
        <v>4782</v>
      </c>
      <c r="L1566" t="s">
        <v>2046</v>
      </c>
      <c r="M1566" t="s">
        <v>3483</v>
      </c>
      <c r="N1566" t="s">
        <v>3484</v>
      </c>
      <c r="O1566" t="s">
        <v>2362</v>
      </c>
      <c r="P1566" t="s">
        <v>2363</v>
      </c>
      <c r="Q1566" t="s">
        <v>14</v>
      </c>
      <c r="R1566" t="s">
        <v>14</v>
      </c>
      <c r="S1566" t="s">
        <v>3675</v>
      </c>
      <c r="T1566" t="s">
        <v>3676</v>
      </c>
      <c r="U1566" t="s">
        <v>2171</v>
      </c>
      <c r="V1566" t="s">
        <v>14</v>
      </c>
      <c r="W1566" t="b">
        <v>1</v>
      </c>
      <c r="X1566" t="s">
        <v>4783</v>
      </c>
      <c r="Y1566" t="b">
        <v>0</v>
      </c>
      <c r="Z1566" t="s">
        <v>2032</v>
      </c>
    </row>
    <row r="1567" spans="1:26" x14ac:dyDescent="0.35">
      <c r="A1567" t="s">
        <v>1074</v>
      </c>
      <c r="B1567" t="s">
        <v>1075</v>
      </c>
      <c r="C1567" t="s">
        <v>2967</v>
      </c>
      <c r="D1567" t="s">
        <v>1963</v>
      </c>
      <c r="E1567" t="s">
        <v>2020</v>
      </c>
      <c r="F1567" t="s">
        <v>2021</v>
      </c>
      <c r="G1567" t="s">
        <v>2022</v>
      </c>
      <c r="H1567" t="s">
        <v>2023</v>
      </c>
      <c r="I1567" t="s">
        <v>1416</v>
      </c>
      <c r="J1567" t="s">
        <v>1963</v>
      </c>
      <c r="K1567" t="s">
        <v>4782</v>
      </c>
      <c r="L1567" t="s">
        <v>2046</v>
      </c>
      <c r="M1567" t="s">
        <v>3483</v>
      </c>
      <c r="N1567" t="s">
        <v>3484</v>
      </c>
      <c r="O1567" t="s">
        <v>2362</v>
      </c>
      <c r="P1567" t="s">
        <v>2363</v>
      </c>
      <c r="Q1567" t="s">
        <v>3674</v>
      </c>
      <c r="R1567" t="s">
        <v>14</v>
      </c>
      <c r="S1567" t="s">
        <v>3675</v>
      </c>
      <c r="T1567" t="s">
        <v>3676</v>
      </c>
      <c r="U1567" t="s">
        <v>2171</v>
      </c>
      <c r="V1567" t="s">
        <v>14</v>
      </c>
      <c r="W1567" t="b">
        <v>1</v>
      </c>
      <c r="X1567" t="s">
        <v>4783</v>
      </c>
      <c r="Y1567" t="b">
        <v>1</v>
      </c>
      <c r="Z1567" t="s">
        <v>2032</v>
      </c>
    </row>
    <row r="1568" spans="1:26" x14ac:dyDescent="0.35">
      <c r="A1568" t="s">
        <v>1076</v>
      </c>
      <c r="B1568" t="s">
        <v>1077</v>
      </c>
      <c r="C1568" t="s">
        <v>2967</v>
      </c>
      <c r="D1568" t="s">
        <v>1963</v>
      </c>
      <c r="E1568" t="s">
        <v>2020</v>
      </c>
      <c r="F1568" t="s">
        <v>2021</v>
      </c>
      <c r="G1568" t="s">
        <v>2022</v>
      </c>
      <c r="H1568" t="s">
        <v>2023</v>
      </c>
      <c r="I1568" t="s">
        <v>41</v>
      </c>
      <c r="J1568" t="s">
        <v>1963</v>
      </c>
      <c r="K1568" t="s">
        <v>4784</v>
      </c>
      <c r="L1568" t="s">
        <v>2046</v>
      </c>
      <c r="M1568" t="s">
        <v>2338</v>
      </c>
      <c r="N1568" t="s">
        <v>2339</v>
      </c>
      <c r="O1568" t="s">
        <v>2340</v>
      </c>
      <c r="P1568" t="s">
        <v>2341</v>
      </c>
      <c r="Q1568" t="s">
        <v>14</v>
      </c>
      <c r="R1568" t="s">
        <v>14</v>
      </c>
      <c r="S1568" t="s">
        <v>2342</v>
      </c>
      <c r="T1568" t="s">
        <v>2343</v>
      </c>
      <c r="U1568" t="s">
        <v>2171</v>
      </c>
      <c r="V1568" t="s">
        <v>14</v>
      </c>
      <c r="W1568" t="b">
        <v>1</v>
      </c>
      <c r="X1568" t="s">
        <v>4785</v>
      </c>
      <c r="Y1568" t="b">
        <v>0</v>
      </c>
      <c r="Z1568" t="s">
        <v>2032</v>
      </c>
    </row>
    <row r="1569" spans="1:26" x14ac:dyDescent="0.35">
      <c r="A1569" t="s">
        <v>1078</v>
      </c>
      <c r="B1569" t="s">
        <v>1079</v>
      </c>
      <c r="C1569" t="s">
        <v>2967</v>
      </c>
      <c r="D1569" t="s">
        <v>1963</v>
      </c>
      <c r="E1569" t="s">
        <v>2020</v>
      </c>
      <c r="F1569" t="s">
        <v>2021</v>
      </c>
      <c r="G1569" t="s">
        <v>2022</v>
      </c>
      <c r="H1569" t="s">
        <v>2023</v>
      </c>
      <c r="I1569" t="s">
        <v>41</v>
      </c>
      <c r="J1569" t="s">
        <v>1963</v>
      </c>
      <c r="K1569" t="s">
        <v>4786</v>
      </c>
      <c r="L1569" t="s">
        <v>2046</v>
      </c>
      <c r="M1569" t="s">
        <v>2338</v>
      </c>
      <c r="N1569" t="s">
        <v>2339</v>
      </c>
      <c r="O1569" t="s">
        <v>2340</v>
      </c>
      <c r="P1569" t="s">
        <v>2341</v>
      </c>
      <c r="Q1569" t="s">
        <v>14</v>
      </c>
      <c r="R1569" t="s">
        <v>14</v>
      </c>
      <c r="S1569" t="s">
        <v>2342</v>
      </c>
      <c r="T1569" t="s">
        <v>2343</v>
      </c>
      <c r="U1569" t="s">
        <v>2171</v>
      </c>
      <c r="V1569" t="s">
        <v>14</v>
      </c>
      <c r="W1569" t="b">
        <v>1</v>
      </c>
      <c r="X1569" t="s">
        <v>4787</v>
      </c>
      <c r="Y1569" t="b">
        <v>0</v>
      </c>
      <c r="Z1569" t="s">
        <v>2032</v>
      </c>
    </row>
    <row r="1570" spans="1:26" x14ac:dyDescent="0.35">
      <c r="A1570" t="s">
        <v>1080</v>
      </c>
      <c r="B1570" t="s">
        <v>1081</v>
      </c>
      <c r="C1570" t="s">
        <v>2967</v>
      </c>
      <c r="D1570" t="s">
        <v>1963</v>
      </c>
      <c r="E1570" t="s">
        <v>2020</v>
      </c>
      <c r="F1570" t="s">
        <v>2021</v>
      </c>
      <c r="G1570" t="s">
        <v>2022</v>
      </c>
      <c r="H1570" t="s">
        <v>2023</v>
      </c>
      <c r="I1570" t="s">
        <v>41</v>
      </c>
      <c r="J1570" t="s">
        <v>1963</v>
      </c>
      <c r="K1570" t="s">
        <v>4788</v>
      </c>
      <c r="L1570" t="s">
        <v>2046</v>
      </c>
      <c r="M1570" t="s">
        <v>2338</v>
      </c>
      <c r="N1570" t="s">
        <v>2339</v>
      </c>
      <c r="O1570" t="s">
        <v>2340</v>
      </c>
      <c r="P1570" t="s">
        <v>2341</v>
      </c>
      <c r="Q1570" t="s">
        <v>14</v>
      </c>
      <c r="R1570" t="s">
        <v>14</v>
      </c>
      <c r="S1570" t="s">
        <v>2342</v>
      </c>
      <c r="T1570" t="s">
        <v>2343</v>
      </c>
      <c r="U1570" t="s">
        <v>2171</v>
      </c>
      <c r="V1570" t="s">
        <v>14</v>
      </c>
      <c r="W1570" t="b">
        <v>1</v>
      </c>
      <c r="X1570" t="s">
        <v>4789</v>
      </c>
      <c r="Y1570" t="b">
        <v>0</v>
      </c>
      <c r="Z1570" t="s">
        <v>2032</v>
      </c>
    </row>
    <row r="1571" spans="1:26" x14ac:dyDescent="0.35">
      <c r="A1571" t="s">
        <v>1082</v>
      </c>
      <c r="B1571" t="s">
        <v>1083</v>
      </c>
      <c r="C1571" t="s">
        <v>2967</v>
      </c>
      <c r="D1571" t="s">
        <v>1963</v>
      </c>
      <c r="E1571" t="s">
        <v>2020</v>
      </c>
      <c r="F1571" t="s">
        <v>2021</v>
      </c>
      <c r="G1571" t="s">
        <v>2022</v>
      </c>
      <c r="H1571" t="s">
        <v>2023</v>
      </c>
      <c r="I1571" t="s">
        <v>41</v>
      </c>
      <c r="J1571" t="s">
        <v>1963</v>
      </c>
      <c r="K1571" t="s">
        <v>4790</v>
      </c>
      <c r="L1571" t="s">
        <v>2046</v>
      </c>
      <c r="M1571" t="s">
        <v>2338</v>
      </c>
      <c r="N1571" t="s">
        <v>2339</v>
      </c>
      <c r="O1571" t="s">
        <v>2340</v>
      </c>
      <c r="P1571" t="s">
        <v>2341</v>
      </c>
      <c r="Q1571" t="s">
        <v>14</v>
      </c>
      <c r="R1571" t="s">
        <v>14</v>
      </c>
      <c r="S1571" t="s">
        <v>2342</v>
      </c>
      <c r="T1571" t="s">
        <v>2343</v>
      </c>
      <c r="U1571" t="s">
        <v>2171</v>
      </c>
      <c r="V1571" t="s">
        <v>14</v>
      </c>
      <c r="W1571" t="b">
        <v>1</v>
      </c>
      <c r="X1571" t="s">
        <v>4791</v>
      </c>
      <c r="Y1571" t="b">
        <v>0</v>
      </c>
      <c r="Z1571" t="s">
        <v>2032</v>
      </c>
    </row>
    <row r="1572" spans="1:26" x14ac:dyDescent="0.35">
      <c r="A1572" t="s">
        <v>1084</v>
      </c>
      <c r="B1572" t="s">
        <v>1085</v>
      </c>
      <c r="C1572" t="s">
        <v>2967</v>
      </c>
      <c r="D1572" t="s">
        <v>1963</v>
      </c>
      <c r="E1572" t="s">
        <v>2020</v>
      </c>
      <c r="F1572" t="s">
        <v>2021</v>
      </c>
      <c r="G1572" t="s">
        <v>2022</v>
      </c>
      <c r="H1572" t="s">
        <v>2023</v>
      </c>
      <c r="I1572" t="s">
        <v>41</v>
      </c>
      <c r="J1572" t="s">
        <v>1963</v>
      </c>
      <c r="K1572" t="s">
        <v>4792</v>
      </c>
      <c r="L1572" t="s">
        <v>2046</v>
      </c>
      <c r="M1572" t="s">
        <v>2338</v>
      </c>
      <c r="N1572" t="s">
        <v>2339</v>
      </c>
      <c r="O1572" t="s">
        <v>2340</v>
      </c>
      <c r="P1572" t="s">
        <v>2341</v>
      </c>
      <c r="Q1572" t="s">
        <v>14</v>
      </c>
      <c r="R1572" t="s">
        <v>14</v>
      </c>
      <c r="S1572" t="s">
        <v>2342</v>
      </c>
      <c r="T1572" t="s">
        <v>2343</v>
      </c>
      <c r="U1572" t="s">
        <v>2171</v>
      </c>
      <c r="V1572" t="s">
        <v>14</v>
      </c>
      <c r="W1572" t="b">
        <v>1</v>
      </c>
      <c r="X1572" t="s">
        <v>4793</v>
      </c>
      <c r="Y1572" t="b">
        <v>0</v>
      </c>
      <c r="Z1572" t="s">
        <v>2032</v>
      </c>
    </row>
    <row r="1573" spans="1:26" x14ac:dyDescent="0.35">
      <c r="A1573" t="s">
        <v>1086</v>
      </c>
      <c r="B1573" t="s">
        <v>1087</v>
      </c>
      <c r="C1573" t="s">
        <v>3167</v>
      </c>
      <c r="D1573" t="s">
        <v>1963</v>
      </c>
      <c r="E1573" t="s">
        <v>2020</v>
      </c>
      <c r="F1573" t="s">
        <v>2021</v>
      </c>
      <c r="G1573" t="s">
        <v>2022</v>
      </c>
      <c r="H1573" t="s">
        <v>2023</v>
      </c>
      <c r="I1573" t="s">
        <v>1416</v>
      </c>
      <c r="J1573" t="s">
        <v>1963</v>
      </c>
      <c r="K1573" t="s">
        <v>4794</v>
      </c>
      <c r="L1573" t="s">
        <v>2046</v>
      </c>
      <c r="M1573" t="s">
        <v>3483</v>
      </c>
      <c r="N1573" t="s">
        <v>3484</v>
      </c>
      <c r="O1573" t="s">
        <v>2362</v>
      </c>
      <c r="P1573" t="s">
        <v>2363</v>
      </c>
      <c r="Q1573" t="s">
        <v>3674</v>
      </c>
      <c r="R1573" t="s">
        <v>14</v>
      </c>
      <c r="S1573" t="s">
        <v>3675</v>
      </c>
      <c r="T1573" t="s">
        <v>3676</v>
      </c>
      <c r="U1573" t="s">
        <v>2171</v>
      </c>
      <c r="V1573" t="s">
        <v>14</v>
      </c>
      <c r="W1573" t="b">
        <v>1</v>
      </c>
      <c r="X1573" t="s">
        <v>4795</v>
      </c>
      <c r="Y1573" t="b">
        <v>1</v>
      </c>
      <c r="Z1573" t="s">
        <v>2032</v>
      </c>
    </row>
    <row r="1574" spans="1:26" x14ac:dyDescent="0.35">
      <c r="A1574" t="s">
        <v>1086</v>
      </c>
      <c r="B1574" t="s">
        <v>1087</v>
      </c>
      <c r="C1574" t="s">
        <v>3167</v>
      </c>
      <c r="D1574" t="s">
        <v>1963</v>
      </c>
      <c r="E1574" t="s">
        <v>2020</v>
      </c>
      <c r="F1574" t="s">
        <v>2021</v>
      </c>
      <c r="G1574" t="s">
        <v>2022</v>
      </c>
      <c r="H1574" t="s">
        <v>2023</v>
      </c>
      <c r="I1574" t="s">
        <v>4779</v>
      </c>
      <c r="J1574" t="s">
        <v>1963</v>
      </c>
      <c r="K1574" t="s">
        <v>4794</v>
      </c>
      <c r="L1574" t="s">
        <v>2046</v>
      </c>
      <c r="M1574" t="s">
        <v>4780</v>
      </c>
      <c r="N1574" t="s">
        <v>4781</v>
      </c>
      <c r="O1574" t="s">
        <v>2214</v>
      </c>
      <c r="P1574" t="s">
        <v>2215</v>
      </c>
      <c r="Q1574" t="s">
        <v>3465</v>
      </c>
      <c r="R1574" t="s">
        <v>14</v>
      </c>
      <c r="S1574" t="s">
        <v>3466</v>
      </c>
      <c r="T1574" t="s">
        <v>3467</v>
      </c>
      <c r="U1574" t="s">
        <v>2052</v>
      </c>
      <c r="V1574" t="s">
        <v>14</v>
      </c>
      <c r="W1574" t="b">
        <v>1</v>
      </c>
      <c r="X1574" t="s">
        <v>4795</v>
      </c>
      <c r="Y1574" t="b">
        <v>0</v>
      </c>
      <c r="Z1574" t="s">
        <v>2053</v>
      </c>
    </row>
    <row r="1575" spans="1:26" x14ac:dyDescent="0.35">
      <c r="A1575" t="s">
        <v>1088</v>
      </c>
      <c r="B1575" t="s">
        <v>1089</v>
      </c>
      <c r="C1575" t="s">
        <v>3167</v>
      </c>
      <c r="D1575" t="s">
        <v>1963</v>
      </c>
      <c r="E1575" t="s">
        <v>2020</v>
      </c>
      <c r="F1575" t="s">
        <v>2021</v>
      </c>
      <c r="G1575" t="s">
        <v>2022</v>
      </c>
      <c r="H1575" t="s">
        <v>2023</v>
      </c>
      <c r="I1575" t="s">
        <v>1416</v>
      </c>
      <c r="J1575" t="s">
        <v>1963</v>
      </c>
      <c r="K1575" t="s">
        <v>4796</v>
      </c>
      <c r="L1575" t="s">
        <v>2046</v>
      </c>
      <c r="M1575" t="s">
        <v>3483</v>
      </c>
      <c r="N1575" t="s">
        <v>3484</v>
      </c>
      <c r="O1575" t="s">
        <v>2362</v>
      </c>
      <c r="P1575" t="s">
        <v>2363</v>
      </c>
      <c r="Q1575" t="s">
        <v>3674</v>
      </c>
      <c r="R1575" t="s">
        <v>14</v>
      </c>
      <c r="S1575" t="s">
        <v>3675</v>
      </c>
      <c r="T1575" t="s">
        <v>3676</v>
      </c>
      <c r="U1575" t="s">
        <v>2171</v>
      </c>
      <c r="V1575" t="s">
        <v>14</v>
      </c>
      <c r="W1575" t="b">
        <v>1</v>
      </c>
      <c r="X1575" t="s">
        <v>4797</v>
      </c>
      <c r="Y1575" t="b">
        <v>1</v>
      </c>
      <c r="Z1575" t="s">
        <v>2032</v>
      </c>
    </row>
    <row r="1576" spans="1:26" x14ac:dyDescent="0.35">
      <c r="A1576" t="s">
        <v>1090</v>
      </c>
      <c r="B1576" t="s">
        <v>1091</v>
      </c>
      <c r="C1576" t="s">
        <v>3167</v>
      </c>
      <c r="D1576" t="s">
        <v>1963</v>
      </c>
      <c r="E1576" t="s">
        <v>2020</v>
      </c>
      <c r="F1576" t="s">
        <v>2021</v>
      </c>
      <c r="G1576" t="s">
        <v>2022</v>
      </c>
      <c r="H1576" t="s">
        <v>2023</v>
      </c>
      <c r="I1576" t="s">
        <v>911</v>
      </c>
      <c r="J1576" t="s">
        <v>1963</v>
      </c>
      <c r="K1576" t="s">
        <v>4798</v>
      </c>
      <c r="L1576" t="s">
        <v>2046</v>
      </c>
      <c r="M1576" t="s">
        <v>2099</v>
      </c>
      <c r="N1576" t="s">
        <v>2100</v>
      </c>
      <c r="O1576" t="s">
        <v>2214</v>
      </c>
      <c r="P1576" t="s">
        <v>2215</v>
      </c>
      <c r="Q1576" t="s">
        <v>2103</v>
      </c>
      <c r="R1576" t="s">
        <v>14</v>
      </c>
      <c r="S1576" t="s">
        <v>2101</v>
      </c>
      <c r="T1576" t="s">
        <v>2102</v>
      </c>
      <c r="U1576" t="s">
        <v>2052</v>
      </c>
      <c r="V1576" t="s">
        <v>14</v>
      </c>
      <c r="W1576" t="b">
        <v>1</v>
      </c>
      <c r="X1576" t="s">
        <v>4799</v>
      </c>
      <c r="Y1576" t="b">
        <v>0</v>
      </c>
      <c r="Z1576" t="s">
        <v>2053</v>
      </c>
    </row>
    <row r="1577" spans="1:26" x14ac:dyDescent="0.35">
      <c r="A1577" t="s">
        <v>1090</v>
      </c>
      <c r="B1577" t="s">
        <v>1091</v>
      </c>
      <c r="C1577" t="s">
        <v>3167</v>
      </c>
      <c r="D1577" t="s">
        <v>1963</v>
      </c>
      <c r="E1577" t="s">
        <v>2020</v>
      </c>
      <c r="F1577" t="s">
        <v>2021</v>
      </c>
      <c r="G1577" t="s">
        <v>2022</v>
      </c>
      <c r="H1577" t="s">
        <v>2023</v>
      </c>
      <c r="I1577" t="s">
        <v>4800</v>
      </c>
      <c r="J1577" t="s">
        <v>1963</v>
      </c>
      <c r="K1577" t="s">
        <v>4798</v>
      </c>
      <c r="L1577" t="s">
        <v>2046</v>
      </c>
      <c r="M1577" t="s">
        <v>2782</v>
      </c>
      <c r="N1577" t="s">
        <v>2783</v>
      </c>
      <c r="O1577" t="s">
        <v>2101</v>
      </c>
      <c r="P1577" t="s">
        <v>2102</v>
      </c>
      <c r="Q1577" t="s">
        <v>2103</v>
      </c>
      <c r="R1577" t="s">
        <v>14</v>
      </c>
      <c r="S1577" t="s">
        <v>2101</v>
      </c>
      <c r="T1577" t="s">
        <v>2102</v>
      </c>
      <c r="U1577" t="s">
        <v>2052</v>
      </c>
      <c r="V1577" t="s">
        <v>14</v>
      </c>
      <c r="W1577" t="b">
        <v>1</v>
      </c>
      <c r="X1577" t="s">
        <v>4799</v>
      </c>
      <c r="Y1577" t="b">
        <v>0</v>
      </c>
      <c r="Z1577" t="s">
        <v>2053</v>
      </c>
    </row>
    <row r="1578" spans="1:26" x14ac:dyDescent="0.35">
      <c r="A1578" t="s">
        <v>1092</v>
      </c>
      <c r="B1578" t="s">
        <v>1093</v>
      </c>
      <c r="C1578" t="s">
        <v>3167</v>
      </c>
      <c r="D1578" t="s">
        <v>1963</v>
      </c>
      <c r="E1578" t="s">
        <v>2020</v>
      </c>
      <c r="F1578" t="s">
        <v>2021</v>
      </c>
      <c r="G1578" t="s">
        <v>2022</v>
      </c>
      <c r="H1578" t="s">
        <v>2023</v>
      </c>
      <c r="I1578" t="s">
        <v>4800</v>
      </c>
      <c r="J1578" t="s">
        <v>1963</v>
      </c>
      <c r="K1578" t="s">
        <v>4801</v>
      </c>
      <c r="L1578" t="s">
        <v>2046</v>
      </c>
      <c r="M1578" t="s">
        <v>2782</v>
      </c>
      <c r="N1578" t="s">
        <v>2783</v>
      </c>
      <c r="O1578" t="s">
        <v>2101</v>
      </c>
      <c r="P1578" t="s">
        <v>2102</v>
      </c>
      <c r="Q1578" t="s">
        <v>2103</v>
      </c>
      <c r="R1578" t="s">
        <v>14</v>
      </c>
      <c r="S1578" t="s">
        <v>2101</v>
      </c>
      <c r="T1578" t="s">
        <v>2102</v>
      </c>
      <c r="U1578" t="s">
        <v>2052</v>
      </c>
      <c r="V1578" t="s">
        <v>14</v>
      </c>
      <c r="W1578" t="b">
        <v>1</v>
      </c>
      <c r="X1578" t="s">
        <v>4802</v>
      </c>
      <c r="Y1578" t="b">
        <v>0</v>
      </c>
      <c r="Z1578" t="s">
        <v>2053</v>
      </c>
    </row>
    <row r="1579" spans="1:26" x14ac:dyDescent="0.35">
      <c r="A1579" t="s">
        <v>1092</v>
      </c>
      <c r="B1579" t="s">
        <v>1093</v>
      </c>
      <c r="C1579" t="s">
        <v>3167</v>
      </c>
      <c r="D1579" t="s">
        <v>1963</v>
      </c>
      <c r="E1579" t="s">
        <v>2020</v>
      </c>
      <c r="F1579" t="s">
        <v>2021</v>
      </c>
      <c r="G1579" t="s">
        <v>2022</v>
      </c>
      <c r="H1579" t="s">
        <v>2023</v>
      </c>
      <c r="I1579" t="s">
        <v>911</v>
      </c>
      <c r="J1579" t="s">
        <v>1963</v>
      </c>
      <c r="K1579" t="s">
        <v>4801</v>
      </c>
      <c r="L1579" t="s">
        <v>2046</v>
      </c>
      <c r="M1579" t="s">
        <v>2099</v>
      </c>
      <c r="N1579" t="s">
        <v>2100</v>
      </c>
      <c r="O1579" t="s">
        <v>2214</v>
      </c>
      <c r="P1579" t="s">
        <v>2215</v>
      </c>
      <c r="Q1579" t="s">
        <v>2103</v>
      </c>
      <c r="R1579" t="s">
        <v>14</v>
      </c>
      <c r="S1579" t="s">
        <v>2101</v>
      </c>
      <c r="T1579" t="s">
        <v>2102</v>
      </c>
      <c r="U1579" t="s">
        <v>2052</v>
      </c>
      <c r="V1579" t="s">
        <v>14</v>
      </c>
      <c r="W1579" t="b">
        <v>1</v>
      </c>
      <c r="X1579" t="s">
        <v>4802</v>
      </c>
      <c r="Y1579" t="b">
        <v>0</v>
      </c>
      <c r="Z1579" t="s">
        <v>2053</v>
      </c>
    </row>
    <row r="1580" spans="1:26" x14ac:dyDescent="0.35">
      <c r="A1580" t="s">
        <v>1094</v>
      </c>
      <c r="B1580" t="s">
        <v>1095</v>
      </c>
      <c r="C1580" t="s">
        <v>3167</v>
      </c>
      <c r="D1580" t="s">
        <v>1963</v>
      </c>
      <c r="E1580" t="s">
        <v>2020</v>
      </c>
      <c r="F1580" t="s">
        <v>2021</v>
      </c>
      <c r="G1580" t="s">
        <v>2022</v>
      </c>
      <c r="H1580" t="s">
        <v>2023</v>
      </c>
      <c r="I1580" t="s">
        <v>4803</v>
      </c>
      <c r="J1580" t="s">
        <v>1963</v>
      </c>
      <c r="K1580" t="s">
        <v>4804</v>
      </c>
      <c r="L1580" t="s">
        <v>2046</v>
      </c>
      <c r="M1580" t="s">
        <v>2226</v>
      </c>
      <c r="N1580" t="s">
        <v>2227</v>
      </c>
      <c r="O1580" t="s">
        <v>2047</v>
      </c>
      <c r="P1580" t="s">
        <v>2048</v>
      </c>
      <c r="Q1580" t="s">
        <v>4805</v>
      </c>
      <c r="R1580" t="s">
        <v>14</v>
      </c>
      <c r="S1580" t="s">
        <v>3491</v>
      </c>
      <c r="T1580" t="s">
        <v>3492</v>
      </c>
      <c r="U1580" t="s">
        <v>2052</v>
      </c>
      <c r="V1580" t="s">
        <v>14</v>
      </c>
      <c r="W1580" t="b">
        <v>1</v>
      </c>
      <c r="X1580" t="s">
        <v>4806</v>
      </c>
      <c r="Y1580" t="b">
        <v>0</v>
      </c>
      <c r="Z1580" t="s">
        <v>2053</v>
      </c>
    </row>
    <row r="1581" spans="1:26" x14ac:dyDescent="0.35">
      <c r="A1581" t="s">
        <v>1096</v>
      </c>
      <c r="B1581" t="s">
        <v>1097</v>
      </c>
      <c r="C1581" t="s">
        <v>3167</v>
      </c>
      <c r="D1581" t="s">
        <v>1963</v>
      </c>
      <c r="E1581" t="s">
        <v>2020</v>
      </c>
      <c r="F1581" t="s">
        <v>2021</v>
      </c>
      <c r="G1581" t="s">
        <v>2022</v>
      </c>
      <c r="H1581" t="s">
        <v>2023</v>
      </c>
      <c r="I1581" t="s">
        <v>4803</v>
      </c>
      <c r="J1581" t="s">
        <v>1963</v>
      </c>
      <c r="K1581" t="s">
        <v>4807</v>
      </c>
      <c r="L1581" t="s">
        <v>2046</v>
      </c>
      <c r="M1581" t="s">
        <v>2226</v>
      </c>
      <c r="N1581" t="s">
        <v>2227</v>
      </c>
      <c r="O1581" t="s">
        <v>2047</v>
      </c>
      <c r="P1581" t="s">
        <v>2048</v>
      </c>
      <c r="Q1581" t="s">
        <v>4805</v>
      </c>
      <c r="R1581" t="s">
        <v>14</v>
      </c>
      <c r="S1581" t="s">
        <v>3491</v>
      </c>
      <c r="T1581" t="s">
        <v>3492</v>
      </c>
      <c r="U1581" t="s">
        <v>2052</v>
      </c>
      <c r="V1581" t="s">
        <v>14</v>
      </c>
      <c r="W1581" t="b">
        <v>1</v>
      </c>
      <c r="X1581" t="s">
        <v>4808</v>
      </c>
      <c r="Y1581" t="b">
        <v>0</v>
      </c>
      <c r="Z1581" t="s">
        <v>2053</v>
      </c>
    </row>
    <row r="1582" spans="1:26" x14ac:dyDescent="0.35">
      <c r="A1582" t="s">
        <v>1098</v>
      </c>
      <c r="B1582" t="s">
        <v>1099</v>
      </c>
      <c r="C1582" t="s">
        <v>3167</v>
      </c>
      <c r="D1582" t="s">
        <v>1963</v>
      </c>
      <c r="E1582" t="s">
        <v>2020</v>
      </c>
      <c r="F1582" t="s">
        <v>2021</v>
      </c>
      <c r="G1582" t="s">
        <v>2022</v>
      </c>
      <c r="H1582" t="s">
        <v>2023</v>
      </c>
      <c r="I1582" t="s">
        <v>4803</v>
      </c>
      <c r="J1582" t="s">
        <v>1963</v>
      </c>
      <c r="K1582" t="s">
        <v>4809</v>
      </c>
      <c r="L1582" t="s">
        <v>2046</v>
      </c>
      <c r="M1582" t="s">
        <v>2226</v>
      </c>
      <c r="N1582" t="s">
        <v>2227</v>
      </c>
      <c r="O1582" t="s">
        <v>2047</v>
      </c>
      <c r="P1582" t="s">
        <v>2048</v>
      </c>
      <c r="Q1582" t="s">
        <v>4805</v>
      </c>
      <c r="R1582" t="s">
        <v>14</v>
      </c>
      <c r="S1582" t="s">
        <v>3491</v>
      </c>
      <c r="T1582" t="s">
        <v>3492</v>
      </c>
      <c r="U1582" t="s">
        <v>2052</v>
      </c>
      <c r="V1582" t="s">
        <v>14</v>
      </c>
      <c r="W1582" t="b">
        <v>1</v>
      </c>
      <c r="X1582" t="s">
        <v>4810</v>
      </c>
      <c r="Y1582" t="b">
        <v>0</v>
      </c>
      <c r="Z1582" t="s">
        <v>2053</v>
      </c>
    </row>
    <row r="1583" spans="1:26" x14ac:dyDescent="0.35">
      <c r="A1583" t="s">
        <v>1100</v>
      </c>
      <c r="B1583" t="s">
        <v>1101</v>
      </c>
      <c r="C1583" t="s">
        <v>3167</v>
      </c>
      <c r="D1583" t="s">
        <v>1963</v>
      </c>
      <c r="E1583" t="s">
        <v>2020</v>
      </c>
      <c r="F1583" t="s">
        <v>2055</v>
      </c>
      <c r="G1583" t="s">
        <v>2056</v>
      </c>
      <c r="H1583" t="s">
        <v>2023</v>
      </c>
      <c r="I1583" t="s">
        <v>61</v>
      </c>
      <c r="J1583" t="s">
        <v>1963</v>
      </c>
      <c r="K1583" t="s">
        <v>4811</v>
      </c>
      <c r="L1583" t="s">
        <v>2046</v>
      </c>
      <c r="M1583" t="s">
        <v>3463</v>
      </c>
      <c r="N1583" t="s">
        <v>3464</v>
      </c>
      <c r="O1583" t="s">
        <v>2214</v>
      </c>
      <c r="P1583" t="s">
        <v>2215</v>
      </c>
      <c r="Q1583" t="s">
        <v>3465</v>
      </c>
      <c r="R1583" t="s">
        <v>14</v>
      </c>
      <c r="S1583" t="s">
        <v>3466</v>
      </c>
      <c r="T1583" t="s">
        <v>3467</v>
      </c>
      <c r="U1583" t="s">
        <v>2052</v>
      </c>
      <c r="V1583" t="s">
        <v>14</v>
      </c>
      <c r="W1583" t="b">
        <v>1</v>
      </c>
      <c r="X1583" t="s">
        <v>4812</v>
      </c>
      <c r="Y1583" t="b">
        <v>0</v>
      </c>
      <c r="Z1583" t="s">
        <v>2053</v>
      </c>
    </row>
    <row r="1584" spans="1:26" x14ac:dyDescent="0.35">
      <c r="A1584" t="s">
        <v>1102</v>
      </c>
      <c r="B1584" t="s">
        <v>4813</v>
      </c>
      <c r="C1584" t="s">
        <v>2967</v>
      </c>
      <c r="D1584" t="s">
        <v>1963</v>
      </c>
      <c r="E1584" t="s">
        <v>2020</v>
      </c>
      <c r="F1584" t="s">
        <v>2055</v>
      </c>
      <c r="G1584" t="s">
        <v>2056</v>
      </c>
      <c r="H1584" t="s">
        <v>2023</v>
      </c>
      <c r="I1584" t="s">
        <v>4814</v>
      </c>
      <c r="J1584" t="s">
        <v>1963</v>
      </c>
      <c r="K1584" t="s">
        <v>4815</v>
      </c>
      <c r="L1584" t="s">
        <v>2046</v>
      </c>
      <c r="M1584" t="s">
        <v>3929</v>
      </c>
      <c r="N1584" t="s">
        <v>3930</v>
      </c>
      <c r="O1584" t="s">
        <v>2401</v>
      </c>
      <c r="P1584" t="s">
        <v>2402</v>
      </c>
      <c r="Q1584" t="s">
        <v>14</v>
      </c>
      <c r="R1584" t="s">
        <v>14</v>
      </c>
      <c r="S1584" t="s">
        <v>14</v>
      </c>
      <c r="T1584" t="s">
        <v>14</v>
      </c>
      <c r="U1584" t="s">
        <v>3357</v>
      </c>
      <c r="V1584" t="s">
        <v>14</v>
      </c>
      <c r="W1584" t="b">
        <v>1</v>
      </c>
      <c r="X1584" t="s">
        <v>4816</v>
      </c>
      <c r="Y1584" t="b">
        <v>0</v>
      </c>
      <c r="Z1584" t="s">
        <v>2081</v>
      </c>
    </row>
    <row r="1585" spans="1:26" x14ac:dyDescent="0.35">
      <c r="A1585" t="s">
        <v>1103</v>
      </c>
      <c r="B1585" t="s">
        <v>1104</v>
      </c>
      <c r="C1585" t="s">
        <v>2967</v>
      </c>
      <c r="D1585" t="s">
        <v>1963</v>
      </c>
      <c r="E1585" t="s">
        <v>2020</v>
      </c>
      <c r="F1585" t="s">
        <v>2055</v>
      </c>
      <c r="G1585" t="s">
        <v>2056</v>
      </c>
      <c r="H1585" t="s">
        <v>2023</v>
      </c>
      <c r="I1585" t="s">
        <v>61</v>
      </c>
      <c r="J1585" t="s">
        <v>1963</v>
      </c>
      <c r="K1585" t="s">
        <v>4817</v>
      </c>
      <c r="L1585" t="s">
        <v>2046</v>
      </c>
      <c r="M1585" t="s">
        <v>3463</v>
      </c>
      <c r="N1585" t="s">
        <v>3464</v>
      </c>
      <c r="O1585" t="s">
        <v>2214</v>
      </c>
      <c r="P1585" t="s">
        <v>2215</v>
      </c>
      <c r="Q1585" t="s">
        <v>3465</v>
      </c>
      <c r="R1585" t="s">
        <v>14</v>
      </c>
      <c r="S1585" t="s">
        <v>3466</v>
      </c>
      <c r="T1585" t="s">
        <v>3467</v>
      </c>
      <c r="U1585" t="s">
        <v>2052</v>
      </c>
      <c r="V1585" t="s">
        <v>14</v>
      </c>
      <c r="W1585" t="b">
        <v>1</v>
      </c>
      <c r="X1585" t="s">
        <v>4818</v>
      </c>
      <c r="Y1585" t="b">
        <v>0</v>
      </c>
      <c r="Z1585" t="s">
        <v>2053</v>
      </c>
    </row>
    <row r="1586" spans="1:26" x14ac:dyDescent="0.35">
      <c r="A1586" t="s">
        <v>1105</v>
      </c>
      <c r="B1586" t="s">
        <v>1106</v>
      </c>
      <c r="C1586" t="s">
        <v>2967</v>
      </c>
      <c r="D1586" t="s">
        <v>1963</v>
      </c>
      <c r="E1586" t="s">
        <v>2020</v>
      </c>
      <c r="F1586" t="s">
        <v>2055</v>
      </c>
      <c r="G1586" t="s">
        <v>2056</v>
      </c>
      <c r="H1586" t="s">
        <v>2023</v>
      </c>
      <c r="I1586" t="s">
        <v>61</v>
      </c>
      <c r="J1586" t="s">
        <v>1963</v>
      </c>
      <c r="K1586" t="s">
        <v>4819</v>
      </c>
      <c r="L1586" t="s">
        <v>2046</v>
      </c>
      <c r="M1586" t="s">
        <v>3463</v>
      </c>
      <c r="N1586" t="s">
        <v>3464</v>
      </c>
      <c r="O1586" t="s">
        <v>2214</v>
      </c>
      <c r="P1586" t="s">
        <v>2215</v>
      </c>
      <c r="Q1586" t="s">
        <v>3465</v>
      </c>
      <c r="R1586" t="s">
        <v>14</v>
      </c>
      <c r="S1586" t="s">
        <v>3466</v>
      </c>
      <c r="T1586" t="s">
        <v>3467</v>
      </c>
      <c r="U1586" t="s">
        <v>2052</v>
      </c>
      <c r="V1586" t="s">
        <v>14</v>
      </c>
      <c r="W1586" t="b">
        <v>1</v>
      </c>
      <c r="X1586" t="s">
        <v>4820</v>
      </c>
      <c r="Y1586" t="b">
        <v>0</v>
      </c>
      <c r="Z1586" t="s">
        <v>2053</v>
      </c>
    </row>
    <row r="1587" spans="1:26" x14ac:dyDescent="0.35">
      <c r="A1587" t="s">
        <v>1107</v>
      </c>
      <c r="B1587" t="s">
        <v>1108</v>
      </c>
      <c r="C1587" t="s">
        <v>2967</v>
      </c>
      <c r="D1587" t="s">
        <v>1963</v>
      </c>
      <c r="E1587" t="s">
        <v>2020</v>
      </c>
      <c r="F1587" t="s">
        <v>2055</v>
      </c>
      <c r="G1587" t="s">
        <v>2056</v>
      </c>
      <c r="H1587" t="s">
        <v>2023</v>
      </c>
      <c r="I1587" t="s">
        <v>61</v>
      </c>
      <c r="J1587" t="s">
        <v>1963</v>
      </c>
      <c r="K1587" t="s">
        <v>4821</v>
      </c>
      <c r="L1587" t="s">
        <v>2046</v>
      </c>
      <c r="M1587" t="s">
        <v>3463</v>
      </c>
      <c r="N1587" t="s">
        <v>3464</v>
      </c>
      <c r="O1587" t="s">
        <v>2214</v>
      </c>
      <c r="P1587" t="s">
        <v>2215</v>
      </c>
      <c r="Q1587" t="s">
        <v>3465</v>
      </c>
      <c r="R1587" t="s">
        <v>14</v>
      </c>
      <c r="S1587" t="s">
        <v>3466</v>
      </c>
      <c r="T1587" t="s">
        <v>3467</v>
      </c>
      <c r="U1587" t="s">
        <v>2052</v>
      </c>
      <c r="V1587" t="s">
        <v>14</v>
      </c>
      <c r="W1587" t="b">
        <v>1</v>
      </c>
      <c r="X1587" t="s">
        <v>4822</v>
      </c>
      <c r="Y1587" t="b">
        <v>0</v>
      </c>
      <c r="Z1587" t="s">
        <v>2053</v>
      </c>
    </row>
    <row r="1588" spans="1:26" x14ac:dyDescent="0.35">
      <c r="A1588" t="s">
        <v>1109</v>
      </c>
      <c r="B1588" t="s">
        <v>1110</v>
      </c>
      <c r="C1588" t="s">
        <v>2967</v>
      </c>
      <c r="D1588" t="s">
        <v>1963</v>
      </c>
      <c r="E1588" t="s">
        <v>2020</v>
      </c>
      <c r="F1588" t="s">
        <v>2055</v>
      </c>
      <c r="G1588" t="s">
        <v>2056</v>
      </c>
      <c r="H1588" t="s">
        <v>2023</v>
      </c>
      <c r="I1588" t="s">
        <v>61</v>
      </c>
      <c r="J1588" t="s">
        <v>1963</v>
      </c>
      <c r="K1588" t="s">
        <v>4823</v>
      </c>
      <c r="L1588" t="s">
        <v>2046</v>
      </c>
      <c r="M1588" t="s">
        <v>3463</v>
      </c>
      <c r="N1588" t="s">
        <v>3464</v>
      </c>
      <c r="O1588" t="s">
        <v>2214</v>
      </c>
      <c r="P1588" t="s">
        <v>2215</v>
      </c>
      <c r="Q1588" t="s">
        <v>3465</v>
      </c>
      <c r="R1588" t="s">
        <v>14</v>
      </c>
      <c r="S1588" t="s">
        <v>3466</v>
      </c>
      <c r="T1588" t="s">
        <v>3467</v>
      </c>
      <c r="U1588" t="s">
        <v>2052</v>
      </c>
      <c r="V1588" t="s">
        <v>14</v>
      </c>
      <c r="W1588" t="b">
        <v>1</v>
      </c>
      <c r="X1588" t="s">
        <v>4824</v>
      </c>
      <c r="Y1588" t="b">
        <v>0</v>
      </c>
      <c r="Z1588" t="s">
        <v>2053</v>
      </c>
    </row>
    <row r="1589" spans="1:26" x14ac:dyDescent="0.35">
      <c r="A1589" t="s">
        <v>1111</v>
      </c>
      <c r="B1589" t="s">
        <v>1112</v>
      </c>
      <c r="C1589" t="s">
        <v>2967</v>
      </c>
      <c r="D1589" t="s">
        <v>1963</v>
      </c>
      <c r="E1589" t="s">
        <v>2020</v>
      </c>
      <c r="F1589" t="s">
        <v>2055</v>
      </c>
      <c r="G1589" t="s">
        <v>2056</v>
      </c>
      <c r="H1589" t="s">
        <v>2023</v>
      </c>
      <c r="I1589" t="s">
        <v>61</v>
      </c>
      <c r="J1589" t="s">
        <v>1963</v>
      </c>
      <c r="K1589" t="s">
        <v>4825</v>
      </c>
      <c r="L1589" t="s">
        <v>2046</v>
      </c>
      <c r="M1589" t="s">
        <v>3463</v>
      </c>
      <c r="N1589" t="s">
        <v>3464</v>
      </c>
      <c r="O1589" t="s">
        <v>2214</v>
      </c>
      <c r="P1589" t="s">
        <v>2215</v>
      </c>
      <c r="Q1589" t="s">
        <v>3465</v>
      </c>
      <c r="R1589" t="s">
        <v>14</v>
      </c>
      <c r="S1589" t="s">
        <v>3466</v>
      </c>
      <c r="T1589" t="s">
        <v>3467</v>
      </c>
      <c r="U1589" t="s">
        <v>2052</v>
      </c>
      <c r="V1589" t="s">
        <v>14</v>
      </c>
      <c r="W1589" t="b">
        <v>1</v>
      </c>
      <c r="X1589" t="s">
        <v>4826</v>
      </c>
      <c r="Y1589" t="b">
        <v>0</v>
      </c>
      <c r="Z1589" t="s">
        <v>2053</v>
      </c>
    </row>
    <row r="1590" spans="1:26" x14ac:dyDescent="0.35">
      <c r="A1590" t="s">
        <v>1113</v>
      </c>
      <c r="B1590" t="s">
        <v>1114</v>
      </c>
      <c r="C1590" t="s">
        <v>2967</v>
      </c>
      <c r="D1590" t="s">
        <v>1963</v>
      </c>
      <c r="E1590" t="s">
        <v>2020</v>
      </c>
      <c r="F1590" t="s">
        <v>2055</v>
      </c>
      <c r="G1590" t="s">
        <v>2056</v>
      </c>
      <c r="H1590" t="s">
        <v>2023</v>
      </c>
      <c r="I1590" t="s">
        <v>61</v>
      </c>
      <c r="J1590" t="s">
        <v>1963</v>
      </c>
      <c r="K1590" t="s">
        <v>4827</v>
      </c>
      <c r="L1590" t="s">
        <v>2046</v>
      </c>
      <c r="M1590" t="s">
        <v>3463</v>
      </c>
      <c r="N1590" t="s">
        <v>3464</v>
      </c>
      <c r="O1590" t="s">
        <v>2214</v>
      </c>
      <c r="P1590" t="s">
        <v>2215</v>
      </c>
      <c r="Q1590" t="s">
        <v>3465</v>
      </c>
      <c r="R1590" t="s">
        <v>14</v>
      </c>
      <c r="S1590" t="s">
        <v>3466</v>
      </c>
      <c r="T1590" t="s">
        <v>3467</v>
      </c>
      <c r="U1590" t="s">
        <v>2052</v>
      </c>
      <c r="V1590" t="s">
        <v>14</v>
      </c>
      <c r="W1590" t="b">
        <v>1</v>
      </c>
      <c r="X1590" t="s">
        <v>4828</v>
      </c>
      <c r="Y1590" t="b">
        <v>0</v>
      </c>
      <c r="Z1590" t="s">
        <v>2053</v>
      </c>
    </row>
    <row r="1591" spans="1:26" x14ac:dyDescent="0.35">
      <c r="A1591" t="s">
        <v>1115</v>
      </c>
      <c r="B1591" t="s">
        <v>1116</v>
      </c>
      <c r="C1591" t="s">
        <v>2967</v>
      </c>
      <c r="D1591" t="s">
        <v>1963</v>
      </c>
      <c r="E1591" t="s">
        <v>2020</v>
      </c>
      <c r="F1591" t="s">
        <v>2055</v>
      </c>
      <c r="G1591" t="s">
        <v>2056</v>
      </c>
      <c r="H1591" t="s">
        <v>2023</v>
      </c>
      <c r="I1591" t="s">
        <v>61</v>
      </c>
      <c r="J1591" t="s">
        <v>1963</v>
      </c>
      <c r="K1591" t="s">
        <v>4829</v>
      </c>
      <c r="L1591" t="s">
        <v>2046</v>
      </c>
      <c r="M1591" t="s">
        <v>3463</v>
      </c>
      <c r="N1591" t="s">
        <v>3464</v>
      </c>
      <c r="O1591" t="s">
        <v>2214</v>
      </c>
      <c r="P1591" t="s">
        <v>2215</v>
      </c>
      <c r="Q1591" t="s">
        <v>3465</v>
      </c>
      <c r="R1591" t="s">
        <v>14</v>
      </c>
      <c r="S1591" t="s">
        <v>3466</v>
      </c>
      <c r="T1591" t="s">
        <v>3467</v>
      </c>
      <c r="U1591" t="s">
        <v>2052</v>
      </c>
      <c r="V1591" t="s">
        <v>14</v>
      </c>
      <c r="W1591" t="b">
        <v>1</v>
      </c>
      <c r="X1591" t="s">
        <v>4830</v>
      </c>
      <c r="Y1591" t="b">
        <v>0</v>
      </c>
      <c r="Z1591" t="s">
        <v>2053</v>
      </c>
    </row>
    <row r="1592" spans="1:26" x14ac:dyDescent="0.35">
      <c r="A1592" t="s">
        <v>1117</v>
      </c>
      <c r="B1592" t="s">
        <v>1118</v>
      </c>
      <c r="C1592" t="s">
        <v>2967</v>
      </c>
      <c r="D1592" t="s">
        <v>1963</v>
      </c>
      <c r="E1592" t="s">
        <v>2020</v>
      </c>
      <c r="F1592" t="s">
        <v>2055</v>
      </c>
      <c r="G1592" t="s">
        <v>2056</v>
      </c>
      <c r="H1592" t="s">
        <v>2023</v>
      </c>
      <c r="I1592" t="s">
        <v>61</v>
      </c>
      <c r="J1592" t="s">
        <v>1963</v>
      </c>
      <c r="K1592" t="s">
        <v>4831</v>
      </c>
      <c r="L1592" t="s">
        <v>2046</v>
      </c>
      <c r="M1592" t="s">
        <v>3463</v>
      </c>
      <c r="N1592" t="s">
        <v>3464</v>
      </c>
      <c r="O1592" t="s">
        <v>2214</v>
      </c>
      <c r="P1592" t="s">
        <v>2215</v>
      </c>
      <c r="Q1592" t="s">
        <v>3465</v>
      </c>
      <c r="R1592" t="s">
        <v>14</v>
      </c>
      <c r="S1592" t="s">
        <v>3466</v>
      </c>
      <c r="T1592" t="s">
        <v>3467</v>
      </c>
      <c r="U1592" t="s">
        <v>2052</v>
      </c>
      <c r="V1592" t="s">
        <v>14</v>
      </c>
      <c r="W1592" t="b">
        <v>1</v>
      </c>
      <c r="X1592" t="s">
        <v>4832</v>
      </c>
      <c r="Y1592" t="b">
        <v>0</v>
      </c>
      <c r="Z1592" t="s">
        <v>2053</v>
      </c>
    </row>
    <row r="1593" spans="1:26" x14ac:dyDescent="0.35">
      <c r="A1593" t="s">
        <v>1119</v>
      </c>
      <c r="B1593" t="s">
        <v>1120</v>
      </c>
      <c r="C1593" t="s">
        <v>2967</v>
      </c>
      <c r="D1593" t="s">
        <v>1963</v>
      </c>
      <c r="E1593" t="s">
        <v>2020</v>
      </c>
      <c r="F1593" t="s">
        <v>2055</v>
      </c>
      <c r="G1593" t="s">
        <v>2056</v>
      </c>
      <c r="H1593" t="s">
        <v>2023</v>
      </c>
      <c r="I1593" t="s">
        <v>61</v>
      </c>
      <c r="J1593" t="s">
        <v>1963</v>
      </c>
      <c r="K1593" t="s">
        <v>4833</v>
      </c>
      <c r="L1593" t="s">
        <v>2046</v>
      </c>
      <c r="M1593" t="s">
        <v>3463</v>
      </c>
      <c r="N1593" t="s">
        <v>3464</v>
      </c>
      <c r="O1593" t="s">
        <v>2214</v>
      </c>
      <c r="P1593" t="s">
        <v>2215</v>
      </c>
      <c r="Q1593" t="s">
        <v>3465</v>
      </c>
      <c r="R1593" t="s">
        <v>14</v>
      </c>
      <c r="S1593" t="s">
        <v>3466</v>
      </c>
      <c r="T1593" t="s">
        <v>3467</v>
      </c>
      <c r="U1593" t="s">
        <v>2052</v>
      </c>
      <c r="V1593" t="s">
        <v>14</v>
      </c>
      <c r="W1593" t="b">
        <v>1</v>
      </c>
      <c r="X1593" t="s">
        <v>4834</v>
      </c>
      <c r="Y1593" t="b">
        <v>0</v>
      </c>
      <c r="Z1593" t="s">
        <v>2053</v>
      </c>
    </row>
    <row r="1594" spans="1:26" x14ac:dyDescent="0.35">
      <c r="A1594" t="s">
        <v>1121</v>
      </c>
      <c r="B1594" t="s">
        <v>1122</v>
      </c>
      <c r="C1594" t="s">
        <v>2967</v>
      </c>
      <c r="D1594" t="s">
        <v>1963</v>
      </c>
      <c r="E1594" t="s">
        <v>2020</v>
      </c>
      <c r="F1594" t="s">
        <v>2055</v>
      </c>
      <c r="G1594" t="s">
        <v>2056</v>
      </c>
      <c r="H1594" t="s">
        <v>2023</v>
      </c>
      <c r="I1594" t="s">
        <v>61</v>
      </c>
      <c r="J1594" t="s">
        <v>1963</v>
      </c>
      <c r="K1594" t="s">
        <v>4835</v>
      </c>
      <c r="L1594" t="s">
        <v>2046</v>
      </c>
      <c r="M1594" t="s">
        <v>3463</v>
      </c>
      <c r="N1594" t="s">
        <v>3464</v>
      </c>
      <c r="O1594" t="s">
        <v>2214</v>
      </c>
      <c r="P1594" t="s">
        <v>2215</v>
      </c>
      <c r="Q1594" t="s">
        <v>3465</v>
      </c>
      <c r="R1594" t="s">
        <v>14</v>
      </c>
      <c r="S1594" t="s">
        <v>3466</v>
      </c>
      <c r="T1594" t="s">
        <v>3467</v>
      </c>
      <c r="U1594" t="s">
        <v>2052</v>
      </c>
      <c r="V1594" t="s">
        <v>14</v>
      </c>
      <c r="W1594" t="b">
        <v>1</v>
      </c>
      <c r="X1594" t="s">
        <v>4836</v>
      </c>
      <c r="Y1594" t="b">
        <v>0</v>
      </c>
      <c r="Z1594" t="s">
        <v>2053</v>
      </c>
    </row>
    <row r="1595" spans="1:26" x14ac:dyDescent="0.35">
      <c r="A1595" t="s">
        <v>1123</v>
      </c>
      <c r="B1595" t="s">
        <v>1124</v>
      </c>
      <c r="C1595" t="s">
        <v>2967</v>
      </c>
      <c r="D1595" t="s">
        <v>1963</v>
      </c>
      <c r="E1595" t="s">
        <v>2020</v>
      </c>
      <c r="F1595" t="s">
        <v>2055</v>
      </c>
      <c r="G1595" t="s">
        <v>2056</v>
      </c>
      <c r="H1595" t="s">
        <v>2023</v>
      </c>
      <c r="I1595" t="s">
        <v>3781</v>
      </c>
      <c r="J1595" t="s">
        <v>1963</v>
      </c>
      <c r="K1595" t="s">
        <v>4837</v>
      </c>
      <c r="L1595" t="s">
        <v>2046</v>
      </c>
      <c r="M1595" t="s">
        <v>2026</v>
      </c>
      <c r="N1595" t="s">
        <v>2027</v>
      </c>
      <c r="O1595" t="s">
        <v>3783</v>
      </c>
      <c r="P1595" t="s">
        <v>3784</v>
      </c>
      <c r="Q1595" t="s">
        <v>14</v>
      </c>
      <c r="R1595" t="s">
        <v>14</v>
      </c>
      <c r="S1595" t="s">
        <v>14</v>
      </c>
      <c r="T1595" t="s">
        <v>14</v>
      </c>
      <c r="U1595" t="s">
        <v>2030</v>
      </c>
      <c r="V1595" t="s">
        <v>14</v>
      </c>
      <c r="W1595" t="b">
        <v>1</v>
      </c>
      <c r="X1595" t="s">
        <v>4838</v>
      </c>
      <c r="Y1595" t="b">
        <v>0</v>
      </c>
      <c r="Z1595" t="s">
        <v>2081</v>
      </c>
    </row>
    <row r="1596" spans="1:26" x14ac:dyDescent="0.35">
      <c r="A1596" t="s">
        <v>1123</v>
      </c>
      <c r="B1596" t="s">
        <v>1124</v>
      </c>
      <c r="C1596" t="s">
        <v>2967</v>
      </c>
      <c r="D1596" t="s">
        <v>1963</v>
      </c>
      <c r="E1596" t="s">
        <v>2020</v>
      </c>
      <c r="F1596" t="s">
        <v>2055</v>
      </c>
      <c r="G1596" t="s">
        <v>2056</v>
      </c>
      <c r="H1596" t="s">
        <v>2023</v>
      </c>
      <c r="I1596" t="s">
        <v>3786</v>
      </c>
      <c r="J1596" t="s">
        <v>1963</v>
      </c>
      <c r="K1596" t="s">
        <v>4837</v>
      </c>
      <c r="L1596" t="s">
        <v>2046</v>
      </c>
      <c r="M1596" t="s">
        <v>2026</v>
      </c>
      <c r="N1596" t="s">
        <v>2027</v>
      </c>
      <c r="O1596" t="s">
        <v>3783</v>
      </c>
      <c r="P1596" t="s">
        <v>3784</v>
      </c>
      <c r="Q1596" t="s">
        <v>14</v>
      </c>
      <c r="R1596" t="s">
        <v>14</v>
      </c>
      <c r="S1596" t="s">
        <v>3083</v>
      </c>
      <c r="T1596" t="s">
        <v>3084</v>
      </c>
      <c r="U1596" t="s">
        <v>2030</v>
      </c>
      <c r="V1596" t="s">
        <v>14</v>
      </c>
      <c r="W1596" t="b">
        <v>1</v>
      </c>
      <c r="X1596" t="s">
        <v>4838</v>
      </c>
      <c r="Y1596" t="b">
        <v>0</v>
      </c>
      <c r="Z1596" t="s">
        <v>2081</v>
      </c>
    </row>
    <row r="1597" spans="1:26" x14ac:dyDescent="0.35">
      <c r="A1597" t="s">
        <v>1125</v>
      </c>
      <c r="B1597" t="s">
        <v>1126</v>
      </c>
      <c r="C1597" t="s">
        <v>2967</v>
      </c>
      <c r="D1597" t="s">
        <v>1963</v>
      </c>
      <c r="E1597" t="s">
        <v>2020</v>
      </c>
      <c r="F1597" t="s">
        <v>2055</v>
      </c>
      <c r="G1597" t="s">
        <v>2056</v>
      </c>
      <c r="H1597" t="s">
        <v>2023</v>
      </c>
      <c r="I1597" t="s">
        <v>4839</v>
      </c>
      <c r="J1597" t="s">
        <v>1963</v>
      </c>
      <c r="K1597" t="s">
        <v>4840</v>
      </c>
      <c r="L1597" t="s">
        <v>2046</v>
      </c>
      <c r="M1597" t="s">
        <v>4841</v>
      </c>
      <c r="N1597" t="s">
        <v>4842</v>
      </c>
      <c r="O1597" t="s">
        <v>3035</v>
      </c>
      <c r="P1597" t="s">
        <v>3036</v>
      </c>
      <c r="Q1597" t="s">
        <v>3797</v>
      </c>
      <c r="R1597" t="s">
        <v>14</v>
      </c>
      <c r="S1597" t="s">
        <v>4843</v>
      </c>
      <c r="T1597" t="s">
        <v>4844</v>
      </c>
      <c r="U1597" t="s">
        <v>3015</v>
      </c>
      <c r="V1597" t="s">
        <v>14</v>
      </c>
      <c r="W1597" t="b">
        <v>1</v>
      </c>
      <c r="X1597" t="s">
        <v>4845</v>
      </c>
      <c r="Y1597" t="b">
        <v>0</v>
      </c>
      <c r="Z1597" t="s">
        <v>2032</v>
      </c>
    </row>
    <row r="1598" spans="1:26" x14ac:dyDescent="0.35">
      <c r="A1598" t="s">
        <v>1127</v>
      </c>
      <c r="B1598" t="s">
        <v>1128</v>
      </c>
      <c r="C1598" t="s">
        <v>2967</v>
      </c>
      <c r="D1598" t="s">
        <v>1963</v>
      </c>
      <c r="E1598" t="s">
        <v>2020</v>
      </c>
      <c r="F1598" t="s">
        <v>2055</v>
      </c>
      <c r="G1598" t="s">
        <v>2056</v>
      </c>
      <c r="H1598" t="s">
        <v>2023</v>
      </c>
      <c r="I1598" t="s">
        <v>4839</v>
      </c>
      <c r="J1598" t="s">
        <v>1963</v>
      </c>
      <c r="K1598" t="s">
        <v>4846</v>
      </c>
      <c r="L1598" t="s">
        <v>2046</v>
      </c>
      <c r="M1598" t="s">
        <v>4841</v>
      </c>
      <c r="N1598" t="s">
        <v>4842</v>
      </c>
      <c r="O1598" t="s">
        <v>3035</v>
      </c>
      <c r="P1598" t="s">
        <v>3036</v>
      </c>
      <c r="Q1598" t="s">
        <v>3797</v>
      </c>
      <c r="R1598" t="s">
        <v>14</v>
      </c>
      <c r="S1598" t="s">
        <v>4843</v>
      </c>
      <c r="T1598" t="s">
        <v>4844</v>
      </c>
      <c r="U1598" t="s">
        <v>3015</v>
      </c>
      <c r="V1598" t="s">
        <v>14</v>
      </c>
      <c r="W1598" t="b">
        <v>1</v>
      </c>
      <c r="X1598" t="s">
        <v>4847</v>
      </c>
      <c r="Y1598" t="b">
        <v>0</v>
      </c>
      <c r="Z1598" t="s">
        <v>2032</v>
      </c>
    </row>
    <row r="1599" spans="1:26" x14ac:dyDescent="0.35">
      <c r="A1599" t="s">
        <v>1129</v>
      </c>
      <c r="B1599" t="s">
        <v>1130</v>
      </c>
      <c r="C1599" t="s">
        <v>3167</v>
      </c>
      <c r="D1599" t="s">
        <v>1963</v>
      </c>
      <c r="E1599" t="s">
        <v>2020</v>
      </c>
      <c r="F1599" t="s">
        <v>2055</v>
      </c>
      <c r="G1599" t="s">
        <v>2056</v>
      </c>
      <c r="H1599" t="s">
        <v>2023</v>
      </c>
      <c r="I1599" t="s">
        <v>61</v>
      </c>
      <c r="J1599" t="s">
        <v>1963</v>
      </c>
      <c r="K1599" t="s">
        <v>4848</v>
      </c>
      <c r="L1599" t="s">
        <v>2046</v>
      </c>
      <c r="M1599" t="s">
        <v>3463</v>
      </c>
      <c r="N1599" t="s">
        <v>3464</v>
      </c>
      <c r="O1599" t="s">
        <v>2214</v>
      </c>
      <c r="P1599" t="s">
        <v>2215</v>
      </c>
      <c r="Q1599" t="s">
        <v>3465</v>
      </c>
      <c r="R1599" t="s">
        <v>14</v>
      </c>
      <c r="S1599" t="s">
        <v>3466</v>
      </c>
      <c r="T1599" t="s">
        <v>3467</v>
      </c>
      <c r="U1599" t="s">
        <v>2052</v>
      </c>
      <c r="V1599" t="s">
        <v>14</v>
      </c>
      <c r="W1599" t="b">
        <v>1</v>
      </c>
      <c r="X1599" t="s">
        <v>4849</v>
      </c>
      <c r="Y1599" t="b">
        <v>0</v>
      </c>
      <c r="Z1599" t="s">
        <v>2053</v>
      </c>
    </row>
    <row r="1600" spans="1:26" x14ac:dyDescent="0.35">
      <c r="A1600" t="s">
        <v>1131</v>
      </c>
      <c r="B1600" t="s">
        <v>1132</v>
      </c>
      <c r="C1600" t="s">
        <v>3167</v>
      </c>
      <c r="D1600" t="s">
        <v>1963</v>
      </c>
      <c r="E1600" t="s">
        <v>2020</v>
      </c>
      <c r="F1600" t="s">
        <v>2055</v>
      </c>
      <c r="G1600" t="s">
        <v>2056</v>
      </c>
      <c r="H1600" t="s">
        <v>2023</v>
      </c>
      <c r="I1600" t="s">
        <v>61</v>
      </c>
      <c r="J1600" t="s">
        <v>1963</v>
      </c>
      <c r="K1600" t="s">
        <v>4850</v>
      </c>
      <c r="L1600" t="s">
        <v>2046</v>
      </c>
      <c r="M1600" t="s">
        <v>3463</v>
      </c>
      <c r="N1600" t="s">
        <v>3464</v>
      </c>
      <c r="O1600" t="s">
        <v>2214</v>
      </c>
      <c r="P1600" t="s">
        <v>2215</v>
      </c>
      <c r="Q1600" t="s">
        <v>3465</v>
      </c>
      <c r="R1600" t="s">
        <v>14</v>
      </c>
      <c r="S1600" t="s">
        <v>3466</v>
      </c>
      <c r="T1600" t="s">
        <v>3467</v>
      </c>
      <c r="U1600" t="s">
        <v>2052</v>
      </c>
      <c r="V1600" t="s">
        <v>14</v>
      </c>
      <c r="W1600" t="b">
        <v>1</v>
      </c>
      <c r="X1600" t="s">
        <v>4851</v>
      </c>
      <c r="Y1600" t="b">
        <v>0</v>
      </c>
      <c r="Z1600" t="s">
        <v>2053</v>
      </c>
    </row>
    <row r="1601" spans="1:26" x14ac:dyDescent="0.35">
      <c r="A1601" t="s">
        <v>1133</v>
      </c>
      <c r="B1601" t="s">
        <v>1134</v>
      </c>
      <c r="C1601" t="s">
        <v>3167</v>
      </c>
      <c r="D1601" t="s">
        <v>1963</v>
      </c>
      <c r="E1601" t="s">
        <v>2020</v>
      </c>
      <c r="F1601" t="s">
        <v>2055</v>
      </c>
      <c r="G1601" t="s">
        <v>2056</v>
      </c>
      <c r="H1601" t="s">
        <v>2023</v>
      </c>
      <c r="I1601" t="s">
        <v>61</v>
      </c>
      <c r="J1601" t="s">
        <v>1963</v>
      </c>
      <c r="K1601" t="s">
        <v>4852</v>
      </c>
      <c r="L1601" t="s">
        <v>2046</v>
      </c>
      <c r="M1601" t="s">
        <v>3463</v>
      </c>
      <c r="N1601" t="s">
        <v>3464</v>
      </c>
      <c r="O1601" t="s">
        <v>2214</v>
      </c>
      <c r="P1601" t="s">
        <v>2215</v>
      </c>
      <c r="Q1601" t="s">
        <v>3465</v>
      </c>
      <c r="R1601" t="s">
        <v>14</v>
      </c>
      <c r="S1601" t="s">
        <v>3466</v>
      </c>
      <c r="T1601" t="s">
        <v>3467</v>
      </c>
      <c r="U1601" t="s">
        <v>2052</v>
      </c>
      <c r="V1601" t="s">
        <v>14</v>
      </c>
      <c r="W1601" t="b">
        <v>1</v>
      </c>
      <c r="X1601" t="s">
        <v>4853</v>
      </c>
      <c r="Y1601" t="b">
        <v>0</v>
      </c>
      <c r="Z1601" t="s">
        <v>2053</v>
      </c>
    </row>
    <row r="1602" spans="1:26" x14ac:dyDescent="0.35">
      <c r="A1602" t="s">
        <v>1135</v>
      </c>
      <c r="B1602" t="s">
        <v>1136</v>
      </c>
      <c r="C1602" t="s">
        <v>3167</v>
      </c>
      <c r="D1602" t="s">
        <v>1963</v>
      </c>
      <c r="E1602" t="s">
        <v>2020</v>
      </c>
      <c r="F1602" t="s">
        <v>2055</v>
      </c>
      <c r="G1602" t="s">
        <v>2056</v>
      </c>
      <c r="H1602" t="s">
        <v>2023</v>
      </c>
      <c r="I1602" t="s">
        <v>61</v>
      </c>
      <c r="J1602" t="s">
        <v>1963</v>
      </c>
      <c r="K1602" t="s">
        <v>4854</v>
      </c>
      <c r="L1602" t="s">
        <v>2046</v>
      </c>
      <c r="M1602" t="s">
        <v>3463</v>
      </c>
      <c r="N1602" t="s">
        <v>3464</v>
      </c>
      <c r="O1602" t="s">
        <v>2214</v>
      </c>
      <c r="P1602" t="s">
        <v>2215</v>
      </c>
      <c r="Q1602" t="s">
        <v>3465</v>
      </c>
      <c r="R1602" t="s">
        <v>14</v>
      </c>
      <c r="S1602" t="s">
        <v>3466</v>
      </c>
      <c r="T1602" t="s">
        <v>3467</v>
      </c>
      <c r="U1602" t="s">
        <v>2052</v>
      </c>
      <c r="V1602" t="s">
        <v>14</v>
      </c>
      <c r="W1602" t="b">
        <v>1</v>
      </c>
      <c r="X1602" t="s">
        <v>4855</v>
      </c>
      <c r="Y1602" t="b">
        <v>0</v>
      </c>
      <c r="Z1602" t="s">
        <v>2053</v>
      </c>
    </row>
    <row r="1603" spans="1:26" x14ac:dyDescent="0.35">
      <c r="A1603" t="s">
        <v>1137</v>
      </c>
      <c r="B1603" t="s">
        <v>1138</v>
      </c>
      <c r="C1603" t="s">
        <v>3167</v>
      </c>
      <c r="D1603" t="s">
        <v>1963</v>
      </c>
      <c r="E1603" t="s">
        <v>2020</v>
      </c>
      <c r="F1603" t="s">
        <v>2055</v>
      </c>
      <c r="G1603" t="s">
        <v>2056</v>
      </c>
      <c r="H1603" t="s">
        <v>2023</v>
      </c>
      <c r="I1603" t="s">
        <v>61</v>
      </c>
      <c r="J1603" t="s">
        <v>1963</v>
      </c>
      <c r="K1603" t="s">
        <v>4856</v>
      </c>
      <c r="L1603" t="s">
        <v>2046</v>
      </c>
      <c r="M1603" t="s">
        <v>3463</v>
      </c>
      <c r="N1603" t="s">
        <v>3464</v>
      </c>
      <c r="O1603" t="s">
        <v>2214</v>
      </c>
      <c r="P1603" t="s">
        <v>2215</v>
      </c>
      <c r="Q1603" t="s">
        <v>3465</v>
      </c>
      <c r="R1603" t="s">
        <v>14</v>
      </c>
      <c r="S1603" t="s">
        <v>3466</v>
      </c>
      <c r="T1603" t="s">
        <v>3467</v>
      </c>
      <c r="U1603" t="s">
        <v>2052</v>
      </c>
      <c r="V1603" t="s">
        <v>14</v>
      </c>
      <c r="W1603" t="b">
        <v>1</v>
      </c>
      <c r="X1603" t="s">
        <v>4857</v>
      </c>
      <c r="Y1603" t="b">
        <v>0</v>
      </c>
      <c r="Z1603" t="s">
        <v>2053</v>
      </c>
    </row>
    <row r="1604" spans="1:26" x14ac:dyDescent="0.35">
      <c r="A1604" t="s">
        <v>1139</v>
      </c>
      <c r="B1604" t="s">
        <v>1140</v>
      </c>
      <c r="C1604" t="s">
        <v>3167</v>
      </c>
      <c r="D1604" t="s">
        <v>1963</v>
      </c>
      <c r="E1604" t="s">
        <v>2020</v>
      </c>
      <c r="F1604" t="s">
        <v>2055</v>
      </c>
      <c r="G1604" t="s">
        <v>2056</v>
      </c>
      <c r="H1604" t="s">
        <v>2023</v>
      </c>
      <c r="I1604" t="s">
        <v>61</v>
      </c>
      <c r="J1604" t="s">
        <v>1963</v>
      </c>
      <c r="K1604" t="s">
        <v>4858</v>
      </c>
      <c r="L1604" t="s">
        <v>2046</v>
      </c>
      <c r="M1604" t="s">
        <v>3463</v>
      </c>
      <c r="N1604" t="s">
        <v>3464</v>
      </c>
      <c r="O1604" t="s">
        <v>2214</v>
      </c>
      <c r="P1604" t="s">
        <v>2215</v>
      </c>
      <c r="Q1604" t="s">
        <v>3465</v>
      </c>
      <c r="R1604" t="s">
        <v>14</v>
      </c>
      <c r="S1604" t="s">
        <v>3466</v>
      </c>
      <c r="T1604" t="s">
        <v>3467</v>
      </c>
      <c r="U1604" t="s">
        <v>2052</v>
      </c>
      <c r="V1604" t="s">
        <v>14</v>
      </c>
      <c r="W1604" t="b">
        <v>1</v>
      </c>
      <c r="X1604" t="s">
        <v>4859</v>
      </c>
      <c r="Y1604" t="b">
        <v>0</v>
      </c>
      <c r="Z1604" t="s">
        <v>2053</v>
      </c>
    </row>
    <row r="1605" spans="1:26" x14ac:dyDescent="0.35">
      <c r="A1605" t="s">
        <v>1141</v>
      </c>
      <c r="B1605" t="s">
        <v>1142</v>
      </c>
      <c r="C1605" t="s">
        <v>3167</v>
      </c>
      <c r="D1605" t="s">
        <v>1963</v>
      </c>
      <c r="E1605" t="s">
        <v>2020</v>
      </c>
      <c r="F1605" t="s">
        <v>2055</v>
      </c>
      <c r="G1605" t="s">
        <v>2056</v>
      </c>
      <c r="H1605" t="s">
        <v>2023</v>
      </c>
      <c r="I1605" t="s">
        <v>61</v>
      </c>
      <c r="J1605" t="s">
        <v>1963</v>
      </c>
      <c r="K1605" t="s">
        <v>4860</v>
      </c>
      <c r="L1605" t="s">
        <v>2046</v>
      </c>
      <c r="M1605" t="s">
        <v>3463</v>
      </c>
      <c r="N1605" t="s">
        <v>3464</v>
      </c>
      <c r="O1605" t="s">
        <v>2214</v>
      </c>
      <c r="P1605" t="s">
        <v>2215</v>
      </c>
      <c r="Q1605" t="s">
        <v>3465</v>
      </c>
      <c r="R1605" t="s">
        <v>14</v>
      </c>
      <c r="S1605" t="s">
        <v>3466</v>
      </c>
      <c r="T1605" t="s">
        <v>3467</v>
      </c>
      <c r="U1605" t="s">
        <v>2052</v>
      </c>
      <c r="V1605" t="s">
        <v>14</v>
      </c>
      <c r="W1605" t="b">
        <v>1</v>
      </c>
      <c r="X1605" t="s">
        <v>4861</v>
      </c>
      <c r="Y1605" t="b">
        <v>0</v>
      </c>
      <c r="Z1605" t="s">
        <v>2053</v>
      </c>
    </row>
    <row r="1606" spans="1:26" x14ac:dyDescent="0.35">
      <c r="A1606" t="s">
        <v>1143</v>
      </c>
      <c r="B1606" t="s">
        <v>1144</v>
      </c>
      <c r="C1606" t="s">
        <v>3167</v>
      </c>
      <c r="D1606" t="s">
        <v>1963</v>
      </c>
      <c r="E1606" t="s">
        <v>2020</v>
      </c>
      <c r="F1606" t="s">
        <v>2055</v>
      </c>
      <c r="G1606" t="s">
        <v>2056</v>
      </c>
      <c r="H1606" t="s">
        <v>2023</v>
      </c>
      <c r="I1606" t="s">
        <v>61</v>
      </c>
      <c r="J1606" t="s">
        <v>1963</v>
      </c>
      <c r="K1606" t="s">
        <v>4862</v>
      </c>
      <c r="L1606" t="s">
        <v>2046</v>
      </c>
      <c r="M1606" t="s">
        <v>3463</v>
      </c>
      <c r="N1606" t="s">
        <v>3464</v>
      </c>
      <c r="O1606" t="s">
        <v>2214</v>
      </c>
      <c r="P1606" t="s">
        <v>2215</v>
      </c>
      <c r="Q1606" t="s">
        <v>3465</v>
      </c>
      <c r="R1606" t="s">
        <v>14</v>
      </c>
      <c r="S1606" t="s">
        <v>3466</v>
      </c>
      <c r="T1606" t="s">
        <v>3467</v>
      </c>
      <c r="U1606" t="s">
        <v>2052</v>
      </c>
      <c r="V1606" t="s">
        <v>14</v>
      </c>
      <c r="W1606" t="b">
        <v>1</v>
      </c>
      <c r="X1606" t="s">
        <v>4863</v>
      </c>
      <c r="Y1606" t="b">
        <v>0</v>
      </c>
      <c r="Z1606" t="s">
        <v>2053</v>
      </c>
    </row>
    <row r="1607" spans="1:26" x14ac:dyDescent="0.35">
      <c r="A1607" t="s">
        <v>1145</v>
      </c>
      <c r="B1607" t="s">
        <v>1146</v>
      </c>
      <c r="C1607" t="s">
        <v>3167</v>
      </c>
      <c r="D1607" t="s">
        <v>1963</v>
      </c>
      <c r="E1607" t="s">
        <v>2020</v>
      </c>
      <c r="F1607" t="s">
        <v>2055</v>
      </c>
      <c r="G1607" t="s">
        <v>2056</v>
      </c>
      <c r="H1607" t="s">
        <v>2023</v>
      </c>
      <c r="I1607" t="s">
        <v>61</v>
      </c>
      <c r="J1607" t="s">
        <v>1963</v>
      </c>
      <c r="K1607" t="s">
        <v>4864</v>
      </c>
      <c r="L1607" t="s">
        <v>2046</v>
      </c>
      <c r="M1607" t="s">
        <v>3463</v>
      </c>
      <c r="N1607" t="s">
        <v>3464</v>
      </c>
      <c r="O1607" t="s">
        <v>2214</v>
      </c>
      <c r="P1607" t="s">
        <v>2215</v>
      </c>
      <c r="Q1607" t="s">
        <v>3465</v>
      </c>
      <c r="R1607" t="s">
        <v>14</v>
      </c>
      <c r="S1607" t="s">
        <v>3466</v>
      </c>
      <c r="T1607" t="s">
        <v>3467</v>
      </c>
      <c r="U1607" t="s">
        <v>2052</v>
      </c>
      <c r="V1607" t="s">
        <v>14</v>
      </c>
      <c r="W1607" t="b">
        <v>1</v>
      </c>
      <c r="X1607" t="s">
        <v>4865</v>
      </c>
      <c r="Y1607" t="b">
        <v>0</v>
      </c>
      <c r="Z1607" t="s">
        <v>2053</v>
      </c>
    </row>
    <row r="1608" spans="1:26" x14ac:dyDescent="0.35">
      <c r="A1608" t="s">
        <v>1147</v>
      </c>
      <c r="B1608" t="s">
        <v>1148</v>
      </c>
      <c r="C1608" t="s">
        <v>3167</v>
      </c>
      <c r="D1608" t="s">
        <v>1963</v>
      </c>
      <c r="E1608" t="s">
        <v>2020</v>
      </c>
      <c r="F1608" t="s">
        <v>2055</v>
      </c>
      <c r="G1608" t="s">
        <v>2056</v>
      </c>
      <c r="H1608" t="s">
        <v>2023</v>
      </c>
      <c r="I1608" t="s">
        <v>61</v>
      </c>
      <c r="J1608" t="s">
        <v>1963</v>
      </c>
      <c r="K1608" t="s">
        <v>4866</v>
      </c>
      <c r="L1608" t="s">
        <v>2046</v>
      </c>
      <c r="M1608" t="s">
        <v>3463</v>
      </c>
      <c r="N1608" t="s">
        <v>3464</v>
      </c>
      <c r="O1608" t="s">
        <v>2214</v>
      </c>
      <c r="P1608" t="s">
        <v>2215</v>
      </c>
      <c r="Q1608" t="s">
        <v>3465</v>
      </c>
      <c r="R1608" t="s">
        <v>14</v>
      </c>
      <c r="S1608" t="s">
        <v>3466</v>
      </c>
      <c r="T1608" t="s">
        <v>3467</v>
      </c>
      <c r="U1608" t="s">
        <v>2052</v>
      </c>
      <c r="V1608" t="s">
        <v>14</v>
      </c>
      <c r="W1608" t="b">
        <v>1</v>
      </c>
      <c r="X1608" t="s">
        <v>4867</v>
      </c>
      <c r="Y1608" t="b">
        <v>0</v>
      </c>
      <c r="Z1608" t="s">
        <v>2053</v>
      </c>
    </row>
    <row r="1609" spans="1:26" x14ac:dyDescent="0.35">
      <c r="A1609" t="s">
        <v>1149</v>
      </c>
      <c r="B1609" t="s">
        <v>1150</v>
      </c>
      <c r="C1609" t="s">
        <v>3167</v>
      </c>
      <c r="D1609" t="s">
        <v>1963</v>
      </c>
      <c r="E1609" t="s">
        <v>2020</v>
      </c>
      <c r="F1609" t="s">
        <v>2055</v>
      </c>
      <c r="G1609" t="s">
        <v>2056</v>
      </c>
      <c r="H1609" t="s">
        <v>2023</v>
      </c>
      <c r="I1609" t="s">
        <v>61</v>
      </c>
      <c r="J1609" t="s">
        <v>1963</v>
      </c>
      <c r="K1609" t="s">
        <v>4868</v>
      </c>
      <c r="L1609" t="s">
        <v>2046</v>
      </c>
      <c r="M1609" t="s">
        <v>3463</v>
      </c>
      <c r="N1609" t="s">
        <v>3464</v>
      </c>
      <c r="O1609" t="s">
        <v>2214</v>
      </c>
      <c r="P1609" t="s">
        <v>2215</v>
      </c>
      <c r="Q1609" t="s">
        <v>3465</v>
      </c>
      <c r="R1609" t="s">
        <v>14</v>
      </c>
      <c r="S1609" t="s">
        <v>3466</v>
      </c>
      <c r="T1609" t="s">
        <v>3467</v>
      </c>
      <c r="U1609" t="s">
        <v>2052</v>
      </c>
      <c r="V1609" t="s">
        <v>14</v>
      </c>
      <c r="W1609" t="b">
        <v>1</v>
      </c>
      <c r="X1609" t="s">
        <v>4869</v>
      </c>
      <c r="Y1609" t="b">
        <v>0</v>
      </c>
      <c r="Z1609" t="s">
        <v>2053</v>
      </c>
    </row>
    <row r="1610" spans="1:26" x14ac:dyDescent="0.35">
      <c r="A1610" t="s">
        <v>1151</v>
      </c>
      <c r="B1610" t="s">
        <v>1152</v>
      </c>
      <c r="C1610" t="s">
        <v>3167</v>
      </c>
      <c r="D1610" t="s">
        <v>1963</v>
      </c>
      <c r="E1610" t="s">
        <v>2020</v>
      </c>
      <c r="F1610" t="s">
        <v>2055</v>
      </c>
      <c r="G1610" t="s">
        <v>2056</v>
      </c>
      <c r="H1610" t="s">
        <v>2023</v>
      </c>
      <c r="I1610" t="s">
        <v>61</v>
      </c>
      <c r="J1610" t="s">
        <v>1963</v>
      </c>
      <c r="K1610" t="s">
        <v>4870</v>
      </c>
      <c r="L1610" t="s">
        <v>2046</v>
      </c>
      <c r="M1610" t="s">
        <v>3463</v>
      </c>
      <c r="N1610" t="s">
        <v>3464</v>
      </c>
      <c r="O1610" t="s">
        <v>2214</v>
      </c>
      <c r="P1610" t="s">
        <v>2215</v>
      </c>
      <c r="Q1610" t="s">
        <v>3465</v>
      </c>
      <c r="R1610" t="s">
        <v>14</v>
      </c>
      <c r="S1610" t="s">
        <v>3466</v>
      </c>
      <c r="T1610" t="s">
        <v>3467</v>
      </c>
      <c r="U1610" t="s">
        <v>2052</v>
      </c>
      <c r="V1610" t="s">
        <v>14</v>
      </c>
      <c r="W1610" t="b">
        <v>1</v>
      </c>
      <c r="X1610" t="s">
        <v>4871</v>
      </c>
      <c r="Y1610" t="b">
        <v>0</v>
      </c>
      <c r="Z1610" t="s">
        <v>2053</v>
      </c>
    </row>
    <row r="1611" spans="1:26" x14ac:dyDescent="0.35">
      <c r="A1611" t="s">
        <v>1153</v>
      </c>
      <c r="B1611" t="s">
        <v>1154</v>
      </c>
      <c r="C1611" t="s">
        <v>3167</v>
      </c>
      <c r="D1611" t="s">
        <v>1963</v>
      </c>
      <c r="E1611" t="s">
        <v>2020</v>
      </c>
      <c r="F1611" t="s">
        <v>2055</v>
      </c>
      <c r="G1611" t="s">
        <v>2056</v>
      </c>
      <c r="H1611" t="s">
        <v>2023</v>
      </c>
      <c r="I1611" t="s">
        <v>61</v>
      </c>
      <c r="J1611" t="s">
        <v>1963</v>
      </c>
      <c r="K1611" t="s">
        <v>4872</v>
      </c>
      <c r="L1611" t="s">
        <v>2046</v>
      </c>
      <c r="M1611" t="s">
        <v>3463</v>
      </c>
      <c r="N1611" t="s">
        <v>3464</v>
      </c>
      <c r="O1611" t="s">
        <v>2214</v>
      </c>
      <c r="P1611" t="s">
        <v>2215</v>
      </c>
      <c r="Q1611" t="s">
        <v>3465</v>
      </c>
      <c r="R1611" t="s">
        <v>14</v>
      </c>
      <c r="S1611" t="s">
        <v>3466</v>
      </c>
      <c r="T1611" t="s">
        <v>3467</v>
      </c>
      <c r="U1611" t="s">
        <v>2052</v>
      </c>
      <c r="V1611" t="s">
        <v>14</v>
      </c>
      <c r="W1611" t="b">
        <v>1</v>
      </c>
      <c r="X1611" t="s">
        <v>4873</v>
      </c>
      <c r="Y1611" t="b">
        <v>0</v>
      </c>
      <c r="Z1611" t="s">
        <v>2053</v>
      </c>
    </row>
    <row r="1612" spans="1:26" x14ac:dyDescent="0.35">
      <c r="A1612" t="s">
        <v>1155</v>
      </c>
      <c r="B1612" t="s">
        <v>1156</v>
      </c>
      <c r="C1612" t="s">
        <v>3167</v>
      </c>
      <c r="D1612" t="s">
        <v>1963</v>
      </c>
      <c r="E1612" t="s">
        <v>2020</v>
      </c>
      <c r="F1612" t="s">
        <v>2055</v>
      </c>
      <c r="G1612" t="s">
        <v>2056</v>
      </c>
      <c r="H1612" t="s">
        <v>2023</v>
      </c>
      <c r="I1612" t="s">
        <v>61</v>
      </c>
      <c r="J1612" t="s">
        <v>1963</v>
      </c>
      <c r="K1612" t="s">
        <v>4874</v>
      </c>
      <c r="L1612" t="s">
        <v>2046</v>
      </c>
      <c r="M1612" t="s">
        <v>3463</v>
      </c>
      <c r="N1612" t="s">
        <v>3464</v>
      </c>
      <c r="O1612" t="s">
        <v>2214</v>
      </c>
      <c r="P1612" t="s">
        <v>2215</v>
      </c>
      <c r="Q1612" t="s">
        <v>3465</v>
      </c>
      <c r="R1612" t="s">
        <v>14</v>
      </c>
      <c r="S1612" t="s">
        <v>3466</v>
      </c>
      <c r="T1612" t="s">
        <v>3467</v>
      </c>
      <c r="U1612" t="s">
        <v>2052</v>
      </c>
      <c r="V1612" t="s">
        <v>14</v>
      </c>
      <c r="W1612" t="b">
        <v>1</v>
      </c>
      <c r="X1612" t="s">
        <v>4875</v>
      </c>
      <c r="Y1612" t="b">
        <v>0</v>
      </c>
      <c r="Z1612" t="s">
        <v>2053</v>
      </c>
    </row>
    <row r="1613" spans="1:26" x14ac:dyDescent="0.35">
      <c r="A1613" t="s">
        <v>1157</v>
      </c>
      <c r="B1613" t="s">
        <v>1158</v>
      </c>
      <c r="C1613" t="s">
        <v>3167</v>
      </c>
      <c r="D1613" t="s">
        <v>1963</v>
      </c>
      <c r="E1613" t="s">
        <v>2020</v>
      </c>
      <c r="F1613" t="s">
        <v>2055</v>
      </c>
      <c r="G1613" t="s">
        <v>2056</v>
      </c>
      <c r="H1613" t="s">
        <v>2023</v>
      </c>
      <c r="I1613" t="s">
        <v>61</v>
      </c>
      <c r="J1613" t="s">
        <v>1963</v>
      </c>
      <c r="K1613" t="s">
        <v>4876</v>
      </c>
      <c r="L1613" t="s">
        <v>2046</v>
      </c>
      <c r="M1613" t="s">
        <v>3463</v>
      </c>
      <c r="N1613" t="s">
        <v>3464</v>
      </c>
      <c r="O1613" t="s">
        <v>2214</v>
      </c>
      <c r="P1613" t="s">
        <v>2215</v>
      </c>
      <c r="Q1613" t="s">
        <v>3465</v>
      </c>
      <c r="R1613" t="s">
        <v>14</v>
      </c>
      <c r="S1613" t="s">
        <v>3466</v>
      </c>
      <c r="T1613" t="s">
        <v>3467</v>
      </c>
      <c r="U1613" t="s">
        <v>2052</v>
      </c>
      <c r="V1613" t="s">
        <v>14</v>
      </c>
      <c r="W1613" t="b">
        <v>1</v>
      </c>
      <c r="X1613" t="s">
        <v>4877</v>
      </c>
      <c r="Y1613" t="b">
        <v>0</v>
      </c>
      <c r="Z1613" t="s">
        <v>2053</v>
      </c>
    </row>
    <row r="1614" spans="1:26" x14ac:dyDescent="0.35">
      <c r="A1614" t="s">
        <v>1159</v>
      </c>
      <c r="B1614" t="s">
        <v>1160</v>
      </c>
      <c r="C1614" t="s">
        <v>3167</v>
      </c>
      <c r="D1614" t="s">
        <v>1963</v>
      </c>
      <c r="E1614" t="s">
        <v>2020</v>
      </c>
      <c r="F1614" t="s">
        <v>2055</v>
      </c>
      <c r="G1614" t="s">
        <v>2056</v>
      </c>
      <c r="H1614" t="s">
        <v>2023</v>
      </c>
      <c r="I1614" t="s">
        <v>4878</v>
      </c>
      <c r="J1614" t="s">
        <v>1963</v>
      </c>
      <c r="K1614" t="s">
        <v>4879</v>
      </c>
      <c r="L1614" t="s">
        <v>2046</v>
      </c>
      <c r="M1614" t="s">
        <v>4880</v>
      </c>
      <c r="N1614" t="s">
        <v>4881</v>
      </c>
      <c r="O1614" t="s">
        <v>2214</v>
      </c>
      <c r="P1614" t="s">
        <v>2215</v>
      </c>
      <c r="Q1614" t="s">
        <v>2103</v>
      </c>
      <c r="R1614" t="s">
        <v>14</v>
      </c>
      <c r="S1614" t="s">
        <v>4882</v>
      </c>
      <c r="T1614" t="s">
        <v>4883</v>
      </c>
      <c r="U1614" t="s">
        <v>2052</v>
      </c>
      <c r="V1614" t="s">
        <v>14</v>
      </c>
      <c r="W1614" t="b">
        <v>1</v>
      </c>
      <c r="X1614" t="s">
        <v>4884</v>
      </c>
      <c r="Y1614" t="b">
        <v>0</v>
      </c>
      <c r="Z1614" t="s">
        <v>2053</v>
      </c>
    </row>
    <row r="1615" spans="1:26" x14ac:dyDescent="0.35">
      <c r="A1615" t="s">
        <v>1161</v>
      </c>
      <c r="B1615" t="s">
        <v>1162</v>
      </c>
      <c r="C1615" t="s">
        <v>3167</v>
      </c>
      <c r="D1615" t="s">
        <v>1963</v>
      </c>
      <c r="E1615" t="s">
        <v>2020</v>
      </c>
      <c r="F1615" t="s">
        <v>2055</v>
      </c>
      <c r="G1615" t="s">
        <v>2056</v>
      </c>
      <c r="H1615" t="s">
        <v>2023</v>
      </c>
      <c r="I1615" t="s">
        <v>4878</v>
      </c>
      <c r="J1615" t="s">
        <v>1963</v>
      </c>
      <c r="K1615" t="s">
        <v>4885</v>
      </c>
      <c r="L1615" t="s">
        <v>2046</v>
      </c>
      <c r="M1615" t="s">
        <v>4880</v>
      </c>
      <c r="N1615" t="s">
        <v>4881</v>
      </c>
      <c r="O1615" t="s">
        <v>2214</v>
      </c>
      <c r="P1615" t="s">
        <v>2215</v>
      </c>
      <c r="Q1615" t="s">
        <v>2103</v>
      </c>
      <c r="R1615" t="s">
        <v>14</v>
      </c>
      <c r="S1615" t="s">
        <v>4882</v>
      </c>
      <c r="T1615" t="s">
        <v>4883</v>
      </c>
      <c r="U1615" t="s">
        <v>2052</v>
      </c>
      <c r="V1615" t="s">
        <v>14</v>
      </c>
      <c r="W1615" t="b">
        <v>1</v>
      </c>
      <c r="X1615" t="s">
        <v>4886</v>
      </c>
      <c r="Y1615" t="b">
        <v>0</v>
      </c>
      <c r="Z1615" t="s">
        <v>2053</v>
      </c>
    </row>
    <row r="1616" spans="1:26" x14ac:dyDescent="0.35">
      <c r="A1616" t="s">
        <v>1163</v>
      </c>
      <c r="B1616" t="s">
        <v>1164</v>
      </c>
      <c r="C1616" t="s">
        <v>3167</v>
      </c>
      <c r="D1616" t="s">
        <v>1963</v>
      </c>
      <c r="E1616" t="s">
        <v>2020</v>
      </c>
      <c r="F1616" t="s">
        <v>2055</v>
      </c>
      <c r="G1616" t="s">
        <v>2056</v>
      </c>
      <c r="H1616" t="s">
        <v>2023</v>
      </c>
      <c r="I1616" t="s">
        <v>4878</v>
      </c>
      <c r="J1616" t="s">
        <v>1963</v>
      </c>
      <c r="K1616" t="s">
        <v>4887</v>
      </c>
      <c r="L1616" t="s">
        <v>2046</v>
      </c>
      <c r="M1616" t="s">
        <v>4880</v>
      </c>
      <c r="N1616" t="s">
        <v>4881</v>
      </c>
      <c r="O1616" t="s">
        <v>2214</v>
      </c>
      <c r="P1616" t="s">
        <v>2215</v>
      </c>
      <c r="Q1616" t="s">
        <v>2103</v>
      </c>
      <c r="R1616" t="s">
        <v>14</v>
      </c>
      <c r="S1616" t="s">
        <v>4882</v>
      </c>
      <c r="T1616" t="s">
        <v>4883</v>
      </c>
      <c r="U1616" t="s">
        <v>2052</v>
      </c>
      <c r="V1616" t="s">
        <v>14</v>
      </c>
      <c r="W1616" t="b">
        <v>1</v>
      </c>
      <c r="X1616" t="s">
        <v>4888</v>
      </c>
      <c r="Y1616" t="b">
        <v>0</v>
      </c>
      <c r="Z1616" t="s">
        <v>2053</v>
      </c>
    </row>
    <row r="1617" spans="1:26" x14ac:dyDescent="0.35">
      <c r="A1617" t="s">
        <v>1165</v>
      </c>
      <c r="B1617" t="s">
        <v>1166</v>
      </c>
      <c r="C1617" t="s">
        <v>3167</v>
      </c>
      <c r="D1617" t="s">
        <v>1963</v>
      </c>
      <c r="E1617" t="s">
        <v>2020</v>
      </c>
      <c r="F1617" t="s">
        <v>2055</v>
      </c>
      <c r="G1617" t="s">
        <v>2056</v>
      </c>
      <c r="H1617" t="s">
        <v>2023</v>
      </c>
      <c r="I1617" t="s">
        <v>4878</v>
      </c>
      <c r="J1617" t="s">
        <v>1963</v>
      </c>
      <c r="K1617" t="s">
        <v>4889</v>
      </c>
      <c r="L1617" t="s">
        <v>2046</v>
      </c>
      <c r="M1617" t="s">
        <v>4880</v>
      </c>
      <c r="N1617" t="s">
        <v>4881</v>
      </c>
      <c r="O1617" t="s">
        <v>2214</v>
      </c>
      <c r="P1617" t="s">
        <v>2215</v>
      </c>
      <c r="Q1617" t="s">
        <v>2103</v>
      </c>
      <c r="R1617" t="s">
        <v>14</v>
      </c>
      <c r="S1617" t="s">
        <v>4882</v>
      </c>
      <c r="T1617" t="s">
        <v>4883</v>
      </c>
      <c r="U1617" t="s">
        <v>2052</v>
      </c>
      <c r="V1617" t="s">
        <v>14</v>
      </c>
      <c r="W1617" t="b">
        <v>1</v>
      </c>
      <c r="X1617" t="s">
        <v>4890</v>
      </c>
      <c r="Y1617" t="b">
        <v>0</v>
      </c>
      <c r="Z1617" t="s">
        <v>2053</v>
      </c>
    </row>
    <row r="1618" spans="1:26" x14ac:dyDescent="0.35">
      <c r="A1618" t="s">
        <v>1167</v>
      </c>
      <c r="B1618" t="s">
        <v>1168</v>
      </c>
      <c r="C1618" t="s">
        <v>3167</v>
      </c>
      <c r="D1618" t="s">
        <v>1963</v>
      </c>
      <c r="E1618" t="s">
        <v>2020</v>
      </c>
      <c r="F1618" t="s">
        <v>2055</v>
      </c>
      <c r="G1618" t="s">
        <v>2056</v>
      </c>
      <c r="H1618" t="s">
        <v>2023</v>
      </c>
      <c r="I1618" t="s">
        <v>4878</v>
      </c>
      <c r="J1618" t="s">
        <v>1963</v>
      </c>
      <c r="K1618" t="s">
        <v>4891</v>
      </c>
      <c r="L1618" t="s">
        <v>2046</v>
      </c>
      <c r="M1618" t="s">
        <v>4880</v>
      </c>
      <c r="N1618" t="s">
        <v>4881</v>
      </c>
      <c r="O1618" t="s">
        <v>2214</v>
      </c>
      <c r="P1618" t="s">
        <v>2215</v>
      </c>
      <c r="Q1618" t="s">
        <v>2103</v>
      </c>
      <c r="R1618" t="s">
        <v>14</v>
      </c>
      <c r="S1618" t="s">
        <v>4882</v>
      </c>
      <c r="T1618" t="s">
        <v>4883</v>
      </c>
      <c r="U1618" t="s">
        <v>2052</v>
      </c>
      <c r="V1618" t="s">
        <v>14</v>
      </c>
      <c r="W1618" t="b">
        <v>1</v>
      </c>
      <c r="X1618" t="s">
        <v>4892</v>
      </c>
      <c r="Y1618" t="b">
        <v>0</v>
      </c>
      <c r="Z1618" t="s">
        <v>2053</v>
      </c>
    </row>
    <row r="1619" spans="1:26" x14ac:dyDescent="0.35">
      <c r="A1619" t="s">
        <v>1169</v>
      </c>
      <c r="B1619" t="s">
        <v>1170</v>
      </c>
      <c r="C1619" t="s">
        <v>3167</v>
      </c>
      <c r="D1619" t="s">
        <v>1963</v>
      </c>
      <c r="E1619" t="s">
        <v>2020</v>
      </c>
      <c r="F1619" t="s">
        <v>2055</v>
      </c>
      <c r="G1619" t="s">
        <v>2056</v>
      </c>
      <c r="H1619" t="s">
        <v>2023</v>
      </c>
      <c r="I1619" t="s">
        <v>4878</v>
      </c>
      <c r="J1619" t="s">
        <v>1963</v>
      </c>
      <c r="K1619" t="s">
        <v>4893</v>
      </c>
      <c r="L1619" t="s">
        <v>2046</v>
      </c>
      <c r="M1619" t="s">
        <v>4880</v>
      </c>
      <c r="N1619" t="s">
        <v>4881</v>
      </c>
      <c r="O1619" t="s">
        <v>2214</v>
      </c>
      <c r="P1619" t="s">
        <v>2215</v>
      </c>
      <c r="Q1619" t="s">
        <v>2103</v>
      </c>
      <c r="R1619" t="s">
        <v>14</v>
      </c>
      <c r="S1619" t="s">
        <v>4882</v>
      </c>
      <c r="T1619" t="s">
        <v>4883</v>
      </c>
      <c r="U1619" t="s">
        <v>2052</v>
      </c>
      <c r="V1619" t="s">
        <v>14</v>
      </c>
      <c r="W1619" t="b">
        <v>1</v>
      </c>
      <c r="X1619" t="s">
        <v>4894</v>
      </c>
      <c r="Y1619" t="b">
        <v>0</v>
      </c>
      <c r="Z1619" t="s">
        <v>2053</v>
      </c>
    </row>
    <row r="1620" spans="1:26" x14ac:dyDescent="0.35">
      <c r="A1620" t="s">
        <v>1171</v>
      </c>
      <c r="B1620" t="s">
        <v>1172</v>
      </c>
      <c r="C1620" t="s">
        <v>3167</v>
      </c>
      <c r="D1620" t="s">
        <v>1963</v>
      </c>
      <c r="E1620" t="s">
        <v>2020</v>
      </c>
      <c r="F1620" t="s">
        <v>2055</v>
      </c>
      <c r="G1620" t="s">
        <v>2056</v>
      </c>
      <c r="H1620" t="s">
        <v>2023</v>
      </c>
      <c r="I1620" t="s">
        <v>4878</v>
      </c>
      <c r="J1620" t="s">
        <v>1963</v>
      </c>
      <c r="K1620" t="s">
        <v>4895</v>
      </c>
      <c r="L1620" t="s">
        <v>2046</v>
      </c>
      <c r="M1620" t="s">
        <v>4880</v>
      </c>
      <c r="N1620" t="s">
        <v>4881</v>
      </c>
      <c r="O1620" t="s">
        <v>2214</v>
      </c>
      <c r="P1620" t="s">
        <v>2215</v>
      </c>
      <c r="Q1620" t="s">
        <v>2103</v>
      </c>
      <c r="R1620" t="s">
        <v>14</v>
      </c>
      <c r="S1620" t="s">
        <v>4882</v>
      </c>
      <c r="T1620" t="s">
        <v>4883</v>
      </c>
      <c r="U1620" t="s">
        <v>2052</v>
      </c>
      <c r="V1620" t="s">
        <v>14</v>
      </c>
      <c r="W1620" t="b">
        <v>1</v>
      </c>
      <c r="X1620" t="s">
        <v>4896</v>
      </c>
      <c r="Y1620" t="b">
        <v>0</v>
      </c>
      <c r="Z1620" t="s">
        <v>2053</v>
      </c>
    </row>
    <row r="1621" spans="1:26" x14ac:dyDescent="0.35">
      <c r="A1621" t="s">
        <v>1173</v>
      </c>
      <c r="B1621" t="s">
        <v>1174</v>
      </c>
      <c r="C1621" t="s">
        <v>3167</v>
      </c>
      <c r="D1621" t="s">
        <v>1963</v>
      </c>
      <c r="E1621" t="s">
        <v>2020</v>
      </c>
      <c r="F1621" t="s">
        <v>2055</v>
      </c>
      <c r="G1621" t="s">
        <v>2056</v>
      </c>
      <c r="H1621" t="s">
        <v>2023</v>
      </c>
      <c r="I1621" t="s">
        <v>4878</v>
      </c>
      <c r="J1621" t="s">
        <v>1963</v>
      </c>
      <c r="K1621" t="s">
        <v>4897</v>
      </c>
      <c r="L1621" t="s">
        <v>2046</v>
      </c>
      <c r="M1621" t="s">
        <v>4880</v>
      </c>
      <c r="N1621" t="s">
        <v>4881</v>
      </c>
      <c r="O1621" t="s">
        <v>2214</v>
      </c>
      <c r="P1621" t="s">
        <v>2215</v>
      </c>
      <c r="Q1621" t="s">
        <v>2103</v>
      </c>
      <c r="R1621" t="s">
        <v>14</v>
      </c>
      <c r="S1621" t="s">
        <v>4882</v>
      </c>
      <c r="T1621" t="s">
        <v>4883</v>
      </c>
      <c r="U1621" t="s">
        <v>2052</v>
      </c>
      <c r="V1621" t="s">
        <v>14</v>
      </c>
      <c r="W1621" t="b">
        <v>1</v>
      </c>
      <c r="X1621" t="s">
        <v>4898</v>
      </c>
      <c r="Y1621" t="b">
        <v>0</v>
      </c>
      <c r="Z1621" t="s">
        <v>2053</v>
      </c>
    </row>
    <row r="1622" spans="1:26" x14ac:dyDescent="0.35">
      <c r="A1622" t="s">
        <v>1175</v>
      </c>
      <c r="B1622" t="s">
        <v>1176</v>
      </c>
      <c r="C1622" t="s">
        <v>3167</v>
      </c>
      <c r="D1622" t="s">
        <v>1963</v>
      </c>
      <c r="E1622" t="s">
        <v>2020</v>
      </c>
      <c r="F1622" t="s">
        <v>2055</v>
      </c>
      <c r="G1622" t="s">
        <v>2056</v>
      </c>
      <c r="H1622" t="s">
        <v>2023</v>
      </c>
      <c r="I1622" t="s">
        <v>4878</v>
      </c>
      <c r="J1622" t="s">
        <v>1963</v>
      </c>
      <c r="K1622" t="s">
        <v>4899</v>
      </c>
      <c r="L1622" t="s">
        <v>2046</v>
      </c>
      <c r="M1622" t="s">
        <v>4880</v>
      </c>
      <c r="N1622" t="s">
        <v>4881</v>
      </c>
      <c r="O1622" t="s">
        <v>2214</v>
      </c>
      <c r="P1622" t="s">
        <v>2215</v>
      </c>
      <c r="Q1622" t="s">
        <v>2103</v>
      </c>
      <c r="R1622" t="s">
        <v>14</v>
      </c>
      <c r="S1622" t="s">
        <v>4882</v>
      </c>
      <c r="T1622" t="s">
        <v>4883</v>
      </c>
      <c r="U1622" t="s">
        <v>2052</v>
      </c>
      <c r="V1622" t="s">
        <v>14</v>
      </c>
      <c r="W1622" t="b">
        <v>1</v>
      </c>
      <c r="X1622" t="s">
        <v>4900</v>
      </c>
      <c r="Y1622" t="b">
        <v>0</v>
      </c>
      <c r="Z1622" t="s">
        <v>2053</v>
      </c>
    </row>
    <row r="1623" spans="1:26" x14ac:dyDescent="0.35">
      <c r="A1623" t="s">
        <v>1177</v>
      </c>
      <c r="B1623" t="s">
        <v>1178</v>
      </c>
      <c r="C1623" t="s">
        <v>3167</v>
      </c>
      <c r="D1623" t="s">
        <v>1963</v>
      </c>
      <c r="E1623" t="s">
        <v>2020</v>
      </c>
      <c r="F1623" t="s">
        <v>2055</v>
      </c>
      <c r="G1623" t="s">
        <v>2056</v>
      </c>
      <c r="H1623" t="s">
        <v>2023</v>
      </c>
      <c r="I1623" t="s">
        <v>4878</v>
      </c>
      <c r="J1623" t="s">
        <v>1963</v>
      </c>
      <c r="K1623" t="s">
        <v>4901</v>
      </c>
      <c r="L1623" t="s">
        <v>2046</v>
      </c>
      <c r="M1623" t="s">
        <v>4880</v>
      </c>
      <c r="N1623" t="s">
        <v>4881</v>
      </c>
      <c r="O1623" t="s">
        <v>2214</v>
      </c>
      <c r="P1623" t="s">
        <v>2215</v>
      </c>
      <c r="Q1623" t="s">
        <v>2103</v>
      </c>
      <c r="R1623" t="s">
        <v>14</v>
      </c>
      <c r="S1623" t="s">
        <v>4882</v>
      </c>
      <c r="T1623" t="s">
        <v>4883</v>
      </c>
      <c r="U1623" t="s">
        <v>2052</v>
      </c>
      <c r="V1623" t="s">
        <v>14</v>
      </c>
      <c r="W1623" t="b">
        <v>1</v>
      </c>
      <c r="X1623" t="s">
        <v>4902</v>
      </c>
      <c r="Y1623" t="b">
        <v>0</v>
      </c>
      <c r="Z1623" t="s">
        <v>2053</v>
      </c>
    </row>
    <row r="1624" spans="1:26" x14ac:dyDescent="0.35">
      <c r="A1624" t="s">
        <v>1179</v>
      </c>
      <c r="B1624" t="s">
        <v>1180</v>
      </c>
      <c r="C1624" t="s">
        <v>3167</v>
      </c>
      <c r="D1624" t="s">
        <v>1963</v>
      </c>
      <c r="E1624" t="s">
        <v>2020</v>
      </c>
      <c r="F1624" t="s">
        <v>2055</v>
      </c>
      <c r="G1624" t="s">
        <v>2056</v>
      </c>
      <c r="H1624" t="s">
        <v>2023</v>
      </c>
      <c r="I1624" t="s">
        <v>4878</v>
      </c>
      <c r="J1624" t="s">
        <v>1963</v>
      </c>
      <c r="K1624" t="s">
        <v>4903</v>
      </c>
      <c r="L1624" t="s">
        <v>2046</v>
      </c>
      <c r="M1624" t="s">
        <v>4880</v>
      </c>
      <c r="N1624" t="s">
        <v>4881</v>
      </c>
      <c r="O1624" t="s">
        <v>2214</v>
      </c>
      <c r="P1624" t="s">
        <v>2215</v>
      </c>
      <c r="Q1624" t="s">
        <v>2103</v>
      </c>
      <c r="R1624" t="s">
        <v>14</v>
      </c>
      <c r="S1624" t="s">
        <v>4882</v>
      </c>
      <c r="T1624" t="s">
        <v>4883</v>
      </c>
      <c r="U1624" t="s">
        <v>2052</v>
      </c>
      <c r="V1624" t="s">
        <v>14</v>
      </c>
      <c r="W1624" t="b">
        <v>1</v>
      </c>
      <c r="X1624" t="s">
        <v>4904</v>
      </c>
      <c r="Y1624" t="b">
        <v>0</v>
      </c>
      <c r="Z1624" t="s">
        <v>2053</v>
      </c>
    </row>
    <row r="1625" spans="1:26" x14ac:dyDescent="0.35">
      <c r="A1625" t="s">
        <v>1181</v>
      </c>
      <c r="B1625" t="s">
        <v>1182</v>
      </c>
      <c r="C1625" t="s">
        <v>3167</v>
      </c>
      <c r="D1625" t="s">
        <v>1963</v>
      </c>
      <c r="E1625" t="s">
        <v>2020</v>
      </c>
      <c r="F1625" t="s">
        <v>2055</v>
      </c>
      <c r="G1625" t="s">
        <v>2056</v>
      </c>
      <c r="H1625" t="s">
        <v>2023</v>
      </c>
      <c r="I1625" t="s">
        <v>4878</v>
      </c>
      <c r="J1625" t="s">
        <v>1963</v>
      </c>
      <c r="K1625" t="s">
        <v>4905</v>
      </c>
      <c r="L1625" t="s">
        <v>2046</v>
      </c>
      <c r="M1625" t="s">
        <v>4880</v>
      </c>
      <c r="N1625" t="s">
        <v>4881</v>
      </c>
      <c r="O1625" t="s">
        <v>2214</v>
      </c>
      <c r="P1625" t="s">
        <v>2215</v>
      </c>
      <c r="Q1625" t="s">
        <v>2103</v>
      </c>
      <c r="R1625" t="s">
        <v>14</v>
      </c>
      <c r="S1625" t="s">
        <v>4882</v>
      </c>
      <c r="T1625" t="s">
        <v>4883</v>
      </c>
      <c r="U1625" t="s">
        <v>2052</v>
      </c>
      <c r="V1625" t="s">
        <v>14</v>
      </c>
      <c r="W1625" t="b">
        <v>1</v>
      </c>
      <c r="X1625" t="s">
        <v>4906</v>
      </c>
      <c r="Y1625" t="b">
        <v>0</v>
      </c>
      <c r="Z1625" t="s">
        <v>2053</v>
      </c>
    </row>
    <row r="1626" spans="1:26" x14ac:dyDescent="0.35">
      <c r="A1626" t="s">
        <v>1183</v>
      </c>
      <c r="B1626" t="s">
        <v>1184</v>
      </c>
      <c r="C1626" t="s">
        <v>3167</v>
      </c>
      <c r="D1626" t="s">
        <v>1963</v>
      </c>
      <c r="E1626" t="s">
        <v>2020</v>
      </c>
      <c r="F1626" t="s">
        <v>2055</v>
      </c>
      <c r="G1626" t="s">
        <v>2056</v>
      </c>
      <c r="H1626" t="s">
        <v>2023</v>
      </c>
      <c r="I1626" t="s">
        <v>4878</v>
      </c>
      <c r="J1626" t="s">
        <v>1963</v>
      </c>
      <c r="K1626" t="s">
        <v>4907</v>
      </c>
      <c r="L1626" t="s">
        <v>2046</v>
      </c>
      <c r="M1626" t="s">
        <v>4880</v>
      </c>
      <c r="N1626" t="s">
        <v>4881</v>
      </c>
      <c r="O1626" t="s">
        <v>2214</v>
      </c>
      <c r="P1626" t="s">
        <v>2215</v>
      </c>
      <c r="Q1626" t="s">
        <v>2103</v>
      </c>
      <c r="R1626" t="s">
        <v>14</v>
      </c>
      <c r="S1626" t="s">
        <v>4882</v>
      </c>
      <c r="T1626" t="s">
        <v>4883</v>
      </c>
      <c r="U1626" t="s">
        <v>2052</v>
      </c>
      <c r="V1626" t="s">
        <v>14</v>
      </c>
      <c r="W1626" t="b">
        <v>1</v>
      </c>
      <c r="X1626" t="s">
        <v>4908</v>
      </c>
      <c r="Y1626" t="b">
        <v>0</v>
      </c>
      <c r="Z1626" t="s">
        <v>2053</v>
      </c>
    </row>
    <row r="1627" spans="1:26" x14ac:dyDescent="0.35">
      <c r="A1627" t="s">
        <v>1185</v>
      </c>
      <c r="B1627" t="s">
        <v>1186</v>
      </c>
      <c r="C1627" t="s">
        <v>3167</v>
      </c>
      <c r="D1627" t="s">
        <v>1963</v>
      </c>
      <c r="E1627" t="s">
        <v>2020</v>
      </c>
      <c r="F1627" t="s">
        <v>2055</v>
      </c>
      <c r="G1627" t="s">
        <v>2056</v>
      </c>
      <c r="H1627" t="s">
        <v>2023</v>
      </c>
      <c r="I1627" t="s">
        <v>4878</v>
      </c>
      <c r="J1627" t="s">
        <v>1963</v>
      </c>
      <c r="K1627" t="s">
        <v>4909</v>
      </c>
      <c r="L1627" t="s">
        <v>2046</v>
      </c>
      <c r="M1627" t="s">
        <v>4880</v>
      </c>
      <c r="N1627" t="s">
        <v>4881</v>
      </c>
      <c r="O1627" t="s">
        <v>2214</v>
      </c>
      <c r="P1627" t="s">
        <v>2215</v>
      </c>
      <c r="Q1627" t="s">
        <v>2103</v>
      </c>
      <c r="R1627" t="s">
        <v>14</v>
      </c>
      <c r="S1627" t="s">
        <v>4882</v>
      </c>
      <c r="T1627" t="s">
        <v>4883</v>
      </c>
      <c r="U1627" t="s">
        <v>2052</v>
      </c>
      <c r="V1627" t="s">
        <v>14</v>
      </c>
      <c r="W1627" t="b">
        <v>1</v>
      </c>
      <c r="X1627" t="s">
        <v>4910</v>
      </c>
      <c r="Y1627" t="b">
        <v>0</v>
      </c>
      <c r="Z1627" t="s">
        <v>2053</v>
      </c>
    </row>
    <row r="1628" spans="1:26" x14ac:dyDescent="0.35">
      <c r="A1628" t="s">
        <v>1187</v>
      </c>
      <c r="B1628" t="s">
        <v>1188</v>
      </c>
      <c r="C1628" t="s">
        <v>3167</v>
      </c>
      <c r="D1628" t="s">
        <v>1963</v>
      </c>
      <c r="E1628" t="s">
        <v>2020</v>
      </c>
      <c r="F1628" t="s">
        <v>2055</v>
      </c>
      <c r="G1628" t="s">
        <v>2056</v>
      </c>
      <c r="H1628" t="s">
        <v>2023</v>
      </c>
      <c r="I1628" t="s">
        <v>4878</v>
      </c>
      <c r="J1628" t="s">
        <v>1963</v>
      </c>
      <c r="K1628" t="s">
        <v>4911</v>
      </c>
      <c r="L1628" t="s">
        <v>2046</v>
      </c>
      <c r="M1628" t="s">
        <v>4880</v>
      </c>
      <c r="N1628" t="s">
        <v>4881</v>
      </c>
      <c r="O1628" t="s">
        <v>2214</v>
      </c>
      <c r="P1628" t="s">
        <v>2215</v>
      </c>
      <c r="Q1628" t="s">
        <v>2103</v>
      </c>
      <c r="R1628" t="s">
        <v>14</v>
      </c>
      <c r="S1628" t="s">
        <v>4882</v>
      </c>
      <c r="T1628" t="s">
        <v>4883</v>
      </c>
      <c r="U1628" t="s">
        <v>2052</v>
      </c>
      <c r="V1628" t="s">
        <v>14</v>
      </c>
      <c r="W1628" t="b">
        <v>1</v>
      </c>
      <c r="X1628" t="s">
        <v>4912</v>
      </c>
      <c r="Y1628" t="b">
        <v>0</v>
      </c>
      <c r="Z1628" t="s">
        <v>2053</v>
      </c>
    </row>
    <row r="1629" spans="1:26" x14ac:dyDescent="0.35">
      <c r="A1629" t="s">
        <v>1189</v>
      </c>
      <c r="B1629" t="s">
        <v>1190</v>
      </c>
      <c r="C1629" t="s">
        <v>3167</v>
      </c>
      <c r="D1629" t="s">
        <v>1963</v>
      </c>
      <c r="E1629" t="s">
        <v>2020</v>
      </c>
      <c r="F1629" t="s">
        <v>2055</v>
      </c>
      <c r="G1629" t="s">
        <v>2056</v>
      </c>
      <c r="H1629" t="s">
        <v>2023</v>
      </c>
      <c r="I1629" t="s">
        <v>4878</v>
      </c>
      <c r="J1629" t="s">
        <v>1963</v>
      </c>
      <c r="K1629" t="s">
        <v>4913</v>
      </c>
      <c r="L1629" t="s">
        <v>2046</v>
      </c>
      <c r="M1629" t="s">
        <v>4880</v>
      </c>
      <c r="N1629" t="s">
        <v>4881</v>
      </c>
      <c r="O1629" t="s">
        <v>2214</v>
      </c>
      <c r="P1629" t="s">
        <v>2215</v>
      </c>
      <c r="Q1629" t="s">
        <v>2103</v>
      </c>
      <c r="R1629" t="s">
        <v>14</v>
      </c>
      <c r="S1629" t="s">
        <v>4882</v>
      </c>
      <c r="T1629" t="s">
        <v>4883</v>
      </c>
      <c r="U1629" t="s">
        <v>2052</v>
      </c>
      <c r="V1629" t="s">
        <v>14</v>
      </c>
      <c r="W1629" t="b">
        <v>1</v>
      </c>
      <c r="X1629" t="s">
        <v>4914</v>
      </c>
      <c r="Y1629" t="b">
        <v>0</v>
      </c>
      <c r="Z1629" t="s">
        <v>2053</v>
      </c>
    </row>
    <row r="1630" spans="1:26" x14ac:dyDescent="0.35">
      <c r="A1630" t="s">
        <v>1191</v>
      </c>
      <c r="B1630" t="s">
        <v>1192</v>
      </c>
      <c r="C1630" t="s">
        <v>3167</v>
      </c>
      <c r="D1630" t="s">
        <v>1963</v>
      </c>
      <c r="E1630" t="s">
        <v>2020</v>
      </c>
      <c r="F1630" t="s">
        <v>2055</v>
      </c>
      <c r="G1630" t="s">
        <v>2056</v>
      </c>
      <c r="H1630" t="s">
        <v>2023</v>
      </c>
      <c r="I1630" t="s">
        <v>4878</v>
      </c>
      <c r="J1630" t="s">
        <v>1963</v>
      </c>
      <c r="K1630" t="s">
        <v>4915</v>
      </c>
      <c r="L1630" t="s">
        <v>2046</v>
      </c>
      <c r="M1630" t="s">
        <v>4880</v>
      </c>
      <c r="N1630" t="s">
        <v>4881</v>
      </c>
      <c r="O1630" t="s">
        <v>2214</v>
      </c>
      <c r="P1630" t="s">
        <v>2215</v>
      </c>
      <c r="Q1630" t="s">
        <v>2103</v>
      </c>
      <c r="R1630" t="s">
        <v>14</v>
      </c>
      <c r="S1630" t="s">
        <v>4882</v>
      </c>
      <c r="T1630" t="s">
        <v>4883</v>
      </c>
      <c r="U1630" t="s">
        <v>2052</v>
      </c>
      <c r="V1630" t="s">
        <v>14</v>
      </c>
      <c r="W1630" t="b">
        <v>1</v>
      </c>
      <c r="X1630" t="s">
        <v>4916</v>
      </c>
      <c r="Y1630" t="b">
        <v>0</v>
      </c>
      <c r="Z1630" t="s">
        <v>2053</v>
      </c>
    </row>
    <row r="1631" spans="1:26" x14ac:dyDescent="0.35">
      <c r="A1631" t="s">
        <v>1193</v>
      </c>
      <c r="B1631" t="s">
        <v>1194</v>
      </c>
      <c r="C1631" t="s">
        <v>3167</v>
      </c>
      <c r="D1631" t="s">
        <v>1963</v>
      </c>
      <c r="E1631" t="s">
        <v>2020</v>
      </c>
      <c r="F1631" t="s">
        <v>2055</v>
      </c>
      <c r="G1631" t="s">
        <v>2056</v>
      </c>
      <c r="H1631" t="s">
        <v>2023</v>
      </c>
      <c r="I1631" t="s">
        <v>4878</v>
      </c>
      <c r="J1631" t="s">
        <v>1963</v>
      </c>
      <c r="K1631" t="s">
        <v>4917</v>
      </c>
      <c r="L1631" t="s">
        <v>2046</v>
      </c>
      <c r="M1631" t="s">
        <v>4880</v>
      </c>
      <c r="N1631" t="s">
        <v>4881</v>
      </c>
      <c r="O1631" t="s">
        <v>2214</v>
      </c>
      <c r="P1631" t="s">
        <v>2215</v>
      </c>
      <c r="Q1631" t="s">
        <v>2103</v>
      </c>
      <c r="R1631" t="s">
        <v>14</v>
      </c>
      <c r="S1631" t="s">
        <v>4882</v>
      </c>
      <c r="T1631" t="s">
        <v>4883</v>
      </c>
      <c r="U1631" t="s">
        <v>2052</v>
      </c>
      <c r="V1631" t="s">
        <v>14</v>
      </c>
      <c r="W1631" t="b">
        <v>1</v>
      </c>
      <c r="X1631" t="s">
        <v>4918</v>
      </c>
      <c r="Y1631" t="b">
        <v>0</v>
      </c>
      <c r="Z1631" t="s">
        <v>2053</v>
      </c>
    </row>
    <row r="1632" spans="1:26" x14ac:dyDescent="0.35">
      <c r="A1632" t="s">
        <v>1195</v>
      </c>
      <c r="B1632" t="s">
        <v>1196</v>
      </c>
      <c r="C1632" t="s">
        <v>3167</v>
      </c>
      <c r="D1632" t="s">
        <v>1963</v>
      </c>
      <c r="E1632" t="s">
        <v>2020</v>
      </c>
      <c r="F1632" t="s">
        <v>2055</v>
      </c>
      <c r="G1632" t="s">
        <v>2056</v>
      </c>
      <c r="H1632" t="s">
        <v>2023</v>
      </c>
      <c r="I1632" t="s">
        <v>4878</v>
      </c>
      <c r="J1632" t="s">
        <v>1963</v>
      </c>
      <c r="K1632" t="s">
        <v>4919</v>
      </c>
      <c r="L1632" t="s">
        <v>2046</v>
      </c>
      <c r="M1632" t="s">
        <v>4880</v>
      </c>
      <c r="N1632" t="s">
        <v>4881</v>
      </c>
      <c r="O1632" t="s">
        <v>2214</v>
      </c>
      <c r="P1632" t="s">
        <v>2215</v>
      </c>
      <c r="Q1632" t="s">
        <v>2103</v>
      </c>
      <c r="R1632" t="s">
        <v>14</v>
      </c>
      <c r="S1632" t="s">
        <v>4882</v>
      </c>
      <c r="T1632" t="s">
        <v>4883</v>
      </c>
      <c r="U1632" t="s">
        <v>2052</v>
      </c>
      <c r="V1632" t="s">
        <v>14</v>
      </c>
      <c r="W1632" t="b">
        <v>1</v>
      </c>
      <c r="X1632" t="s">
        <v>4920</v>
      </c>
      <c r="Y1632" t="b">
        <v>0</v>
      </c>
      <c r="Z1632" t="s">
        <v>2053</v>
      </c>
    </row>
    <row r="1633" spans="1:26" x14ac:dyDescent="0.35">
      <c r="A1633" t="s">
        <v>1197</v>
      </c>
      <c r="B1633" t="s">
        <v>1198</v>
      </c>
      <c r="C1633" t="s">
        <v>3167</v>
      </c>
      <c r="D1633" t="s">
        <v>1963</v>
      </c>
      <c r="E1633" t="s">
        <v>2020</v>
      </c>
      <c r="F1633" t="s">
        <v>2055</v>
      </c>
      <c r="G1633" t="s">
        <v>2056</v>
      </c>
      <c r="H1633" t="s">
        <v>2023</v>
      </c>
      <c r="I1633" t="s">
        <v>4878</v>
      </c>
      <c r="J1633" t="s">
        <v>1963</v>
      </c>
      <c r="K1633" t="s">
        <v>4921</v>
      </c>
      <c r="L1633" t="s">
        <v>2046</v>
      </c>
      <c r="M1633" t="s">
        <v>4880</v>
      </c>
      <c r="N1633" t="s">
        <v>4881</v>
      </c>
      <c r="O1633" t="s">
        <v>2214</v>
      </c>
      <c r="P1633" t="s">
        <v>2215</v>
      </c>
      <c r="Q1633" t="s">
        <v>2103</v>
      </c>
      <c r="R1633" t="s">
        <v>14</v>
      </c>
      <c r="S1633" t="s">
        <v>4882</v>
      </c>
      <c r="T1633" t="s">
        <v>4883</v>
      </c>
      <c r="U1633" t="s">
        <v>2052</v>
      </c>
      <c r="V1633" t="s">
        <v>14</v>
      </c>
      <c r="W1633" t="b">
        <v>1</v>
      </c>
      <c r="X1633" t="s">
        <v>4922</v>
      </c>
      <c r="Y1633" t="b">
        <v>0</v>
      </c>
      <c r="Z1633" t="s">
        <v>2053</v>
      </c>
    </row>
    <row r="1634" spans="1:26" x14ac:dyDescent="0.35">
      <c r="A1634" t="s">
        <v>1199</v>
      </c>
      <c r="B1634" t="s">
        <v>1200</v>
      </c>
      <c r="C1634" t="s">
        <v>3167</v>
      </c>
      <c r="D1634" t="s">
        <v>1963</v>
      </c>
      <c r="E1634" t="s">
        <v>2020</v>
      </c>
      <c r="F1634" t="s">
        <v>2055</v>
      </c>
      <c r="G1634" t="s">
        <v>2056</v>
      </c>
      <c r="H1634" t="s">
        <v>2023</v>
      </c>
      <c r="I1634" t="s">
        <v>4878</v>
      </c>
      <c r="J1634" t="s">
        <v>1963</v>
      </c>
      <c r="K1634" t="s">
        <v>4923</v>
      </c>
      <c r="L1634" t="s">
        <v>2046</v>
      </c>
      <c r="M1634" t="s">
        <v>4880</v>
      </c>
      <c r="N1634" t="s">
        <v>4881</v>
      </c>
      <c r="O1634" t="s">
        <v>2214</v>
      </c>
      <c r="P1634" t="s">
        <v>2215</v>
      </c>
      <c r="Q1634" t="s">
        <v>2103</v>
      </c>
      <c r="R1634" t="s">
        <v>14</v>
      </c>
      <c r="S1634" t="s">
        <v>4882</v>
      </c>
      <c r="T1634" t="s">
        <v>4883</v>
      </c>
      <c r="U1634" t="s">
        <v>2052</v>
      </c>
      <c r="V1634" t="s">
        <v>14</v>
      </c>
      <c r="W1634" t="b">
        <v>1</v>
      </c>
      <c r="X1634" t="s">
        <v>4924</v>
      </c>
      <c r="Y1634" t="b">
        <v>0</v>
      </c>
      <c r="Z1634" t="s">
        <v>2053</v>
      </c>
    </row>
    <row r="1635" spans="1:26" x14ac:dyDescent="0.35">
      <c r="A1635" t="s">
        <v>1201</v>
      </c>
      <c r="B1635" t="s">
        <v>1202</v>
      </c>
      <c r="C1635" t="s">
        <v>3167</v>
      </c>
      <c r="D1635" t="s">
        <v>1963</v>
      </c>
      <c r="E1635" t="s">
        <v>2020</v>
      </c>
      <c r="F1635" t="s">
        <v>2055</v>
      </c>
      <c r="G1635" t="s">
        <v>2056</v>
      </c>
      <c r="H1635" t="s">
        <v>2023</v>
      </c>
      <c r="I1635" t="s">
        <v>4878</v>
      </c>
      <c r="J1635" t="s">
        <v>1963</v>
      </c>
      <c r="K1635" t="s">
        <v>4925</v>
      </c>
      <c r="L1635" t="s">
        <v>2046</v>
      </c>
      <c r="M1635" t="s">
        <v>4880</v>
      </c>
      <c r="N1635" t="s">
        <v>4881</v>
      </c>
      <c r="O1635" t="s">
        <v>2214</v>
      </c>
      <c r="P1635" t="s">
        <v>2215</v>
      </c>
      <c r="Q1635" t="s">
        <v>2103</v>
      </c>
      <c r="R1635" t="s">
        <v>14</v>
      </c>
      <c r="S1635" t="s">
        <v>4882</v>
      </c>
      <c r="T1635" t="s">
        <v>4883</v>
      </c>
      <c r="U1635" t="s">
        <v>2052</v>
      </c>
      <c r="V1635" t="s">
        <v>14</v>
      </c>
      <c r="W1635" t="b">
        <v>1</v>
      </c>
      <c r="X1635" t="s">
        <v>4926</v>
      </c>
      <c r="Y1635" t="b">
        <v>0</v>
      </c>
      <c r="Z1635" t="s">
        <v>2053</v>
      </c>
    </row>
    <row r="1636" spans="1:26" x14ac:dyDescent="0.35">
      <c r="A1636" t="s">
        <v>1203</v>
      </c>
      <c r="B1636" t="s">
        <v>1204</v>
      </c>
      <c r="C1636" t="s">
        <v>3167</v>
      </c>
      <c r="D1636" t="s">
        <v>1963</v>
      </c>
      <c r="E1636" t="s">
        <v>2020</v>
      </c>
      <c r="F1636" t="s">
        <v>2055</v>
      </c>
      <c r="G1636" t="s">
        <v>2056</v>
      </c>
      <c r="H1636" t="s">
        <v>2023</v>
      </c>
      <c r="I1636" t="s">
        <v>4878</v>
      </c>
      <c r="J1636" t="s">
        <v>1963</v>
      </c>
      <c r="K1636" t="s">
        <v>4927</v>
      </c>
      <c r="L1636" t="s">
        <v>2046</v>
      </c>
      <c r="M1636" t="s">
        <v>4880</v>
      </c>
      <c r="N1636" t="s">
        <v>4881</v>
      </c>
      <c r="O1636" t="s">
        <v>2214</v>
      </c>
      <c r="P1636" t="s">
        <v>2215</v>
      </c>
      <c r="Q1636" t="s">
        <v>2103</v>
      </c>
      <c r="R1636" t="s">
        <v>14</v>
      </c>
      <c r="S1636" t="s">
        <v>4882</v>
      </c>
      <c r="T1636" t="s">
        <v>4883</v>
      </c>
      <c r="U1636" t="s">
        <v>2052</v>
      </c>
      <c r="V1636" t="s">
        <v>14</v>
      </c>
      <c r="W1636" t="b">
        <v>1</v>
      </c>
      <c r="X1636" t="s">
        <v>4928</v>
      </c>
      <c r="Y1636" t="b">
        <v>0</v>
      </c>
      <c r="Z1636" t="s">
        <v>2053</v>
      </c>
    </row>
    <row r="1637" spans="1:26" x14ac:dyDescent="0.35">
      <c r="A1637" t="s">
        <v>1205</v>
      </c>
      <c r="B1637" t="s">
        <v>1206</v>
      </c>
      <c r="C1637" t="s">
        <v>3167</v>
      </c>
      <c r="D1637" t="s">
        <v>1963</v>
      </c>
      <c r="E1637" t="s">
        <v>2020</v>
      </c>
      <c r="F1637" t="s">
        <v>2055</v>
      </c>
      <c r="G1637" t="s">
        <v>2056</v>
      </c>
      <c r="H1637" t="s">
        <v>2023</v>
      </c>
      <c r="I1637" t="s">
        <v>4878</v>
      </c>
      <c r="J1637" t="s">
        <v>1963</v>
      </c>
      <c r="K1637" t="s">
        <v>4929</v>
      </c>
      <c r="L1637" t="s">
        <v>2046</v>
      </c>
      <c r="M1637" t="s">
        <v>4880</v>
      </c>
      <c r="N1637" t="s">
        <v>4881</v>
      </c>
      <c r="O1637" t="s">
        <v>2214</v>
      </c>
      <c r="P1637" t="s">
        <v>2215</v>
      </c>
      <c r="Q1637" t="s">
        <v>2103</v>
      </c>
      <c r="R1637" t="s">
        <v>14</v>
      </c>
      <c r="S1637" t="s">
        <v>4882</v>
      </c>
      <c r="T1637" t="s">
        <v>4883</v>
      </c>
      <c r="U1637" t="s">
        <v>2052</v>
      </c>
      <c r="V1637" t="s">
        <v>14</v>
      </c>
      <c r="W1637" t="b">
        <v>1</v>
      </c>
      <c r="X1637" t="s">
        <v>4930</v>
      </c>
      <c r="Y1637" t="b">
        <v>0</v>
      </c>
      <c r="Z1637" t="s">
        <v>2053</v>
      </c>
    </row>
    <row r="1638" spans="1:26" x14ac:dyDescent="0.35">
      <c r="A1638" t="s">
        <v>1207</v>
      </c>
      <c r="B1638" t="s">
        <v>1208</v>
      </c>
      <c r="C1638" t="s">
        <v>3167</v>
      </c>
      <c r="D1638" t="s">
        <v>1963</v>
      </c>
      <c r="E1638" t="s">
        <v>2020</v>
      </c>
      <c r="F1638" t="s">
        <v>2055</v>
      </c>
      <c r="G1638" t="s">
        <v>2056</v>
      </c>
      <c r="H1638" t="s">
        <v>2023</v>
      </c>
      <c r="I1638" t="s">
        <v>4878</v>
      </c>
      <c r="J1638" t="s">
        <v>1963</v>
      </c>
      <c r="K1638" t="s">
        <v>4931</v>
      </c>
      <c r="L1638" t="s">
        <v>2046</v>
      </c>
      <c r="M1638" t="s">
        <v>4880</v>
      </c>
      <c r="N1638" t="s">
        <v>4881</v>
      </c>
      <c r="O1638" t="s">
        <v>2214</v>
      </c>
      <c r="P1638" t="s">
        <v>2215</v>
      </c>
      <c r="Q1638" t="s">
        <v>2103</v>
      </c>
      <c r="R1638" t="s">
        <v>14</v>
      </c>
      <c r="S1638" t="s">
        <v>4882</v>
      </c>
      <c r="T1638" t="s">
        <v>4883</v>
      </c>
      <c r="U1638" t="s">
        <v>2052</v>
      </c>
      <c r="V1638" t="s">
        <v>14</v>
      </c>
      <c r="W1638" t="b">
        <v>1</v>
      </c>
      <c r="X1638" t="s">
        <v>4932</v>
      </c>
      <c r="Y1638" t="b">
        <v>0</v>
      </c>
      <c r="Z1638" t="s">
        <v>2053</v>
      </c>
    </row>
    <row r="1639" spans="1:26" x14ac:dyDescent="0.35">
      <c r="A1639" t="s">
        <v>1209</v>
      </c>
      <c r="B1639" t="s">
        <v>1210</v>
      </c>
      <c r="C1639" t="s">
        <v>3167</v>
      </c>
      <c r="D1639" t="s">
        <v>1963</v>
      </c>
      <c r="E1639" t="s">
        <v>2020</v>
      </c>
      <c r="F1639" t="s">
        <v>2055</v>
      </c>
      <c r="G1639" t="s">
        <v>2056</v>
      </c>
      <c r="H1639" t="s">
        <v>2023</v>
      </c>
      <c r="I1639" t="s">
        <v>4878</v>
      </c>
      <c r="J1639" t="s">
        <v>1963</v>
      </c>
      <c r="K1639" t="s">
        <v>4933</v>
      </c>
      <c r="L1639" t="s">
        <v>2046</v>
      </c>
      <c r="M1639" t="s">
        <v>4880</v>
      </c>
      <c r="N1639" t="s">
        <v>4881</v>
      </c>
      <c r="O1639" t="s">
        <v>2214</v>
      </c>
      <c r="P1639" t="s">
        <v>2215</v>
      </c>
      <c r="Q1639" t="s">
        <v>2103</v>
      </c>
      <c r="R1639" t="s">
        <v>14</v>
      </c>
      <c r="S1639" t="s">
        <v>4882</v>
      </c>
      <c r="T1639" t="s">
        <v>4883</v>
      </c>
      <c r="U1639" t="s">
        <v>2052</v>
      </c>
      <c r="V1639" t="s">
        <v>14</v>
      </c>
      <c r="W1639" t="b">
        <v>1</v>
      </c>
      <c r="X1639" t="s">
        <v>4934</v>
      </c>
      <c r="Y1639" t="b">
        <v>0</v>
      </c>
      <c r="Z1639" t="s">
        <v>2053</v>
      </c>
    </row>
    <row r="1640" spans="1:26" x14ac:dyDescent="0.35">
      <c r="A1640" t="s">
        <v>1211</v>
      </c>
      <c r="B1640" t="s">
        <v>1212</v>
      </c>
      <c r="C1640" t="s">
        <v>3167</v>
      </c>
      <c r="D1640" t="s">
        <v>1963</v>
      </c>
      <c r="E1640" t="s">
        <v>2020</v>
      </c>
      <c r="F1640" t="s">
        <v>2055</v>
      </c>
      <c r="G1640" t="s">
        <v>2056</v>
      </c>
      <c r="H1640" t="s">
        <v>2023</v>
      </c>
      <c r="I1640" t="s">
        <v>4878</v>
      </c>
      <c r="J1640" t="s">
        <v>1963</v>
      </c>
      <c r="K1640" t="s">
        <v>4935</v>
      </c>
      <c r="L1640" t="s">
        <v>2046</v>
      </c>
      <c r="M1640" t="s">
        <v>4880</v>
      </c>
      <c r="N1640" t="s">
        <v>4881</v>
      </c>
      <c r="O1640" t="s">
        <v>2214</v>
      </c>
      <c r="P1640" t="s">
        <v>2215</v>
      </c>
      <c r="Q1640" t="s">
        <v>2103</v>
      </c>
      <c r="R1640" t="s">
        <v>14</v>
      </c>
      <c r="S1640" t="s">
        <v>4882</v>
      </c>
      <c r="T1640" t="s">
        <v>4883</v>
      </c>
      <c r="U1640" t="s">
        <v>2052</v>
      </c>
      <c r="V1640" t="s">
        <v>14</v>
      </c>
      <c r="W1640" t="b">
        <v>1</v>
      </c>
      <c r="X1640" t="s">
        <v>4936</v>
      </c>
      <c r="Y1640" t="b">
        <v>0</v>
      </c>
      <c r="Z1640" t="s">
        <v>2053</v>
      </c>
    </row>
    <row r="1641" spans="1:26" x14ac:dyDescent="0.35">
      <c r="A1641" t="s">
        <v>1213</v>
      </c>
      <c r="B1641" t="s">
        <v>1214</v>
      </c>
      <c r="C1641" t="s">
        <v>3167</v>
      </c>
      <c r="D1641" t="s">
        <v>1963</v>
      </c>
      <c r="E1641" t="s">
        <v>2020</v>
      </c>
      <c r="F1641" t="s">
        <v>2055</v>
      </c>
      <c r="G1641" t="s">
        <v>2056</v>
      </c>
      <c r="H1641" t="s">
        <v>2023</v>
      </c>
      <c r="I1641" t="s">
        <v>4839</v>
      </c>
      <c r="J1641" t="s">
        <v>1963</v>
      </c>
      <c r="K1641" t="s">
        <v>4937</v>
      </c>
      <c r="L1641" t="s">
        <v>2046</v>
      </c>
      <c r="M1641" t="s">
        <v>4841</v>
      </c>
      <c r="N1641" t="s">
        <v>4842</v>
      </c>
      <c r="O1641" t="s">
        <v>3035</v>
      </c>
      <c r="P1641" t="s">
        <v>3036</v>
      </c>
      <c r="Q1641" t="s">
        <v>3797</v>
      </c>
      <c r="R1641" t="s">
        <v>14</v>
      </c>
      <c r="S1641" t="s">
        <v>4843</v>
      </c>
      <c r="T1641" t="s">
        <v>4844</v>
      </c>
      <c r="U1641" t="s">
        <v>3015</v>
      </c>
      <c r="V1641" t="s">
        <v>14</v>
      </c>
      <c r="W1641" t="b">
        <v>1</v>
      </c>
      <c r="X1641" t="s">
        <v>4938</v>
      </c>
      <c r="Y1641" t="b">
        <v>0</v>
      </c>
      <c r="Z1641" t="s">
        <v>2032</v>
      </c>
    </row>
    <row r="1642" spans="1:26" x14ac:dyDescent="0.35">
      <c r="A1642" t="s">
        <v>1215</v>
      </c>
      <c r="B1642" t="s">
        <v>1216</v>
      </c>
      <c r="C1642" t="s">
        <v>3167</v>
      </c>
      <c r="D1642" t="s">
        <v>1963</v>
      </c>
      <c r="E1642" t="s">
        <v>2020</v>
      </c>
      <c r="F1642" t="s">
        <v>2055</v>
      </c>
      <c r="G1642" t="s">
        <v>2056</v>
      </c>
      <c r="H1642" t="s">
        <v>2023</v>
      </c>
      <c r="I1642" t="s">
        <v>4839</v>
      </c>
      <c r="J1642" t="s">
        <v>1963</v>
      </c>
      <c r="K1642" t="s">
        <v>4939</v>
      </c>
      <c r="L1642" t="s">
        <v>2046</v>
      </c>
      <c r="M1642" t="s">
        <v>4841</v>
      </c>
      <c r="N1642" t="s">
        <v>4842</v>
      </c>
      <c r="O1642" t="s">
        <v>3035</v>
      </c>
      <c r="P1642" t="s">
        <v>3036</v>
      </c>
      <c r="Q1642" t="s">
        <v>3797</v>
      </c>
      <c r="R1642" t="s">
        <v>14</v>
      </c>
      <c r="S1642" t="s">
        <v>4843</v>
      </c>
      <c r="T1642" t="s">
        <v>4844</v>
      </c>
      <c r="U1642" t="s">
        <v>3015</v>
      </c>
      <c r="V1642" t="s">
        <v>14</v>
      </c>
      <c r="W1642" t="b">
        <v>1</v>
      </c>
      <c r="X1642" t="s">
        <v>4940</v>
      </c>
      <c r="Y1642" t="b">
        <v>0</v>
      </c>
      <c r="Z1642" t="s">
        <v>2032</v>
      </c>
    </row>
    <row r="1643" spans="1:26" x14ac:dyDescent="0.35">
      <c r="A1643" t="s">
        <v>1217</v>
      </c>
      <c r="B1643" t="s">
        <v>1218</v>
      </c>
      <c r="C1643" t="s">
        <v>3167</v>
      </c>
      <c r="D1643" t="s">
        <v>1963</v>
      </c>
      <c r="E1643" t="s">
        <v>2020</v>
      </c>
      <c r="F1643" t="s">
        <v>2055</v>
      </c>
      <c r="G1643" t="s">
        <v>2056</v>
      </c>
      <c r="H1643" t="s">
        <v>2023</v>
      </c>
      <c r="I1643" t="s">
        <v>73</v>
      </c>
      <c r="J1643" t="s">
        <v>1963</v>
      </c>
      <c r="K1643" t="s">
        <v>4941</v>
      </c>
      <c r="L1643" t="s">
        <v>2046</v>
      </c>
      <c r="M1643" t="s">
        <v>3152</v>
      </c>
      <c r="N1643" t="s">
        <v>3153</v>
      </c>
      <c r="O1643" t="s">
        <v>3154</v>
      </c>
      <c r="P1643" t="s">
        <v>3155</v>
      </c>
      <c r="Q1643" t="s">
        <v>3156</v>
      </c>
      <c r="R1643" t="s">
        <v>14</v>
      </c>
      <c r="S1643" t="s">
        <v>3157</v>
      </c>
      <c r="T1643" t="s">
        <v>3158</v>
      </c>
      <c r="U1643" t="s">
        <v>3015</v>
      </c>
      <c r="V1643" t="s">
        <v>14</v>
      </c>
      <c r="W1643" t="b">
        <v>1</v>
      </c>
      <c r="X1643" t="s">
        <v>4942</v>
      </c>
      <c r="Y1643" t="b">
        <v>1</v>
      </c>
      <c r="Z1643" t="s">
        <v>2032</v>
      </c>
    </row>
    <row r="1644" spans="1:26" x14ac:dyDescent="0.35">
      <c r="A1644" t="s">
        <v>1219</v>
      </c>
      <c r="B1644" t="s">
        <v>1220</v>
      </c>
      <c r="C1644" t="s">
        <v>3167</v>
      </c>
      <c r="D1644" t="s">
        <v>1963</v>
      </c>
      <c r="E1644" t="s">
        <v>2020</v>
      </c>
      <c r="F1644" t="s">
        <v>2055</v>
      </c>
      <c r="G1644" t="s">
        <v>2056</v>
      </c>
      <c r="H1644" t="s">
        <v>2023</v>
      </c>
      <c r="I1644" t="s">
        <v>73</v>
      </c>
      <c r="J1644" t="s">
        <v>1963</v>
      </c>
      <c r="K1644" t="s">
        <v>4943</v>
      </c>
      <c r="L1644" t="s">
        <v>2046</v>
      </c>
      <c r="M1644" t="s">
        <v>3152</v>
      </c>
      <c r="N1644" t="s">
        <v>3153</v>
      </c>
      <c r="O1644" t="s">
        <v>3154</v>
      </c>
      <c r="P1644" t="s">
        <v>3155</v>
      </c>
      <c r="Q1644" t="s">
        <v>3156</v>
      </c>
      <c r="R1644" t="s">
        <v>14</v>
      </c>
      <c r="S1644" t="s">
        <v>3157</v>
      </c>
      <c r="T1644" t="s">
        <v>3158</v>
      </c>
      <c r="U1644" t="s">
        <v>3015</v>
      </c>
      <c r="V1644" t="s">
        <v>14</v>
      </c>
      <c r="W1644" t="b">
        <v>1</v>
      </c>
      <c r="X1644" t="s">
        <v>4944</v>
      </c>
      <c r="Y1644" t="b">
        <v>1</v>
      </c>
      <c r="Z1644" t="s">
        <v>2032</v>
      </c>
    </row>
    <row r="1645" spans="1:26" x14ac:dyDescent="0.35">
      <c r="A1645" t="s">
        <v>1221</v>
      </c>
      <c r="B1645" t="s">
        <v>1222</v>
      </c>
      <c r="C1645" t="s">
        <v>3167</v>
      </c>
      <c r="D1645" t="s">
        <v>1963</v>
      </c>
      <c r="E1645" t="s">
        <v>2020</v>
      </c>
      <c r="F1645" t="s">
        <v>2055</v>
      </c>
      <c r="G1645" t="s">
        <v>2056</v>
      </c>
      <c r="H1645" t="s">
        <v>2023</v>
      </c>
      <c r="I1645" t="s">
        <v>73</v>
      </c>
      <c r="J1645" t="s">
        <v>1963</v>
      </c>
      <c r="K1645" t="s">
        <v>4945</v>
      </c>
      <c r="L1645" t="s">
        <v>2046</v>
      </c>
      <c r="M1645" t="s">
        <v>3152</v>
      </c>
      <c r="N1645" t="s">
        <v>3153</v>
      </c>
      <c r="O1645" t="s">
        <v>3154</v>
      </c>
      <c r="P1645" t="s">
        <v>3155</v>
      </c>
      <c r="Q1645" t="s">
        <v>3156</v>
      </c>
      <c r="R1645" t="s">
        <v>14</v>
      </c>
      <c r="S1645" t="s">
        <v>3157</v>
      </c>
      <c r="T1645" t="s">
        <v>3158</v>
      </c>
      <c r="U1645" t="s">
        <v>3015</v>
      </c>
      <c r="V1645" t="s">
        <v>14</v>
      </c>
      <c r="W1645" t="b">
        <v>1</v>
      </c>
      <c r="X1645" t="s">
        <v>4946</v>
      </c>
      <c r="Y1645" t="b">
        <v>1</v>
      </c>
      <c r="Z1645" t="s">
        <v>2032</v>
      </c>
    </row>
    <row r="1646" spans="1:26" x14ac:dyDescent="0.35">
      <c r="A1646" t="s">
        <v>1223</v>
      </c>
      <c r="B1646" t="s">
        <v>1224</v>
      </c>
      <c r="C1646" t="s">
        <v>3167</v>
      </c>
      <c r="D1646" t="s">
        <v>1963</v>
      </c>
      <c r="E1646" t="s">
        <v>2020</v>
      </c>
      <c r="F1646" t="s">
        <v>2055</v>
      </c>
      <c r="G1646" t="s">
        <v>2056</v>
      </c>
      <c r="H1646" t="s">
        <v>2023</v>
      </c>
      <c r="I1646" t="s">
        <v>73</v>
      </c>
      <c r="J1646" t="s">
        <v>1963</v>
      </c>
      <c r="K1646" t="s">
        <v>4947</v>
      </c>
      <c r="L1646" t="s">
        <v>2046</v>
      </c>
      <c r="M1646" t="s">
        <v>3152</v>
      </c>
      <c r="N1646" t="s">
        <v>3153</v>
      </c>
      <c r="O1646" t="s">
        <v>3154</v>
      </c>
      <c r="P1646" t="s">
        <v>3155</v>
      </c>
      <c r="Q1646" t="s">
        <v>3156</v>
      </c>
      <c r="R1646" t="s">
        <v>14</v>
      </c>
      <c r="S1646" t="s">
        <v>3157</v>
      </c>
      <c r="T1646" t="s">
        <v>3158</v>
      </c>
      <c r="U1646" t="s">
        <v>3015</v>
      </c>
      <c r="V1646" t="s">
        <v>14</v>
      </c>
      <c r="W1646" t="b">
        <v>1</v>
      </c>
      <c r="X1646" t="s">
        <v>4948</v>
      </c>
      <c r="Y1646" t="b">
        <v>1</v>
      </c>
      <c r="Z1646" t="s">
        <v>2032</v>
      </c>
    </row>
    <row r="1647" spans="1:26" x14ac:dyDescent="0.35">
      <c r="A1647" t="s">
        <v>1225</v>
      </c>
      <c r="B1647" t="s">
        <v>1226</v>
      </c>
      <c r="C1647" t="s">
        <v>3167</v>
      </c>
      <c r="D1647" t="s">
        <v>1963</v>
      </c>
      <c r="E1647" t="s">
        <v>2020</v>
      </c>
      <c r="F1647" t="s">
        <v>2055</v>
      </c>
      <c r="G1647" t="s">
        <v>2056</v>
      </c>
      <c r="H1647" t="s">
        <v>2023</v>
      </c>
      <c r="I1647" t="s">
        <v>73</v>
      </c>
      <c r="J1647" t="s">
        <v>1963</v>
      </c>
      <c r="K1647" t="s">
        <v>4949</v>
      </c>
      <c r="L1647" t="s">
        <v>2046</v>
      </c>
      <c r="M1647" t="s">
        <v>3152</v>
      </c>
      <c r="N1647" t="s">
        <v>3153</v>
      </c>
      <c r="O1647" t="s">
        <v>3154</v>
      </c>
      <c r="P1647" t="s">
        <v>3155</v>
      </c>
      <c r="Q1647" t="s">
        <v>3156</v>
      </c>
      <c r="R1647" t="s">
        <v>14</v>
      </c>
      <c r="S1647" t="s">
        <v>3157</v>
      </c>
      <c r="T1647" t="s">
        <v>3158</v>
      </c>
      <c r="U1647" t="s">
        <v>3015</v>
      </c>
      <c r="V1647" t="s">
        <v>14</v>
      </c>
      <c r="W1647" t="b">
        <v>1</v>
      </c>
      <c r="X1647" t="s">
        <v>4950</v>
      </c>
      <c r="Y1647" t="b">
        <v>1</v>
      </c>
      <c r="Z1647" t="s">
        <v>2032</v>
      </c>
    </row>
    <row r="1648" spans="1:26" x14ac:dyDescent="0.35">
      <c r="A1648" t="s">
        <v>1227</v>
      </c>
      <c r="B1648" t="s">
        <v>1228</v>
      </c>
      <c r="C1648" t="s">
        <v>3167</v>
      </c>
      <c r="D1648" t="s">
        <v>1963</v>
      </c>
      <c r="E1648" t="s">
        <v>2020</v>
      </c>
      <c r="F1648" t="s">
        <v>2055</v>
      </c>
      <c r="G1648" t="s">
        <v>2056</v>
      </c>
      <c r="H1648" t="s">
        <v>2023</v>
      </c>
      <c r="I1648" t="s">
        <v>73</v>
      </c>
      <c r="J1648" t="s">
        <v>1963</v>
      </c>
      <c r="K1648" t="s">
        <v>4951</v>
      </c>
      <c r="L1648" t="s">
        <v>2046</v>
      </c>
      <c r="M1648" t="s">
        <v>3152</v>
      </c>
      <c r="N1648" t="s">
        <v>3153</v>
      </c>
      <c r="O1648" t="s">
        <v>3154</v>
      </c>
      <c r="P1648" t="s">
        <v>3155</v>
      </c>
      <c r="Q1648" t="s">
        <v>3156</v>
      </c>
      <c r="R1648" t="s">
        <v>14</v>
      </c>
      <c r="S1648" t="s">
        <v>3157</v>
      </c>
      <c r="T1648" t="s">
        <v>3158</v>
      </c>
      <c r="U1648" t="s">
        <v>3015</v>
      </c>
      <c r="V1648" t="s">
        <v>14</v>
      </c>
      <c r="W1648" t="b">
        <v>1</v>
      </c>
      <c r="X1648" t="s">
        <v>4952</v>
      </c>
      <c r="Y1648" t="b">
        <v>1</v>
      </c>
      <c r="Z1648" t="s">
        <v>2032</v>
      </c>
    </row>
    <row r="1649" spans="1:26" x14ac:dyDescent="0.35">
      <c r="A1649" t="s">
        <v>1229</v>
      </c>
      <c r="B1649" t="s">
        <v>1230</v>
      </c>
      <c r="C1649" t="s">
        <v>3167</v>
      </c>
      <c r="D1649" t="s">
        <v>1963</v>
      </c>
      <c r="E1649" t="s">
        <v>2020</v>
      </c>
      <c r="F1649" t="s">
        <v>2055</v>
      </c>
      <c r="G1649" t="s">
        <v>2056</v>
      </c>
      <c r="H1649" t="s">
        <v>2023</v>
      </c>
      <c r="I1649" t="s">
        <v>73</v>
      </c>
      <c r="J1649" t="s">
        <v>1963</v>
      </c>
      <c r="K1649" t="s">
        <v>4953</v>
      </c>
      <c r="L1649" t="s">
        <v>2046</v>
      </c>
      <c r="M1649" t="s">
        <v>3152</v>
      </c>
      <c r="N1649" t="s">
        <v>3153</v>
      </c>
      <c r="O1649" t="s">
        <v>3154</v>
      </c>
      <c r="P1649" t="s">
        <v>3155</v>
      </c>
      <c r="Q1649" t="s">
        <v>3156</v>
      </c>
      <c r="R1649" t="s">
        <v>14</v>
      </c>
      <c r="S1649" t="s">
        <v>3157</v>
      </c>
      <c r="T1649" t="s">
        <v>3158</v>
      </c>
      <c r="U1649" t="s">
        <v>3015</v>
      </c>
      <c r="V1649" t="s">
        <v>14</v>
      </c>
      <c r="W1649" t="b">
        <v>1</v>
      </c>
      <c r="X1649" t="s">
        <v>4954</v>
      </c>
      <c r="Y1649" t="b">
        <v>1</v>
      </c>
      <c r="Z1649" t="s">
        <v>2032</v>
      </c>
    </row>
    <row r="1650" spans="1:26" x14ac:dyDescent="0.35">
      <c r="A1650" t="s">
        <v>1231</v>
      </c>
      <c r="B1650" t="s">
        <v>1232</v>
      </c>
      <c r="C1650" t="s">
        <v>3167</v>
      </c>
      <c r="D1650" t="s">
        <v>1963</v>
      </c>
      <c r="E1650" t="s">
        <v>2020</v>
      </c>
      <c r="F1650" t="s">
        <v>2055</v>
      </c>
      <c r="G1650" t="s">
        <v>2056</v>
      </c>
      <c r="H1650" t="s">
        <v>2023</v>
      </c>
      <c r="I1650" t="s">
        <v>73</v>
      </c>
      <c r="J1650" t="s">
        <v>1963</v>
      </c>
      <c r="K1650" t="s">
        <v>4955</v>
      </c>
      <c r="L1650" t="s">
        <v>2046</v>
      </c>
      <c r="M1650" t="s">
        <v>3152</v>
      </c>
      <c r="N1650" t="s">
        <v>3153</v>
      </c>
      <c r="O1650" t="s">
        <v>3154</v>
      </c>
      <c r="P1650" t="s">
        <v>3155</v>
      </c>
      <c r="Q1650" t="s">
        <v>3156</v>
      </c>
      <c r="R1650" t="s">
        <v>14</v>
      </c>
      <c r="S1650" t="s">
        <v>3157</v>
      </c>
      <c r="T1650" t="s">
        <v>3158</v>
      </c>
      <c r="U1650" t="s">
        <v>3015</v>
      </c>
      <c r="V1650" t="s">
        <v>14</v>
      </c>
      <c r="W1650" t="b">
        <v>1</v>
      </c>
      <c r="X1650" t="s">
        <v>4956</v>
      </c>
      <c r="Y1650" t="b">
        <v>1</v>
      </c>
      <c r="Z1650" t="s">
        <v>2032</v>
      </c>
    </row>
    <row r="1651" spans="1:26" x14ac:dyDescent="0.35">
      <c r="A1651" t="s">
        <v>1233</v>
      </c>
      <c r="B1651" t="s">
        <v>1234</v>
      </c>
      <c r="C1651" t="s">
        <v>3167</v>
      </c>
      <c r="D1651" t="s">
        <v>1963</v>
      </c>
      <c r="E1651" t="s">
        <v>2020</v>
      </c>
      <c r="F1651" t="s">
        <v>2055</v>
      </c>
      <c r="G1651" t="s">
        <v>2056</v>
      </c>
      <c r="H1651" t="s">
        <v>2023</v>
      </c>
      <c r="I1651" t="s">
        <v>73</v>
      </c>
      <c r="J1651" t="s">
        <v>1963</v>
      </c>
      <c r="K1651" t="s">
        <v>4957</v>
      </c>
      <c r="L1651" t="s">
        <v>2046</v>
      </c>
      <c r="M1651" t="s">
        <v>3152</v>
      </c>
      <c r="N1651" t="s">
        <v>3153</v>
      </c>
      <c r="O1651" t="s">
        <v>3154</v>
      </c>
      <c r="P1651" t="s">
        <v>3155</v>
      </c>
      <c r="Q1651" t="s">
        <v>3156</v>
      </c>
      <c r="R1651" t="s">
        <v>14</v>
      </c>
      <c r="S1651" t="s">
        <v>3157</v>
      </c>
      <c r="T1651" t="s">
        <v>3158</v>
      </c>
      <c r="U1651" t="s">
        <v>3015</v>
      </c>
      <c r="V1651" t="s">
        <v>14</v>
      </c>
      <c r="W1651" t="b">
        <v>1</v>
      </c>
      <c r="X1651" t="s">
        <v>4958</v>
      </c>
      <c r="Y1651" t="b">
        <v>1</v>
      </c>
      <c r="Z1651" t="s">
        <v>2032</v>
      </c>
    </row>
    <row r="1652" spans="1:26" x14ac:dyDescent="0.35">
      <c r="A1652" t="s">
        <v>1235</v>
      </c>
      <c r="B1652" t="s">
        <v>1236</v>
      </c>
      <c r="C1652" t="s">
        <v>3167</v>
      </c>
      <c r="D1652" t="s">
        <v>1963</v>
      </c>
      <c r="E1652" t="s">
        <v>2020</v>
      </c>
      <c r="F1652" t="s">
        <v>2055</v>
      </c>
      <c r="G1652" t="s">
        <v>2056</v>
      </c>
      <c r="H1652" t="s">
        <v>2023</v>
      </c>
      <c r="I1652" t="s">
        <v>73</v>
      </c>
      <c r="J1652" t="s">
        <v>1963</v>
      </c>
      <c r="K1652" t="s">
        <v>4959</v>
      </c>
      <c r="L1652" t="s">
        <v>2046</v>
      </c>
      <c r="M1652" t="s">
        <v>3152</v>
      </c>
      <c r="N1652" t="s">
        <v>3153</v>
      </c>
      <c r="O1652" t="s">
        <v>3154</v>
      </c>
      <c r="P1652" t="s">
        <v>3155</v>
      </c>
      <c r="Q1652" t="s">
        <v>3156</v>
      </c>
      <c r="R1652" t="s">
        <v>14</v>
      </c>
      <c r="S1652" t="s">
        <v>3157</v>
      </c>
      <c r="T1652" t="s">
        <v>3158</v>
      </c>
      <c r="U1652" t="s">
        <v>3015</v>
      </c>
      <c r="V1652" t="s">
        <v>14</v>
      </c>
      <c r="W1652" t="b">
        <v>1</v>
      </c>
      <c r="X1652" t="s">
        <v>4960</v>
      </c>
      <c r="Y1652" t="b">
        <v>1</v>
      </c>
      <c r="Z1652" t="s">
        <v>2032</v>
      </c>
    </row>
    <row r="1653" spans="1:26" x14ac:dyDescent="0.35">
      <c r="A1653" t="s">
        <v>1237</v>
      </c>
      <c r="B1653" t="s">
        <v>1238</v>
      </c>
      <c r="C1653" t="s">
        <v>3167</v>
      </c>
      <c r="D1653" t="s">
        <v>1963</v>
      </c>
      <c r="E1653" t="s">
        <v>2020</v>
      </c>
      <c r="F1653" t="s">
        <v>2055</v>
      </c>
      <c r="G1653" t="s">
        <v>2056</v>
      </c>
      <c r="H1653" t="s">
        <v>2023</v>
      </c>
      <c r="I1653" t="s">
        <v>73</v>
      </c>
      <c r="J1653" t="s">
        <v>1963</v>
      </c>
      <c r="K1653" t="s">
        <v>4961</v>
      </c>
      <c r="L1653" t="s">
        <v>2046</v>
      </c>
      <c r="M1653" t="s">
        <v>3152</v>
      </c>
      <c r="N1653" t="s">
        <v>3153</v>
      </c>
      <c r="O1653" t="s">
        <v>3154</v>
      </c>
      <c r="P1653" t="s">
        <v>3155</v>
      </c>
      <c r="Q1653" t="s">
        <v>3156</v>
      </c>
      <c r="R1653" t="s">
        <v>14</v>
      </c>
      <c r="S1653" t="s">
        <v>3157</v>
      </c>
      <c r="T1653" t="s">
        <v>3158</v>
      </c>
      <c r="U1653" t="s">
        <v>3015</v>
      </c>
      <c r="V1653" t="s">
        <v>14</v>
      </c>
      <c r="W1653" t="b">
        <v>1</v>
      </c>
      <c r="X1653" t="s">
        <v>4962</v>
      </c>
      <c r="Y1653" t="b">
        <v>1</v>
      </c>
      <c r="Z1653" t="s">
        <v>2032</v>
      </c>
    </row>
    <row r="1654" spans="1:26" x14ac:dyDescent="0.35">
      <c r="A1654" t="s">
        <v>1239</v>
      </c>
      <c r="B1654" t="s">
        <v>1240</v>
      </c>
      <c r="C1654" t="s">
        <v>3167</v>
      </c>
      <c r="D1654" t="s">
        <v>1963</v>
      </c>
      <c r="E1654" t="s">
        <v>2020</v>
      </c>
      <c r="F1654" t="s">
        <v>2055</v>
      </c>
      <c r="G1654" t="s">
        <v>2056</v>
      </c>
      <c r="H1654" t="s">
        <v>2023</v>
      </c>
      <c r="I1654" t="s">
        <v>73</v>
      </c>
      <c r="J1654" t="s">
        <v>1963</v>
      </c>
      <c r="K1654" t="s">
        <v>4963</v>
      </c>
      <c r="L1654" t="s">
        <v>2046</v>
      </c>
      <c r="M1654" t="s">
        <v>3152</v>
      </c>
      <c r="N1654" t="s">
        <v>3153</v>
      </c>
      <c r="O1654" t="s">
        <v>3154</v>
      </c>
      <c r="P1654" t="s">
        <v>3155</v>
      </c>
      <c r="Q1654" t="s">
        <v>3156</v>
      </c>
      <c r="R1654" t="s">
        <v>14</v>
      </c>
      <c r="S1654" t="s">
        <v>3157</v>
      </c>
      <c r="T1654" t="s">
        <v>3158</v>
      </c>
      <c r="U1654" t="s">
        <v>3015</v>
      </c>
      <c r="V1654" t="s">
        <v>14</v>
      </c>
      <c r="W1654" t="b">
        <v>1</v>
      </c>
      <c r="X1654" t="s">
        <v>4964</v>
      </c>
      <c r="Y1654" t="b">
        <v>1</v>
      </c>
      <c r="Z1654" t="s">
        <v>2032</v>
      </c>
    </row>
    <row r="1655" spans="1:26" x14ac:dyDescent="0.35">
      <c r="A1655" t="s">
        <v>1241</v>
      </c>
      <c r="B1655" t="s">
        <v>1242</v>
      </c>
      <c r="C1655" t="s">
        <v>3167</v>
      </c>
      <c r="D1655" t="s">
        <v>1963</v>
      </c>
      <c r="E1655" t="s">
        <v>2020</v>
      </c>
      <c r="F1655" t="s">
        <v>2055</v>
      </c>
      <c r="G1655" t="s">
        <v>2056</v>
      </c>
      <c r="H1655" t="s">
        <v>2023</v>
      </c>
      <c r="I1655" t="s">
        <v>73</v>
      </c>
      <c r="J1655" t="s">
        <v>1963</v>
      </c>
      <c r="K1655" t="s">
        <v>4965</v>
      </c>
      <c r="L1655" t="s">
        <v>2046</v>
      </c>
      <c r="M1655" t="s">
        <v>3152</v>
      </c>
      <c r="N1655" t="s">
        <v>3153</v>
      </c>
      <c r="O1655" t="s">
        <v>3154</v>
      </c>
      <c r="P1655" t="s">
        <v>3155</v>
      </c>
      <c r="Q1655" t="s">
        <v>3156</v>
      </c>
      <c r="R1655" t="s">
        <v>14</v>
      </c>
      <c r="S1655" t="s">
        <v>3157</v>
      </c>
      <c r="T1655" t="s">
        <v>3158</v>
      </c>
      <c r="U1655" t="s">
        <v>3015</v>
      </c>
      <c r="V1655" t="s">
        <v>14</v>
      </c>
      <c r="W1655" t="b">
        <v>1</v>
      </c>
      <c r="X1655" t="s">
        <v>4966</v>
      </c>
      <c r="Y1655" t="b">
        <v>1</v>
      </c>
      <c r="Z1655" t="s">
        <v>2032</v>
      </c>
    </row>
    <row r="1656" spans="1:26" x14ac:dyDescent="0.35">
      <c r="A1656" t="s">
        <v>1243</v>
      </c>
      <c r="B1656" t="s">
        <v>1244</v>
      </c>
      <c r="C1656" t="s">
        <v>3167</v>
      </c>
      <c r="D1656" t="s">
        <v>1963</v>
      </c>
      <c r="E1656" t="s">
        <v>2020</v>
      </c>
      <c r="F1656" t="s">
        <v>2055</v>
      </c>
      <c r="G1656" t="s">
        <v>2056</v>
      </c>
      <c r="H1656" t="s">
        <v>2023</v>
      </c>
      <c r="I1656" t="s">
        <v>73</v>
      </c>
      <c r="J1656" t="s">
        <v>1963</v>
      </c>
      <c r="K1656" t="s">
        <v>4967</v>
      </c>
      <c r="L1656" t="s">
        <v>2046</v>
      </c>
      <c r="M1656" t="s">
        <v>3152</v>
      </c>
      <c r="N1656" t="s">
        <v>3153</v>
      </c>
      <c r="O1656" t="s">
        <v>3154</v>
      </c>
      <c r="P1656" t="s">
        <v>3155</v>
      </c>
      <c r="Q1656" t="s">
        <v>3156</v>
      </c>
      <c r="R1656" t="s">
        <v>14</v>
      </c>
      <c r="S1656" t="s">
        <v>3157</v>
      </c>
      <c r="T1656" t="s">
        <v>3158</v>
      </c>
      <c r="U1656" t="s">
        <v>3015</v>
      </c>
      <c r="V1656" t="s">
        <v>14</v>
      </c>
      <c r="W1656" t="b">
        <v>1</v>
      </c>
      <c r="X1656" t="s">
        <v>4968</v>
      </c>
      <c r="Y1656" t="b">
        <v>1</v>
      </c>
      <c r="Z1656" t="s">
        <v>2032</v>
      </c>
    </row>
    <row r="1657" spans="1:26" x14ac:dyDescent="0.35">
      <c r="A1657" t="s">
        <v>1245</v>
      </c>
      <c r="B1657" t="s">
        <v>1246</v>
      </c>
      <c r="C1657" t="s">
        <v>3167</v>
      </c>
      <c r="D1657" t="s">
        <v>1963</v>
      </c>
      <c r="E1657" t="s">
        <v>2020</v>
      </c>
      <c r="F1657" t="s">
        <v>2055</v>
      </c>
      <c r="G1657" t="s">
        <v>2056</v>
      </c>
      <c r="H1657" t="s">
        <v>2023</v>
      </c>
      <c r="I1657" t="s">
        <v>73</v>
      </c>
      <c r="J1657" t="s">
        <v>1963</v>
      </c>
      <c r="K1657" t="s">
        <v>4969</v>
      </c>
      <c r="L1657" t="s">
        <v>2046</v>
      </c>
      <c r="M1657" t="s">
        <v>3152</v>
      </c>
      <c r="N1657" t="s">
        <v>3153</v>
      </c>
      <c r="O1657" t="s">
        <v>3154</v>
      </c>
      <c r="P1657" t="s">
        <v>3155</v>
      </c>
      <c r="Q1657" t="s">
        <v>3156</v>
      </c>
      <c r="R1657" t="s">
        <v>14</v>
      </c>
      <c r="S1657" t="s">
        <v>3157</v>
      </c>
      <c r="T1657" t="s">
        <v>3158</v>
      </c>
      <c r="U1657" t="s">
        <v>3015</v>
      </c>
      <c r="V1657" t="s">
        <v>14</v>
      </c>
      <c r="W1657" t="b">
        <v>1</v>
      </c>
      <c r="X1657" t="s">
        <v>4970</v>
      </c>
      <c r="Y1657" t="b">
        <v>1</v>
      </c>
      <c r="Z1657" t="s">
        <v>2032</v>
      </c>
    </row>
    <row r="1658" spans="1:26" x14ac:dyDescent="0.35">
      <c r="A1658" t="s">
        <v>1247</v>
      </c>
      <c r="B1658" t="s">
        <v>1248</v>
      </c>
      <c r="C1658" t="s">
        <v>3167</v>
      </c>
      <c r="D1658" t="s">
        <v>1963</v>
      </c>
      <c r="E1658" t="s">
        <v>2020</v>
      </c>
      <c r="F1658" t="s">
        <v>2055</v>
      </c>
      <c r="G1658" t="s">
        <v>2056</v>
      </c>
      <c r="H1658" t="s">
        <v>2023</v>
      </c>
      <c r="I1658" t="s">
        <v>73</v>
      </c>
      <c r="J1658" t="s">
        <v>1963</v>
      </c>
      <c r="K1658" t="s">
        <v>4971</v>
      </c>
      <c r="L1658" t="s">
        <v>2046</v>
      </c>
      <c r="M1658" t="s">
        <v>3152</v>
      </c>
      <c r="N1658" t="s">
        <v>3153</v>
      </c>
      <c r="O1658" t="s">
        <v>3154</v>
      </c>
      <c r="P1658" t="s">
        <v>3155</v>
      </c>
      <c r="Q1658" t="s">
        <v>3156</v>
      </c>
      <c r="R1658" t="s">
        <v>14</v>
      </c>
      <c r="S1658" t="s">
        <v>3157</v>
      </c>
      <c r="T1658" t="s">
        <v>3158</v>
      </c>
      <c r="U1658" t="s">
        <v>3015</v>
      </c>
      <c r="V1658" t="s">
        <v>14</v>
      </c>
      <c r="W1658" t="b">
        <v>1</v>
      </c>
      <c r="X1658" t="s">
        <v>4972</v>
      </c>
      <c r="Y1658" t="b">
        <v>1</v>
      </c>
      <c r="Z1658" t="s">
        <v>2032</v>
      </c>
    </row>
    <row r="1659" spans="1:26" x14ac:dyDescent="0.35">
      <c r="A1659" t="s">
        <v>1249</v>
      </c>
      <c r="B1659" t="s">
        <v>1250</v>
      </c>
      <c r="C1659" t="s">
        <v>3167</v>
      </c>
      <c r="D1659" t="s">
        <v>1963</v>
      </c>
      <c r="E1659" t="s">
        <v>2020</v>
      </c>
      <c r="F1659" t="s">
        <v>2055</v>
      </c>
      <c r="G1659" t="s">
        <v>2056</v>
      </c>
      <c r="H1659" t="s">
        <v>2023</v>
      </c>
      <c r="I1659" t="s">
        <v>73</v>
      </c>
      <c r="J1659" t="s">
        <v>1963</v>
      </c>
      <c r="K1659" t="s">
        <v>4973</v>
      </c>
      <c r="L1659" t="s">
        <v>2046</v>
      </c>
      <c r="M1659" t="s">
        <v>3152</v>
      </c>
      <c r="N1659" t="s">
        <v>3153</v>
      </c>
      <c r="O1659" t="s">
        <v>3154</v>
      </c>
      <c r="P1659" t="s">
        <v>3155</v>
      </c>
      <c r="Q1659" t="s">
        <v>3156</v>
      </c>
      <c r="R1659" t="s">
        <v>14</v>
      </c>
      <c r="S1659" t="s">
        <v>3157</v>
      </c>
      <c r="T1659" t="s">
        <v>3158</v>
      </c>
      <c r="U1659" t="s">
        <v>3015</v>
      </c>
      <c r="V1659" t="s">
        <v>14</v>
      </c>
      <c r="W1659" t="b">
        <v>1</v>
      </c>
      <c r="X1659" t="s">
        <v>4974</v>
      </c>
      <c r="Y1659" t="b">
        <v>1</v>
      </c>
      <c r="Z1659" t="s">
        <v>2032</v>
      </c>
    </row>
    <row r="1660" spans="1:26" x14ac:dyDescent="0.35">
      <c r="A1660" t="s">
        <v>1251</v>
      </c>
      <c r="B1660" t="s">
        <v>1252</v>
      </c>
      <c r="C1660" t="s">
        <v>3167</v>
      </c>
      <c r="D1660" t="s">
        <v>1963</v>
      </c>
      <c r="E1660" t="s">
        <v>2020</v>
      </c>
      <c r="F1660" t="s">
        <v>2055</v>
      </c>
      <c r="G1660" t="s">
        <v>2056</v>
      </c>
      <c r="H1660" t="s">
        <v>2023</v>
      </c>
      <c r="I1660" t="s">
        <v>73</v>
      </c>
      <c r="J1660" t="s">
        <v>1963</v>
      </c>
      <c r="K1660" t="s">
        <v>4975</v>
      </c>
      <c r="L1660" t="s">
        <v>2046</v>
      </c>
      <c r="M1660" t="s">
        <v>3152</v>
      </c>
      <c r="N1660" t="s">
        <v>3153</v>
      </c>
      <c r="O1660" t="s">
        <v>3154</v>
      </c>
      <c r="P1660" t="s">
        <v>3155</v>
      </c>
      <c r="Q1660" t="s">
        <v>3156</v>
      </c>
      <c r="R1660" t="s">
        <v>14</v>
      </c>
      <c r="S1660" t="s">
        <v>3157</v>
      </c>
      <c r="T1660" t="s">
        <v>3158</v>
      </c>
      <c r="U1660" t="s">
        <v>3015</v>
      </c>
      <c r="V1660" t="s">
        <v>14</v>
      </c>
      <c r="W1660" t="b">
        <v>1</v>
      </c>
      <c r="X1660" t="s">
        <v>4976</v>
      </c>
      <c r="Y1660" t="b">
        <v>1</v>
      </c>
      <c r="Z1660" t="s">
        <v>2032</v>
      </c>
    </row>
    <row r="1661" spans="1:26" x14ac:dyDescent="0.35">
      <c r="A1661" t="s">
        <v>1253</v>
      </c>
      <c r="B1661" t="s">
        <v>1254</v>
      </c>
      <c r="C1661" t="s">
        <v>3167</v>
      </c>
      <c r="D1661" t="s">
        <v>1963</v>
      </c>
      <c r="E1661" t="s">
        <v>2020</v>
      </c>
      <c r="F1661" t="s">
        <v>2055</v>
      </c>
      <c r="G1661" t="s">
        <v>2056</v>
      </c>
      <c r="H1661" t="s">
        <v>2023</v>
      </c>
      <c r="I1661" t="s">
        <v>73</v>
      </c>
      <c r="J1661" t="s">
        <v>1963</v>
      </c>
      <c r="K1661" t="s">
        <v>4977</v>
      </c>
      <c r="L1661" t="s">
        <v>2046</v>
      </c>
      <c r="M1661" t="s">
        <v>3152</v>
      </c>
      <c r="N1661" t="s">
        <v>3153</v>
      </c>
      <c r="O1661" t="s">
        <v>3154</v>
      </c>
      <c r="P1661" t="s">
        <v>3155</v>
      </c>
      <c r="Q1661" t="s">
        <v>3156</v>
      </c>
      <c r="R1661" t="s">
        <v>14</v>
      </c>
      <c r="S1661" t="s">
        <v>3157</v>
      </c>
      <c r="T1661" t="s">
        <v>3158</v>
      </c>
      <c r="U1661" t="s">
        <v>3015</v>
      </c>
      <c r="V1661" t="s">
        <v>14</v>
      </c>
      <c r="W1661" t="b">
        <v>1</v>
      </c>
      <c r="X1661" t="s">
        <v>4978</v>
      </c>
      <c r="Y1661" t="b">
        <v>1</v>
      </c>
      <c r="Z1661" t="s">
        <v>2032</v>
      </c>
    </row>
    <row r="1662" spans="1:26" x14ac:dyDescent="0.35">
      <c r="A1662" t="s">
        <v>1255</v>
      </c>
      <c r="B1662" t="s">
        <v>1256</v>
      </c>
      <c r="C1662" t="s">
        <v>3167</v>
      </c>
      <c r="D1662" t="s">
        <v>1963</v>
      </c>
      <c r="E1662" t="s">
        <v>2020</v>
      </c>
      <c r="F1662" t="s">
        <v>2055</v>
      </c>
      <c r="G1662" t="s">
        <v>2056</v>
      </c>
      <c r="H1662" t="s">
        <v>2023</v>
      </c>
      <c r="I1662" t="s">
        <v>73</v>
      </c>
      <c r="J1662" t="s">
        <v>1963</v>
      </c>
      <c r="K1662" t="s">
        <v>4979</v>
      </c>
      <c r="L1662" t="s">
        <v>2046</v>
      </c>
      <c r="M1662" t="s">
        <v>3152</v>
      </c>
      <c r="N1662" t="s">
        <v>3153</v>
      </c>
      <c r="O1662" t="s">
        <v>3154</v>
      </c>
      <c r="P1662" t="s">
        <v>3155</v>
      </c>
      <c r="Q1662" t="s">
        <v>3156</v>
      </c>
      <c r="R1662" t="s">
        <v>14</v>
      </c>
      <c r="S1662" t="s">
        <v>3157</v>
      </c>
      <c r="T1662" t="s">
        <v>3158</v>
      </c>
      <c r="U1662" t="s">
        <v>3015</v>
      </c>
      <c r="V1662" t="s">
        <v>14</v>
      </c>
      <c r="W1662" t="b">
        <v>1</v>
      </c>
      <c r="X1662" t="s">
        <v>4980</v>
      </c>
      <c r="Y1662" t="b">
        <v>1</v>
      </c>
      <c r="Z1662" t="s">
        <v>2032</v>
      </c>
    </row>
    <row r="1663" spans="1:26" x14ac:dyDescent="0.35">
      <c r="A1663" t="s">
        <v>1257</v>
      </c>
      <c r="B1663" t="s">
        <v>1258</v>
      </c>
      <c r="C1663" t="s">
        <v>3167</v>
      </c>
      <c r="D1663" t="s">
        <v>1963</v>
      </c>
      <c r="E1663" t="s">
        <v>2020</v>
      </c>
      <c r="F1663" t="s">
        <v>2055</v>
      </c>
      <c r="G1663" t="s">
        <v>2056</v>
      </c>
      <c r="H1663" t="s">
        <v>2023</v>
      </c>
      <c r="I1663" t="s">
        <v>73</v>
      </c>
      <c r="J1663" t="s">
        <v>1963</v>
      </c>
      <c r="K1663" t="s">
        <v>4981</v>
      </c>
      <c r="L1663" t="s">
        <v>2046</v>
      </c>
      <c r="M1663" t="s">
        <v>3152</v>
      </c>
      <c r="N1663" t="s">
        <v>3153</v>
      </c>
      <c r="O1663" t="s">
        <v>3154</v>
      </c>
      <c r="P1663" t="s">
        <v>3155</v>
      </c>
      <c r="Q1663" t="s">
        <v>3156</v>
      </c>
      <c r="R1663" t="s">
        <v>14</v>
      </c>
      <c r="S1663" t="s">
        <v>3157</v>
      </c>
      <c r="T1663" t="s">
        <v>3158</v>
      </c>
      <c r="U1663" t="s">
        <v>3015</v>
      </c>
      <c r="V1663" t="s">
        <v>14</v>
      </c>
      <c r="W1663" t="b">
        <v>1</v>
      </c>
      <c r="X1663" t="s">
        <v>4982</v>
      </c>
      <c r="Y1663" t="b">
        <v>1</v>
      </c>
      <c r="Z1663" t="s">
        <v>2032</v>
      </c>
    </row>
    <row r="1664" spans="1:26" x14ac:dyDescent="0.35">
      <c r="A1664" t="s">
        <v>1259</v>
      </c>
      <c r="B1664" t="s">
        <v>1260</v>
      </c>
      <c r="C1664" t="s">
        <v>3167</v>
      </c>
      <c r="D1664" t="s">
        <v>1963</v>
      </c>
      <c r="E1664" t="s">
        <v>2020</v>
      </c>
      <c r="F1664" t="s">
        <v>2055</v>
      </c>
      <c r="G1664" t="s">
        <v>2056</v>
      </c>
      <c r="H1664" t="s">
        <v>2023</v>
      </c>
      <c r="I1664" t="s">
        <v>73</v>
      </c>
      <c r="J1664" t="s">
        <v>1963</v>
      </c>
      <c r="K1664" t="s">
        <v>4983</v>
      </c>
      <c r="L1664" t="s">
        <v>2046</v>
      </c>
      <c r="M1664" t="s">
        <v>3152</v>
      </c>
      <c r="N1664" t="s">
        <v>3153</v>
      </c>
      <c r="O1664" t="s">
        <v>3154</v>
      </c>
      <c r="P1664" t="s">
        <v>3155</v>
      </c>
      <c r="Q1664" t="s">
        <v>3156</v>
      </c>
      <c r="R1664" t="s">
        <v>14</v>
      </c>
      <c r="S1664" t="s">
        <v>3157</v>
      </c>
      <c r="T1664" t="s">
        <v>3158</v>
      </c>
      <c r="U1664" t="s">
        <v>3015</v>
      </c>
      <c r="V1664" t="s">
        <v>14</v>
      </c>
      <c r="W1664" t="b">
        <v>1</v>
      </c>
      <c r="X1664" t="s">
        <v>4984</v>
      </c>
      <c r="Y1664" t="b">
        <v>1</v>
      </c>
      <c r="Z1664" t="s">
        <v>2032</v>
      </c>
    </row>
    <row r="1665" spans="1:26" x14ac:dyDescent="0.35">
      <c r="A1665" t="s">
        <v>1261</v>
      </c>
      <c r="B1665" t="s">
        <v>1262</v>
      </c>
      <c r="C1665" t="s">
        <v>3167</v>
      </c>
      <c r="D1665" t="s">
        <v>1963</v>
      </c>
      <c r="E1665" t="s">
        <v>2020</v>
      </c>
      <c r="F1665" t="s">
        <v>2055</v>
      </c>
      <c r="G1665" t="s">
        <v>2056</v>
      </c>
      <c r="H1665" t="s">
        <v>2023</v>
      </c>
      <c r="I1665" t="s">
        <v>73</v>
      </c>
      <c r="J1665" t="s">
        <v>1963</v>
      </c>
      <c r="K1665" t="s">
        <v>4985</v>
      </c>
      <c r="L1665" t="s">
        <v>2046</v>
      </c>
      <c r="M1665" t="s">
        <v>3152</v>
      </c>
      <c r="N1665" t="s">
        <v>3153</v>
      </c>
      <c r="O1665" t="s">
        <v>3154</v>
      </c>
      <c r="P1665" t="s">
        <v>3155</v>
      </c>
      <c r="Q1665" t="s">
        <v>3156</v>
      </c>
      <c r="R1665" t="s">
        <v>14</v>
      </c>
      <c r="S1665" t="s">
        <v>3157</v>
      </c>
      <c r="T1665" t="s">
        <v>3158</v>
      </c>
      <c r="U1665" t="s">
        <v>3015</v>
      </c>
      <c r="V1665" t="s">
        <v>14</v>
      </c>
      <c r="W1665" t="b">
        <v>1</v>
      </c>
      <c r="X1665" t="s">
        <v>4986</v>
      </c>
      <c r="Y1665" t="b">
        <v>1</v>
      </c>
      <c r="Z1665" t="s">
        <v>2032</v>
      </c>
    </row>
    <row r="1666" spans="1:26" x14ac:dyDescent="0.35">
      <c r="A1666" t="s">
        <v>1263</v>
      </c>
      <c r="B1666" t="s">
        <v>1264</v>
      </c>
      <c r="C1666" t="s">
        <v>3167</v>
      </c>
      <c r="D1666" t="s">
        <v>1963</v>
      </c>
      <c r="E1666" t="s">
        <v>2020</v>
      </c>
      <c r="F1666" t="s">
        <v>2055</v>
      </c>
      <c r="G1666" t="s">
        <v>2056</v>
      </c>
      <c r="H1666" t="s">
        <v>2023</v>
      </c>
      <c r="I1666" t="s">
        <v>73</v>
      </c>
      <c r="J1666" t="s">
        <v>1963</v>
      </c>
      <c r="K1666" t="s">
        <v>4987</v>
      </c>
      <c r="L1666" t="s">
        <v>2046</v>
      </c>
      <c r="M1666" t="s">
        <v>3152</v>
      </c>
      <c r="N1666" t="s">
        <v>3153</v>
      </c>
      <c r="O1666" t="s">
        <v>3154</v>
      </c>
      <c r="P1666" t="s">
        <v>3155</v>
      </c>
      <c r="Q1666" t="s">
        <v>3156</v>
      </c>
      <c r="R1666" t="s">
        <v>14</v>
      </c>
      <c r="S1666" t="s">
        <v>3157</v>
      </c>
      <c r="T1666" t="s">
        <v>3158</v>
      </c>
      <c r="U1666" t="s">
        <v>3015</v>
      </c>
      <c r="V1666" t="s">
        <v>14</v>
      </c>
      <c r="W1666" t="b">
        <v>1</v>
      </c>
      <c r="X1666" t="s">
        <v>4988</v>
      </c>
      <c r="Y1666" t="b">
        <v>1</v>
      </c>
      <c r="Z1666" t="s">
        <v>2032</v>
      </c>
    </row>
    <row r="1667" spans="1:26" x14ac:dyDescent="0.35">
      <c r="A1667" t="s">
        <v>1265</v>
      </c>
      <c r="B1667" t="s">
        <v>1266</v>
      </c>
      <c r="C1667" t="s">
        <v>3167</v>
      </c>
      <c r="D1667" t="s">
        <v>1963</v>
      </c>
      <c r="E1667" t="s">
        <v>2020</v>
      </c>
      <c r="F1667" t="s">
        <v>2055</v>
      </c>
      <c r="G1667" t="s">
        <v>2056</v>
      </c>
      <c r="H1667" t="s">
        <v>2023</v>
      </c>
      <c r="I1667" t="s">
        <v>73</v>
      </c>
      <c r="J1667" t="s">
        <v>1963</v>
      </c>
      <c r="K1667" t="s">
        <v>4989</v>
      </c>
      <c r="L1667" t="s">
        <v>2046</v>
      </c>
      <c r="M1667" t="s">
        <v>3152</v>
      </c>
      <c r="N1667" t="s">
        <v>3153</v>
      </c>
      <c r="O1667" t="s">
        <v>3154</v>
      </c>
      <c r="P1667" t="s">
        <v>3155</v>
      </c>
      <c r="Q1667" t="s">
        <v>3156</v>
      </c>
      <c r="R1667" t="s">
        <v>14</v>
      </c>
      <c r="S1667" t="s">
        <v>3157</v>
      </c>
      <c r="T1667" t="s">
        <v>3158</v>
      </c>
      <c r="U1667" t="s">
        <v>3015</v>
      </c>
      <c r="V1667" t="s">
        <v>14</v>
      </c>
      <c r="W1667" t="b">
        <v>1</v>
      </c>
      <c r="X1667" t="s">
        <v>4990</v>
      </c>
      <c r="Y1667" t="b">
        <v>1</v>
      </c>
      <c r="Z1667" t="s">
        <v>2032</v>
      </c>
    </row>
    <row r="1668" spans="1:26" x14ac:dyDescent="0.35">
      <c r="A1668" t="s">
        <v>1267</v>
      </c>
      <c r="B1668" t="s">
        <v>1268</v>
      </c>
      <c r="C1668" t="s">
        <v>3167</v>
      </c>
      <c r="D1668" t="s">
        <v>1963</v>
      </c>
      <c r="E1668" t="s">
        <v>2020</v>
      </c>
      <c r="F1668" t="s">
        <v>2055</v>
      </c>
      <c r="G1668" t="s">
        <v>2056</v>
      </c>
      <c r="H1668" t="s">
        <v>2023</v>
      </c>
      <c r="I1668" t="s">
        <v>73</v>
      </c>
      <c r="J1668" t="s">
        <v>1963</v>
      </c>
      <c r="K1668" t="s">
        <v>4991</v>
      </c>
      <c r="L1668" t="s">
        <v>2046</v>
      </c>
      <c r="M1668" t="s">
        <v>3152</v>
      </c>
      <c r="N1668" t="s">
        <v>3153</v>
      </c>
      <c r="O1668" t="s">
        <v>3154</v>
      </c>
      <c r="P1668" t="s">
        <v>3155</v>
      </c>
      <c r="Q1668" t="s">
        <v>3156</v>
      </c>
      <c r="R1668" t="s">
        <v>14</v>
      </c>
      <c r="S1668" t="s">
        <v>3157</v>
      </c>
      <c r="T1668" t="s">
        <v>3158</v>
      </c>
      <c r="U1668" t="s">
        <v>3015</v>
      </c>
      <c r="V1668" t="s">
        <v>14</v>
      </c>
      <c r="W1668" t="b">
        <v>1</v>
      </c>
      <c r="X1668" t="s">
        <v>4992</v>
      </c>
      <c r="Y1668" t="b">
        <v>1</v>
      </c>
      <c r="Z1668" t="s">
        <v>2032</v>
      </c>
    </row>
    <row r="1669" spans="1:26" x14ac:dyDescent="0.35">
      <c r="A1669" t="s">
        <v>1269</v>
      </c>
      <c r="B1669" t="s">
        <v>1270</v>
      </c>
      <c r="C1669" t="s">
        <v>3167</v>
      </c>
      <c r="D1669" t="s">
        <v>1963</v>
      </c>
      <c r="E1669" t="s">
        <v>2020</v>
      </c>
      <c r="F1669" t="s">
        <v>2055</v>
      </c>
      <c r="G1669" t="s">
        <v>2056</v>
      </c>
      <c r="H1669" t="s">
        <v>2023</v>
      </c>
      <c r="I1669" t="s">
        <v>73</v>
      </c>
      <c r="J1669" t="s">
        <v>1963</v>
      </c>
      <c r="K1669" t="s">
        <v>4993</v>
      </c>
      <c r="L1669" t="s">
        <v>2046</v>
      </c>
      <c r="M1669" t="s">
        <v>3152</v>
      </c>
      <c r="N1669" t="s">
        <v>3153</v>
      </c>
      <c r="O1669" t="s">
        <v>3154</v>
      </c>
      <c r="P1669" t="s">
        <v>3155</v>
      </c>
      <c r="Q1669" t="s">
        <v>3156</v>
      </c>
      <c r="R1669" t="s">
        <v>14</v>
      </c>
      <c r="S1669" t="s">
        <v>3157</v>
      </c>
      <c r="T1669" t="s">
        <v>3158</v>
      </c>
      <c r="U1669" t="s">
        <v>3015</v>
      </c>
      <c r="V1669" t="s">
        <v>14</v>
      </c>
      <c r="W1669" t="b">
        <v>1</v>
      </c>
      <c r="X1669" t="s">
        <v>4994</v>
      </c>
      <c r="Y1669" t="b">
        <v>1</v>
      </c>
      <c r="Z1669" t="s">
        <v>2032</v>
      </c>
    </row>
    <row r="1670" spans="1:26" x14ac:dyDescent="0.35">
      <c r="A1670" t="s">
        <v>1271</v>
      </c>
      <c r="B1670" t="s">
        <v>1272</v>
      </c>
      <c r="C1670" t="s">
        <v>3167</v>
      </c>
      <c r="D1670" t="s">
        <v>1963</v>
      </c>
      <c r="E1670" t="s">
        <v>2020</v>
      </c>
      <c r="F1670" t="s">
        <v>2055</v>
      </c>
      <c r="G1670" t="s">
        <v>2056</v>
      </c>
      <c r="H1670" t="s">
        <v>2023</v>
      </c>
      <c r="I1670" t="s">
        <v>73</v>
      </c>
      <c r="J1670" t="s">
        <v>1963</v>
      </c>
      <c r="K1670" t="s">
        <v>4995</v>
      </c>
      <c r="L1670" t="s">
        <v>2046</v>
      </c>
      <c r="M1670" t="s">
        <v>3152</v>
      </c>
      <c r="N1670" t="s">
        <v>3153</v>
      </c>
      <c r="O1670" t="s">
        <v>3154</v>
      </c>
      <c r="P1670" t="s">
        <v>3155</v>
      </c>
      <c r="Q1670" t="s">
        <v>3156</v>
      </c>
      <c r="R1670" t="s">
        <v>14</v>
      </c>
      <c r="S1670" t="s">
        <v>3157</v>
      </c>
      <c r="T1670" t="s">
        <v>3158</v>
      </c>
      <c r="U1670" t="s">
        <v>3015</v>
      </c>
      <c r="V1670" t="s">
        <v>14</v>
      </c>
      <c r="W1670" t="b">
        <v>1</v>
      </c>
      <c r="X1670" t="s">
        <v>4996</v>
      </c>
      <c r="Y1670" t="b">
        <v>1</v>
      </c>
      <c r="Z1670" t="s">
        <v>2032</v>
      </c>
    </row>
    <row r="1671" spans="1:26" x14ac:dyDescent="0.35">
      <c r="A1671" t="s">
        <v>1273</v>
      </c>
      <c r="B1671" t="s">
        <v>1274</v>
      </c>
      <c r="C1671" t="s">
        <v>3167</v>
      </c>
      <c r="D1671" t="s">
        <v>1963</v>
      </c>
      <c r="E1671" t="s">
        <v>2020</v>
      </c>
      <c r="F1671" t="s">
        <v>2055</v>
      </c>
      <c r="G1671" t="s">
        <v>2056</v>
      </c>
      <c r="H1671" t="s">
        <v>2023</v>
      </c>
      <c r="I1671" t="s">
        <v>73</v>
      </c>
      <c r="J1671" t="s">
        <v>1963</v>
      </c>
      <c r="K1671" t="s">
        <v>4997</v>
      </c>
      <c r="L1671" t="s">
        <v>2046</v>
      </c>
      <c r="M1671" t="s">
        <v>3152</v>
      </c>
      <c r="N1671" t="s">
        <v>3153</v>
      </c>
      <c r="O1671" t="s">
        <v>3154</v>
      </c>
      <c r="P1671" t="s">
        <v>3155</v>
      </c>
      <c r="Q1671" t="s">
        <v>3156</v>
      </c>
      <c r="R1671" t="s">
        <v>14</v>
      </c>
      <c r="S1671" t="s">
        <v>3157</v>
      </c>
      <c r="T1671" t="s">
        <v>3158</v>
      </c>
      <c r="U1671" t="s">
        <v>3015</v>
      </c>
      <c r="V1671" t="s">
        <v>14</v>
      </c>
      <c r="W1671" t="b">
        <v>1</v>
      </c>
      <c r="X1671" t="s">
        <v>4998</v>
      </c>
      <c r="Y1671" t="b">
        <v>1</v>
      </c>
      <c r="Z1671" t="s">
        <v>2032</v>
      </c>
    </row>
    <row r="1672" spans="1:26" x14ac:dyDescent="0.35">
      <c r="A1672" t="s">
        <v>1275</v>
      </c>
      <c r="B1672" t="s">
        <v>1276</v>
      </c>
      <c r="C1672" t="s">
        <v>3167</v>
      </c>
      <c r="D1672" t="s">
        <v>1963</v>
      </c>
      <c r="E1672" t="s">
        <v>2020</v>
      </c>
      <c r="F1672" t="s">
        <v>2055</v>
      </c>
      <c r="G1672" t="s">
        <v>2056</v>
      </c>
      <c r="H1672" t="s">
        <v>2023</v>
      </c>
      <c r="I1672" t="s">
        <v>73</v>
      </c>
      <c r="J1672" t="s">
        <v>1963</v>
      </c>
      <c r="K1672" t="s">
        <v>4999</v>
      </c>
      <c r="L1672" t="s">
        <v>2046</v>
      </c>
      <c r="M1672" t="s">
        <v>3152</v>
      </c>
      <c r="N1672" t="s">
        <v>3153</v>
      </c>
      <c r="O1672" t="s">
        <v>3154</v>
      </c>
      <c r="P1672" t="s">
        <v>3155</v>
      </c>
      <c r="Q1672" t="s">
        <v>3156</v>
      </c>
      <c r="R1672" t="s">
        <v>14</v>
      </c>
      <c r="S1672" t="s">
        <v>3157</v>
      </c>
      <c r="T1672" t="s">
        <v>3158</v>
      </c>
      <c r="U1672" t="s">
        <v>3015</v>
      </c>
      <c r="V1672" t="s">
        <v>14</v>
      </c>
      <c r="W1672" t="b">
        <v>1</v>
      </c>
      <c r="X1672" t="s">
        <v>5000</v>
      </c>
      <c r="Y1672" t="b">
        <v>1</v>
      </c>
      <c r="Z1672" t="s">
        <v>2032</v>
      </c>
    </row>
    <row r="1673" spans="1:26" x14ac:dyDescent="0.35">
      <c r="A1673" t="s">
        <v>1277</v>
      </c>
      <c r="B1673" t="s">
        <v>1278</v>
      </c>
      <c r="C1673" t="s">
        <v>3167</v>
      </c>
      <c r="D1673" t="s">
        <v>1963</v>
      </c>
      <c r="E1673" t="s">
        <v>2020</v>
      </c>
      <c r="F1673" t="s">
        <v>2055</v>
      </c>
      <c r="G1673" t="s">
        <v>2056</v>
      </c>
      <c r="H1673" t="s">
        <v>2023</v>
      </c>
      <c r="I1673" t="s">
        <v>73</v>
      </c>
      <c r="J1673" t="s">
        <v>1963</v>
      </c>
      <c r="K1673" t="s">
        <v>5001</v>
      </c>
      <c r="L1673" t="s">
        <v>2046</v>
      </c>
      <c r="M1673" t="s">
        <v>3152</v>
      </c>
      <c r="N1673" t="s">
        <v>3153</v>
      </c>
      <c r="O1673" t="s">
        <v>3154</v>
      </c>
      <c r="P1673" t="s">
        <v>3155</v>
      </c>
      <c r="Q1673" t="s">
        <v>3156</v>
      </c>
      <c r="R1673" t="s">
        <v>14</v>
      </c>
      <c r="S1673" t="s">
        <v>3157</v>
      </c>
      <c r="T1673" t="s">
        <v>3158</v>
      </c>
      <c r="U1673" t="s">
        <v>3015</v>
      </c>
      <c r="V1673" t="s">
        <v>14</v>
      </c>
      <c r="W1673" t="b">
        <v>1</v>
      </c>
      <c r="X1673" t="s">
        <v>5002</v>
      </c>
      <c r="Y1673" t="b">
        <v>1</v>
      </c>
      <c r="Z1673" t="s">
        <v>2032</v>
      </c>
    </row>
    <row r="1674" spans="1:26" x14ac:dyDescent="0.35">
      <c r="A1674" t="s">
        <v>1279</v>
      </c>
      <c r="B1674" t="s">
        <v>1280</v>
      </c>
      <c r="C1674" t="s">
        <v>3167</v>
      </c>
      <c r="D1674" t="s">
        <v>1963</v>
      </c>
      <c r="E1674" t="s">
        <v>2020</v>
      </c>
      <c r="F1674" t="s">
        <v>2055</v>
      </c>
      <c r="G1674" t="s">
        <v>2056</v>
      </c>
      <c r="H1674" t="s">
        <v>2023</v>
      </c>
      <c r="I1674" t="s">
        <v>73</v>
      </c>
      <c r="J1674" t="s">
        <v>1963</v>
      </c>
      <c r="K1674" t="s">
        <v>5003</v>
      </c>
      <c r="L1674" t="s">
        <v>2046</v>
      </c>
      <c r="M1674" t="s">
        <v>3152</v>
      </c>
      <c r="N1674" t="s">
        <v>3153</v>
      </c>
      <c r="O1674" t="s">
        <v>3154</v>
      </c>
      <c r="P1674" t="s">
        <v>3155</v>
      </c>
      <c r="Q1674" t="s">
        <v>3156</v>
      </c>
      <c r="R1674" t="s">
        <v>14</v>
      </c>
      <c r="S1674" t="s">
        <v>3157</v>
      </c>
      <c r="T1674" t="s">
        <v>3158</v>
      </c>
      <c r="U1674" t="s">
        <v>3015</v>
      </c>
      <c r="V1674" t="s">
        <v>14</v>
      </c>
      <c r="W1674" t="b">
        <v>1</v>
      </c>
      <c r="X1674" t="s">
        <v>5004</v>
      </c>
      <c r="Y1674" t="b">
        <v>1</v>
      </c>
      <c r="Z1674" t="s">
        <v>2032</v>
      </c>
    </row>
    <row r="1675" spans="1:26" x14ac:dyDescent="0.35">
      <c r="A1675" t="s">
        <v>1281</v>
      </c>
      <c r="B1675" t="s">
        <v>1282</v>
      </c>
      <c r="C1675" t="s">
        <v>3167</v>
      </c>
      <c r="D1675" t="s">
        <v>1963</v>
      </c>
      <c r="E1675" t="s">
        <v>2020</v>
      </c>
      <c r="F1675" t="s">
        <v>2055</v>
      </c>
      <c r="G1675" t="s">
        <v>2056</v>
      </c>
      <c r="H1675" t="s">
        <v>2023</v>
      </c>
      <c r="I1675" t="s">
        <v>73</v>
      </c>
      <c r="J1675" t="s">
        <v>1963</v>
      </c>
      <c r="K1675" t="s">
        <v>5005</v>
      </c>
      <c r="L1675" t="s">
        <v>2046</v>
      </c>
      <c r="M1675" t="s">
        <v>3152</v>
      </c>
      <c r="N1675" t="s">
        <v>3153</v>
      </c>
      <c r="O1675" t="s">
        <v>3154</v>
      </c>
      <c r="P1675" t="s">
        <v>3155</v>
      </c>
      <c r="Q1675" t="s">
        <v>3156</v>
      </c>
      <c r="R1675" t="s">
        <v>14</v>
      </c>
      <c r="S1675" t="s">
        <v>3157</v>
      </c>
      <c r="T1675" t="s">
        <v>3158</v>
      </c>
      <c r="U1675" t="s">
        <v>3015</v>
      </c>
      <c r="V1675" t="s">
        <v>14</v>
      </c>
      <c r="W1675" t="b">
        <v>1</v>
      </c>
      <c r="X1675" t="s">
        <v>5006</v>
      </c>
      <c r="Y1675" t="b">
        <v>1</v>
      </c>
      <c r="Z1675" t="s">
        <v>2032</v>
      </c>
    </row>
    <row r="1676" spans="1:26" x14ac:dyDescent="0.35">
      <c r="A1676" t="s">
        <v>1283</v>
      </c>
      <c r="B1676" t="s">
        <v>1284</v>
      </c>
      <c r="C1676" t="s">
        <v>3167</v>
      </c>
      <c r="D1676" t="s">
        <v>1963</v>
      </c>
      <c r="E1676" t="s">
        <v>2020</v>
      </c>
      <c r="F1676" t="s">
        <v>2055</v>
      </c>
      <c r="G1676" t="s">
        <v>2056</v>
      </c>
      <c r="H1676" t="s">
        <v>2023</v>
      </c>
      <c r="I1676" t="s">
        <v>73</v>
      </c>
      <c r="J1676" t="s">
        <v>1963</v>
      </c>
      <c r="K1676" t="s">
        <v>5007</v>
      </c>
      <c r="L1676" t="s">
        <v>2046</v>
      </c>
      <c r="M1676" t="s">
        <v>3152</v>
      </c>
      <c r="N1676" t="s">
        <v>3153</v>
      </c>
      <c r="O1676" t="s">
        <v>3154</v>
      </c>
      <c r="P1676" t="s">
        <v>3155</v>
      </c>
      <c r="Q1676" t="s">
        <v>3156</v>
      </c>
      <c r="R1676" t="s">
        <v>14</v>
      </c>
      <c r="S1676" t="s">
        <v>3157</v>
      </c>
      <c r="T1676" t="s">
        <v>3158</v>
      </c>
      <c r="U1676" t="s">
        <v>3015</v>
      </c>
      <c r="V1676" t="s">
        <v>14</v>
      </c>
      <c r="W1676" t="b">
        <v>1</v>
      </c>
      <c r="X1676" t="s">
        <v>5008</v>
      </c>
      <c r="Y1676" t="b">
        <v>1</v>
      </c>
      <c r="Z1676" t="s">
        <v>2032</v>
      </c>
    </row>
    <row r="1677" spans="1:26" x14ac:dyDescent="0.35">
      <c r="A1677" t="s">
        <v>1285</v>
      </c>
      <c r="B1677" t="s">
        <v>1286</v>
      </c>
      <c r="C1677" t="s">
        <v>3167</v>
      </c>
      <c r="D1677" t="s">
        <v>1963</v>
      </c>
      <c r="E1677" t="s">
        <v>2020</v>
      </c>
      <c r="F1677" t="s">
        <v>2055</v>
      </c>
      <c r="G1677" t="s">
        <v>2056</v>
      </c>
      <c r="H1677" t="s">
        <v>2023</v>
      </c>
      <c r="I1677" t="s">
        <v>73</v>
      </c>
      <c r="J1677" t="s">
        <v>1963</v>
      </c>
      <c r="K1677" t="s">
        <v>5009</v>
      </c>
      <c r="L1677" t="s">
        <v>2046</v>
      </c>
      <c r="M1677" t="s">
        <v>3152</v>
      </c>
      <c r="N1677" t="s">
        <v>3153</v>
      </c>
      <c r="O1677" t="s">
        <v>3154</v>
      </c>
      <c r="P1677" t="s">
        <v>3155</v>
      </c>
      <c r="Q1677" t="s">
        <v>3156</v>
      </c>
      <c r="R1677" t="s">
        <v>14</v>
      </c>
      <c r="S1677" t="s">
        <v>3157</v>
      </c>
      <c r="T1677" t="s">
        <v>3158</v>
      </c>
      <c r="U1677" t="s">
        <v>3015</v>
      </c>
      <c r="V1677" t="s">
        <v>14</v>
      </c>
      <c r="W1677" t="b">
        <v>1</v>
      </c>
      <c r="X1677" t="s">
        <v>5010</v>
      </c>
      <c r="Y1677" t="b">
        <v>1</v>
      </c>
      <c r="Z1677" t="s">
        <v>2032</v>
      </c>
    </row>
    <row r="1678" spans="1:26" x14ac:dyDescent="0.35">
      <c r="A1678" t="s">
        <v>1287</v>
      </c>
      <c r="B1678" t="s">
        <v>1288</v>
      </c>
      <c r="C1678" t="s">
        <v>3167</v>
      </c>
      <c r="D1678" t="s">
        <v>1963</v>
      </c>
      <c r="E1678" t="s">
        <v>2020</v>
      </c>
      <c r="F1678" t="s">
        <v>2055</v>
      </c>
      <c r="G1678" t="s">
        <v>2056</v>
      </c>
      <c r="H1678" t="s">
        <v>2023</v>
      </c>
      <c r="I1678" t="s">
        <v>73</v>
      </c>
      <c r="J1678" t="s">
        <v>1963</v>
      </c>
      <c r="K1678" t="s">
        <v>5011</v>
      </c>
      <c r="L1678" t="s">
        <v>2046</v>
      </c>
      <c r="M1678" t="s">
        <v>3152</v>
      </c>
      <c r="N1678" t="s">
        <v>3153</v>
      </c>
      <c r="O1678" t="s">
        <v>3154</v>
      </c>
      <c r="P1678" t="s">
        <v>3155</v>
      </c>
      <c r="Q1678" t="s">
        <v>3156</v>
      </c>
      <c r="R1678" t="s">
        <v>14</v>
      </c>
      <c r="S1678" t="s">
        <v>3157</v>
      </c>
      <c r="T1678" t="s">
        <v>3158</v>
      </c>
      <c r="U1678" t="s">
        <v>3015</v>
      </c>
      <c r="V1678" t="s">
        <v>14</v>
      </c>
      <c r="W1678" t="b">
        <v>1</v>
      </c>
      <c r="X1678" t="s">
        <v>5012</v>
      </c>
      <c r="Y1678" t="b">
        <v>1</v>
      </c>
      <c r="Z1678" t="s">
        <v>2032</v>
      </c>
    </row>
    <row r="1679" spans="1:26" x14ac:dyDescent="0.35">
      <c r="A1679" t="s">
        <v>1289</v>
      </c>
      <c r="B1679" t="s">
        <v>1290</v>
      </c>
      <c r="C1679" t="s">
        <v>3167</v>
      </c>
      <c r="D1679" t="s">
        <v>1963</v>
      </c>
      <c r="E1679" t="s">
        <v>2020</v>
      </c>
      <c r="F1679" t="s">
        <v>2055</v>
      </c>
      <c r="G1679" t="s">
        <v>2056</v>
      </c>
      <c r="H1679" t="s">
        <v>2023</v>
      </c>
      <c r="I1679" t="s">
        <v>73</v>
      </c>
      <c r="J1679" t="s">
        <v>1963</v>
      </c>
      <c r="K1679" t="s">
        <v>5013</v>
      </c>
      <c r="L1679" t="s">
        <v>2046</v>
      </c>
      <c r="M1679" t="s">
        <v>3152</v>
      </c>
      <c r="N1679" t="s">
        <v>3153</v>
      </c>
      <c r="O1679" t="s">
        <v>3154</v>
      </c>
      <c r="P1679" t="s">
        <v>3155</v>
      </c>
      <c r="Q1679" t="s">
        <v>3156</v>
      </c>
      <c r="R1679" t="s">
        <v>14</v>
      </c>
      <c r="S1679" t="s">
        <v>3157</v>
      </c>
      <c r="T1679" t="s">
        <v>3158</v>
      </c>
      <c r="U1679" t="s">
        <v>3015</v>
      </c>
      <c r="V1679" t="s">
        <v>14</v>
      </c>
      <c r="W1679" t="b">
        <v>1</v>
      </c>
      <c r="X1679" t="s">
        <v>5014</v>
      </c>
      <c r="Y1679" t="b">
        <v>1</v>
      </c>
      <c r="Z1679" t="s">
        <v>2032</v>
      </c>
    </row>
    <row r="1680" spans="1:26" x14ac:dyDescent="0.35">
      <c r="A1680" t="s">
        <v>1291</v>
      </c>
      <c r="B1680" t="s">
        <v>1292</v>
      </c>
      <c r="C1680" t="s">
        <v>3167</v>
      </c>
      <c r="D1680" t="s">
        <v>1963</v>
      </c>
      <c r="E1680" t="s">
        <v>2020</v>
      </c>
      <c r="F1680" t="s">
        <v>2055</v>
      </c>
      <c r="G1680" t="s">
        <v>2056</v>
      </c>
      <c r="H1680" t="s">
        <v>2023</v>
      </c>
      <c r="I1680" t="s">
        <v>73</v>
      </c>
      <c r="J1680" t="s">
        <v>1963</v>
      </c>
      <c r="K1680" t="s">
        <v>5015</v>
      </c>
      <c r="L1680" t="s">
        <v>2046</v>
      </c>
      <c r="M1680" t="s">
        <v>3152</v>
      </c>
      <c r="N1680" t="s">
        <v>3153</v>
      </c>
      <c r="O1680" t="s">
        <v>3154</v>
      </c>
      <c r="P1680" t="s">
        <v>3155</v>
      </c>
      <c r="Q1680" t="s">
        <v>3156</v>
      </c>
      <c r="R1680" t="s">
        <v>14</v>
      </c>
      <c r="S1680" t="s">
        <v>3157</v>
      </c>
      <c r="T1680" t="s">
        <v>3158</v>
      </c>
      <c r="U1680" t="s">
        <v>3015</v>
      </c>
      <c r="V1680" t="s">
        <v>14</v>
      </c>
      <c r="W1680" t="b">
        <v>1</v>
      </c>
      <c r="X1680" t="s">
        <v>5016</v>
      </c>
      <c r="Y1680" t="b">
        <v>1</v>
      </c>
      <c r="Z1680" t="s">
        <v>2032</v>
      </c>
    </row>
    <row r="1681" spans="1:26" x14ac:dyDescent="0.35">
      <c r="A1681" t="s">
        <v>1293</v>
      </c>
      <c r="B1681" t="s">
        <v>1294</v>
      </c>
      <c r="C1681" t="s">
        <v>3167</v>
      </c>
      <c r="D1681" t="s">
        <v>1963</v>
      </c>
      <c r="E1681" t="s">
        <v>2020</v>
      </c>
      <c r="F1681" t="s">
        <v>2055</v>
      </c>
      <c r="G1681" t="s">
        <v>2056</v>
      </c>
      <c r="H1681" t="s">
        <v>2023</v>
      </c>
      <c r="I1681" t="s">
        <v>73</v>
      </c>
      <c r="J1681" t="s">
        <v>1963</v>
      </c>
      <c r="K1681" t="s">
        <v>5017</v>
      </c>
      <c r="L1681" t="s">
        <v>2046</v>
      </c>
      <c r="M1681" t="s">
        <v>3152</v>
      </c>
      <c r="N1681" t="s">
        <v>3153</v>
      </c>
      <c r="O1681" t="s">
        <v>3154</v>
      </c>
      <c r="P1681" t="s">
        <v>3155</v>
      </c>
      <c r="Q1681" t="s">
        <v>3156</v>
      </c>
      <c r="R1681" t="s">
        <v>14</v>
      </c>
      <c r="S1681" t="s">
        <v>3157</v>
      </c>
      <c r="T1681" t="s">
        <v>3158</v>
      </c>
      <c r="U1681" t="s">
        <v>3015</v>
      </c>
      <c r="V1681" t="s">
        <v>14</v>
      </c>
      <c r="W1681" t="b">
        <v>1</v>
      </c>
      <c r="X1681" t="s">
        <v>5018</v>
      </c>
      <c r="Y1681" t="b">
        <v>1</v>
      </c>
      <c r="Z1681" t="s">
        <v>2032</v>
      </c>
    </row>
    <row r="1682" spans="1:26" x14ac:dyDescent="0.35">
      <c r="A1682" t="s">
        <v>1295</v>
      </c>
      <c r="B1682" t="s">
        <v>1296</v>
      </c>
      <c r="C1682" t="s">
        <v>3167</v>
      </c>
      <c r="D1682" t="s">
        <v>1963</v>
      </c>
      <c r="E1682" t="s">
        <v>2020</v>
      </c>
      <c r="F1682" t="s">
        <v>2055</v>
      </c>
      <c r="G1682" t="s">
        <v>2056</v>
      </c>
      <c r="H1682" t="s">
        <v>2023</v>
      </c>
      <c r="I1682" t="s">
        <v>73</v>
      </c>
      <c r="J1682" t="s">
        <v>1963</v>
      </c>
      <c r="K1682" t="s">
        <v>5019</v>
      </c>
      <c r="L1682" t="s">
        <v>2046</v>
      </c>
      <c r="M1682" t="s">
        <v>3152</v>
      </c>
      <c r="N1682" t="s">
        <v>3153</v>
      </c>
      <c r="O1682" t="s">
        <v>3154</v>
      </c>
      <c r="P1682" t="s">
        <v>3155</v>
      </c>
      <c r="Q1682" t="s">
        <v>3156</v>
      </c>
      <c r="R1682" t="s">
        <v>14</v>
      </c>
      <c r="S1682" t="s">
        <v>3157</v>
      </c>
      <c r="T1682" t="s">
        <v>3158</v>
      </c>
      <c r="U1682" t="s">
        <v>3015</v>
      </c>
      <c r="V1682" t="s">
        <v>14</v>
      </c>
      <c r="W1682" t="b">
        <v>1</v>
      </c>
      <c r="X1682" t="s">
        <v>5020</v>
      </c>
      <c r="Y1682" t="b">
        <v>1</v>
      </c>
      <c r="Z1682" t="s">
        <v>2032</v>
      </c>
    </row>
    <row r="1683" spans="1:26" x14ac:dyDescent="0.35">
      <c r="A1683" t="s">
        <v>1297</v>
      </c>
      <c r="B1683" t="s">
        <v>1298</v>
      </c>
      <c r="C1683" t="s">
        <v>3167</v>
      </c>
      <c r="D1683" t="s">
        <v>1963</v>
      </c>
      <c r="E1683" t="s">
        <v>2020</v>
      </c>
      <c r="F1683" t="s">
        <v>2055</v>
      </c>
      <c r="G1683" t="s">
        <v>2056</v>
      </c>
      <c r="H1683" t="s">
        <v>2023</v>
      </c>
      <c r="I1683" t="s">
        <v>73</v>
      </c>
      <c r="J1683" t="s">
        <v>1963</v>
      </c>
      <c r="K1683" t="s">
        <v>5021</v>
      </c>
      <c r="L1683" t="s">
        <v>2046</v>
      </c>
      <c r="M1683" t="s">
        <v>3152</v>
      </c>
      <c r="N1683" t="s">
        <v>3153</v>
      </c>
      <c r="O1683" t="s">
        <v>3154</v>
      </c>
      <c r="P1683" t="s">
        <v>3155</v>
      </c>
      <c r="Q1683" t="s">
        <v>3156</v>
      </c>
      <c r="R1683" t="s">
        <v>14</v>
      </c>
      <c r="S1683" t="s">
        <v>3157</v>
      </c>
      <c r="T1683" t="s">
        <v>3158</v>
      </c>
      <c r="U1683" t="s">
        <v>3015</v>
      </c>
      <c r="V1683" t="s">
        <v>14</v>
      </c>
      <c r="W1683" t="b">
        <v>1</v>
      </c>
      <c r="X1683" t="s">
        <v>5022</v>
      </c>
      <c r="Y1683" t="b">
        <v>1</v>
      </c>
      <c r="Z1683" t="s">
        <v>2032</v>
      </c>
    </row>
    <row r="1684" spans="1:26" x14ac:dyDescent="0.35">
      <c r="A1684" t="s">
        <v>1299</v>
      </c>
      <c r="B1684" t="s">
        <v>1300</v>
      </c>
      <c r="C1684" t="s">
        <v>3167</v>
      </c>
      <c r="D1684" t="s">
        <v>1963</v>
      </c>
      <c r="E1684" t="s">
        <v>2020</v>
      </c>
      <c r="F1684" t="s">
        <v>2055</v>
      </c>
      <c r="G1684" t="s">
        <v>2056</v>
      </c>
      <c r="H1684" t="s">
        <v>2023</v>
      </c>
      <c r="I1684" t="s">
        <v>73</v>
      </c>
      <c r="J1684" t="s">
        <v>1963</v>
      </c>
      <c r="K1684" t="s">
        <v>5023</v>
      </c>
      <c r="L1684" t="s">
        <v>2046</v>
      </c>
      <c r="M1684" t="s">
        <v>3152</v>
      </c>
      <c r="N1684" t="s">
        <v>3153</v>
      </c>
      <c r="O1684" t="s">
        <v>3154</v>
      </c>
      <c r="P1684" t="s">
        <v>3155</v>
      </c>
      <c r="Q1684" t="s">
        <v>3156</v>
      </c>
      <c r="R1684" t="s">
        <v>14</v>
      </c>
      <c r="S1684" t="s">
        <v>3157</v>
      </c>
      <c r="T1684" t="s">
        <v>3158</v>
      </c>
      <c r="U1684" t="s">
        <v>3015</v>
      </c>
      <c r="V1684" t="s">
        <v>14</v>
      </c>
      <c r="W1684" t="b">
        <v>1</v>
      </c>
      <c r="X1684" t="s">
        <v>5024</v>
      </c>
      <c r="Y1684" t="b">
        <v>1</v>
      </c>
      <c r="Z1684" t="s">
        <v>2032</v>
      </c>
    </row>
    <row r="1685" spans="1:26" x14ac:dyDescent="0.35">
      <c r="A1685" t="s">
        <v>1301</v>
      </c>
      <c r="B1685" t="s">
        <v>1302</v>
      </c>
      <c r="C1685" t="s">
        <v>3167</v>
      </c>
      <c r="D1685" t="s">
        <v>1963</v>
      </c>
      <c r="E1685" t="s">
        <v>2020</v>
      </c>
      <c r="F1685" t="s">
        <v>2055</v>
      </c>
      <c r="G1685" t="s">
        <v>2056</v>
      </c>
      <c r="H1685" t="s">
        <v>2023</v>
      </c>
      <c r="I1685" t="s">
        <v>73</v>
      </c>
      <c r="J1685" t="s">
        <v>1963</v>
      </c>
      <c r="K1685" t="s">
        <v>5025</v>
      </c>
      <c r="L1685" t="s">
        <v>2046</v>
      </c>
      <c r="M1685" t="s">
        <v>3152</v>
      </c>
      <c r="N1685" t="s">
        <v>3153</v>
      </c>
      <c r="O1685" t="s">
        <v>3154</v>
      </c>
      <c r="P1685" t="s">
        <v>3155</v>
      </c>
      <c r="Q1685" t="s">
        <v>3156</v>
      </c>
      <c r="R1685" t="s">
        <v>14</v>
      </c>
      <c r="S1685" t="s">
        <v>3157</v>
      </c>
      <c r="T1685" t="s">
        <v>3158</v>
      </c>
      <c r="U1685" t="s">
        <v>3015</v>
      </c>
      <c r="V1685" t="s">
        <v>14</v>
      </c>
      <c r="W1685" t="b">
        <v>1</v>
      </c>
      <c r="X1685" t="s">
        <v>5026</v>
      </c>
      <c r="Y1685" t="b">
        <v>1</v>
      </c>
      <c r="Z1685" t="s">
        <v>2032</v>
      </c>
    </row>
    <row r="1686" spans="1:26" x14ac:dyDescent="0.35">
      <c r="A1686" t="s">
        <v>1303</v>
      </c>
      <c r="B1686" t="s">
        <v>1304</v>
      </c>
      <c r="C1686" t="s">
        <v>3167</v>
      </c>
      <c r="D1686" t="s">
        <v>1963</v>
      </c>
      <c r="E1686" t="s">
        <v>2020</v>
      </c>
      <c r="F1686" t="s">
        <v>2055</v>
      </c>
      <c r="G1686" t="s">
        <v>2056</v>
      </c>
      <c r="H1686" t="s">
        <v>2023</v>
      </c>
      <c r="I1686" t="s">
        <v>73</v>
      </c>
      <c r="J1686" t="s">
        <v>1963</v>
      </c>
      <c r="K1686" t="s">
        <v>5027</v>
      </c>
      <c r="L1686" t="s">
        <v>2046</v>
      </c>
      <c r="M1686" t="s">
        <v>3152</v>
      </c>
      <c r="N1686" t="s">
        <v>3153</v>
      </c>
      <c r="O1686" t="s">
        <v>3154</v>
      </c>
      <c r="P1686" t="s">
        <v>3155</v>
      </c>
      <c r="Q1686" t="s">
        <v>3156</v>
      </c>
      <c r="R1686" t="s">
        <v>14</v>
      </c>
      <c r="S1686" t="s">
        <v>3157</v>
      </c>
      <c r="T1686" t="s">
        <v>3158</v>
      </c>
      <c r="U1686" t="s">
        <v>3015</v>
      </c>
      <c r="V1686" t="s">
        <v>14</v>
      </c>
      <c r="W1686" t="b">
        <v>1</v>
      </c>
      <c r="X1686" t="s">
        <v>5028</v>
      </c>
      <c r="Y1686" t="b">
        <v>1</v>
      </c>
      <c r="Z1686" t="s">
        <v>2032</v>
      </c>
    </row>
    <row r="1687" spans="1:26" x14ac:dyDescent="0.35">
      <c r="A1687" t="s">
        <v>1305</v>
      </c>
      <c r="B1687" t="s">
        <v>1306</v>
      </c>
      <c r="C1687" t="s">
        <v>3167</v>
      </c>
      <c r="D1687" t="s">
        <v>1963</v>
      </c>
      <c r="E1687" t="s">
        <v>2020</v>
      </c>
      <c r="F1687" t="s">
        <v>2055</v>
      </c>
      <c r="G1687" t="s">
        <v>2056</v>
      </c>
      <c r="H1687" t="s">
        <v>2023</v>
      </c>
      <c r="I1687" t="s">
        <v>73</v>
      </c>
      <c r="J1687" t="s">
        <v>1963</v>
      </c>
      <c r="K1687" t="s">
        <v>5029</v>
      </c>
      <c r="L1687" t="s">
        <v>2046</v>
      </c>
      <c r="M1687" t="s">
        <v>3152</v>
      </c>
      <c r="N1687" t="s">
        <v>3153</v>
      </c>
      <c r="O1687" t="s">
        <v>3154</v>
      </c>
      <c r="P1687" t="s">
        <v>3155</v>
      </c>
      <c r="Q1687" t="s">
        <v>3156</v>
      </c>
      <c r="R1687" t="s">
        <v>14</v>
      </c>
      <c r="S1687" t="s">
        <v>3157</v>
      </c>
      <c r="T1687" t="s">
        <v>3158</v>
      </c>
      <c r="U1687" t="s">
        <v>3015</v>
      </c>
      <c r="V1687" t="s">
        <v>14</v>
      </c>
      <c r="W1687" t="b">
        <v>1</v>
      </c>
      <c r="X1687" t="s">
        <v>5030</v>
      </c>
      <c r="Y1687" t="b">
        <v>1</v>
      </c>
      <c r="Z1687" t="s">
        <v>2032</v>
      </c>
    </row>
    <row r="1688" spans="1:26" x14ac:dyDescent="0.35">
      <c r="A1688" t="s">
        <v>1307</v>
      </c>
      <c r="B1688" t="s">
        <v>1308</v>
      </c>
      <c r="C1688" t="s">
        <v>3167</v>
      </c>
      <c r="D1688" t="s">
        <v>1963</v>
      </c>
      <c r="E1688" t="s">
        <v>2020</v>
      </c>
      <c r="F1688" t="s">
        <v>2055</v>
      </c>
      <c r="G1688" t="s">
        <v>2056</v>
      </c>
      <c r="H1688" t="s">
        <v>2023</v>
      </c>
      <c r="I1688" t="s">
        <v>73</v>
      </c>
      <c r="J1688" t="s">
        <v>1963</v>
      </c>
      <c r="K1688" t="s">
        <v>5031</v>
      </c>
      <c r="L1688" t="s">
        <v>2046</v>
      </c>
      <c r="M1688" t="s">
        <v>3152</v>
      </c>
      <c r="N1688" t="s">
        <v>3153</v>
      </c>
      <c r="O1688" t="s">
        <v>3154</v>
      </c>
      <c r="P1688" t="s">
        <v>3155</v>
      </c>
      <c r="Q1688" t="s">
        <v>3156</v>
      </c>
      <c r="R1688" t="s">
        <v>14</v>
      </c>
      <c r="S1688" t="s">
        <v>3157</v>
      </c>
      <c r="T1688" t="s">
        <v>3158</v>
      </c>
      <c r="U1688" t="s">
        <v>3015</v>
      </c>
      <c r="V1688" t="s">
        <v>14</v>
      </c>
      <c r="W1688" t="b">
        <v>1</v>
      </c>
      <c r="X1688" t="s">
        <v>5032</v>
      </c>
      <c r="Y1688" t="b">
        <v>1</v>
      </c>
      <c r="Z1688" t="s">
        <v>2032</v>
      </c>
    </row>
    <row r="1689" spans="1:26" x14ac:dyDescent="0.35">
      <c r="A1689" t="s">
        <v>1309</v>
      </c>
      <c r="B1689" t="s">
        <v>1310</v>
      </c>
      <c r="C1689" t="s">
        <v>3167</v>
      </c>
      <c r="D1689" t="s">
        <v>1963</v>
      </c>
      <c r="E1689" t="s">
        <v>2020</v>
      </c>
      <c r="F1689" t="s">
        <v>2055</v>
      </c>
      <c r="G1689" t="s">
        <v>2056</v>
      </c>
      <c r="H1689" t="s">
        <v>2023</v>
      </c>
      <c r="I1689" t="s">
        <v>73</v>
      </c>
      <c r="J1689" t="s">
        <v>1963</v>
      </c>
      <c r="K1689" t="s">
        <v>5033</v>
      </c>
      <c r="L1689" t="s">
        <v>2046</v>
      </c>
      <c r="M1689" t="s">
        <v>3152</v>
      </c>
      <c r="N1689" t="s">
        <v>3153</v>
      </c>
      <c r="O1689" t="s">
        <v>3154</v>
      </c>
      <c r="P1689" t="s">
        <v>3155</v>
      </c>
      <c r="Q1689" t="s">
        <v>3156</v>
      </c>
      <c r="R1689" t="s">
        <v>14</v>
      </c>
      <c r="S1689" t="s">
        <v>3157</v>
      </c>
      <c r="T1689" t="s">
        <v>3158</v>
      </c>
      <c r="U1689" t="s">
        <v>3015</v>
      </c>
      <c r="V1689" t="s">
        <v>14</v>
      </c>
      <c r="W1689" t="b">
        <v>1</v>
      </c>
      <c r="X1689" t="s">
        <v>5034</v>
      </c>
      <c r="Y1689" t="b">
        <v>1</v>
      </c>
      <c r="Z1689" t="s">
        <v>2032</v>
      </c>
    </row>
    <row r="1690" spans="1:26" x14ac:dyDescent="0.35">
      <c r="A1690" t="s">
        <v>1311</v>
      </c>
      <c r="B1690" t="s">
        <v>1312</v>
      </c>
      <c r="C1690" t="s">
        <v>3167</v>
      </c>
      <c r="D1690" t="s">
        <v>1963</v>
      </c>
      <c r="E1690" t="s">
        <v>2020</v>
      </c>
      <c r="F1690" t="s">
        <v>2055</v>
      </c>
      <c r="G1690" t="s">
        <v>2056</v>
      </c>
      <c r="H1690" t="s">
        <v>2023</v>
      </c>
      <c r="I1690" t="s">
        <v>73</v>
      </c>
      <c r="J1690" t="s">
        <v>1963</v>
      </c>
      <c r="K1690" t="s">
        <v>5035</v>
      </c>
      <c r="L1690" t="s">
        <v>2046</v>
      </c>
      <c r="M1690" t="s">
        <v>3152</v>
      </c>
      <c r="N1690" t="s">
        <v>3153</v>
      </c>
      <c r="O1690" t="s">
        <v>3154</v>
      </c>
      <c r="P1690" t="s">
        <v>3155</v>
      </c>
      <c r="Q1690" t="s">
        <v>3156</v>
      </c>
      <c r="R1690" t="s">
        <v>14</v>
      </c>
      <c r="S1690" t="s">
        <v>3157</v>
      </c>
      <c r="T1690" t="s">
        <v>3158</v>
      </c>
      <c r="U1690" t="s">
        <v>3015</v>
      </c>
      <c r="V1690" t="s">
        <v>14</v>
      </c>
      <c r="W1690" t="b">
        <v>1</v>
      </c>
      <c r="X1690" t="s">
        <v>5036</v>
      </c>
      <c r="Y1690" t="b">
        <v>1</v>
      </c>
      <c r="Z1690" t="s">
        <v>2032</v>
      </c>
    </row>
    <row r="1691" spans="1:26" x14ac:dyDescent="0.35">
      <c r="A1691" t="s">
        <v>1313</v>
      </c>
      <c r="B1691" t="s">
        <v>1314</v>
      </c>
      <c r="C1691" t="s">
        <v>3167</v>
      </c>
      <c r="D1691" t="s">
        <v>1963</v>
      </c>
      <c r="E1691" t="s">
        <v>2020</v>
      </c>
      <c r="F1691" t="s">
        <v>2055</v>
      </c>
      <c r="G1691" t="s">
        <v>2056</v>
      </c>
      <c r="H1691" t="s">
        <v>2023</v>
      </c>
      <c r="I1691" t="s">
        <v>73</v>
      </c>
      <c r="J1691" t="s">
        <v>1963</v>
      </c>
      <c r="K1691" t="s">
        <v>5037</v>
      </c>
      <c r="L1691" t="s">
        <v>2046</v>
      </c>
      <c r="M1691" t="s">
        <v>3152</v>
      </c>
      <c r="N1691" t="s">
        <v>3153</v>
      </c>
      <c r="O1691" t="s">
        <v>3154</v>
      </c>
      <c r="P1691" t="s">
        <v>3155</v>
      </c>
      <c r="Q1691" t="s">
        <v>3156</v>
      </c>
      <c r="R1691" t="s">
        <v>14</v>
      </c>
      <c r="S1691" t="s">
        <v>3157</v>
      </c>
      <c r="T1691" t="s">
        <v>3158</v>
      </c>
      <c r="U1691" t="s">
        <v>3015</v>
      </c>
      <c r="V1691" t="s">
        <v>14</v>
      </c>
      <c r="W1691" t="b">
        <v>1</v>
      </c>
      <c r="X1691" t="s">
        <v>5038</v>
      </c>
      <c r="Y1691" t="b">
        <v>1</v>
      </c>
      <c r="Z1691" t="s">
        <v>2032</v>
      </c>
    </row>
    <row r="1692" spans="1:26" x14ac:dyDescent="0.35">
      <c r="A1692" t="s">
        <v>1315</v>
      </c>
      <c r="B1692" t="s">
        <v>1316</v>
      </c>
      <c r="C1692" t="s">
        <v>3167</v>
      </c>
      <c r="D1692" t="s">
        <v>1963</v>
      </c>
      <c r="E1692" t="s">
        <v>2020</v>
      </c>
      <c r="F1692" t="s">
        <v>2055</v>
      </c>
      <c r="G1692" t="s">
        <v>2056</v>
      </c>
      <c r="H1692" t="s">
        <v>2023</v>
      </c>
      <c r="I1692" t="s">
        <v>73</v>
      </c>
      <c r="J1692" t="s">
        <v>1963</v>
      </c>
      <c r="K1692" t="s">
        <v>5039</v>
      </c>
      <c r="L1692" t="s">
        <v>2046</v>
      </c>
      <c r="M1692" t="s">
        <v>3152</v>
      </c>
      <c r="N1692" t="s">
        <v>3153</v>
      </c>
      <c r="O1692" t="s">
        <v>3154</v>
      </c>
      <c r="P1692" t="s">
        <v>3155</v>
      </c>
      <c r="Q1692" t="s">
        <v>3156</v>
      </c>
      <c r="R1692" t="s">
        <v>14</v>
      </c>
      <c r="S1692" t="s">
        <v>3157</v>
      </c>
      <c r="T1692" t="s">
        <v>3158</v>
      </c>
      <c r="U1692" t="s">
        <v>3015</v>
      </c>
      <c r="V1692" t="s">
        <v>14</v>
      </c>
      <c r="W1692" t="b">
        <v>1</v>
      </c>
      <c r="X1692" t="s">
        <v>5040</v>
      </c>
      <c r="Y1692" t="b">
        <v>1</v>
      </c>
      <c r="Z1692" t="s">
        <v>2032</v>
      </c>
    </row>
    <row r="1693" spans="1:26" x14ac:dyDescent="0.35">
      <c r="A1693" t="s">
        <v>1317</v>
      </c>
      <c r="B1693" t="s">
        <v>1318</v>
      </c>
      <c r="C1693" t="s">
        <v>3167</v>
      </c>
      <c r="D1693" t="s">
        <v>1963</v>
      </c>
      <c r="E1693" t="s">
        <v>2020</v>
      </c>
      <c r="F1693" t="s">
        <v>2055</v>
      </c>
      <c r="G1693" t="s">
        <v>2056</v>
      </c>
      <c r="H1693" t="s">
        <v>2023</v>
      </c>
      <c r="I1693" t="s">
        <v>73</v>
      </c>
      <c r="J1693" t="s">
        <v>1963</v>
      </c>
      <c r="K1693" t="s">
        <v>5041</v>
      </c>
      <c r="L1693" t="s">
        <v>2046</v>
      </c>
      <c r="M1693" t="s">
        <v>3152</v>
      </c>
      <c r="N1693" t="s">
        <v>3153</v>
      </c>
      <c r="O1693" t="s">
        <v>3154</v>
      </c>
      <c r="P1693" t="s">
        <v>3155</v>
      </c>
      <c r="Q1693" t="s">
        <v>3156</v>
      </c>
      <c r="R1693" t="s">
        <v>14</v>
      </c>
      <c r="S1693" t="s">
        <v>3157</v>
      </c>
      <c r="T1693" t="s">
        <v>3158</v>
      </c>
      <c r="U1693" t="s">
        <v>3015</v>
      </c>
      <c r="V1693" t="s">
        <v>14</v>
      </c>
      <c r="W1693" t="b">
        <v>1</v>
      </c>
      <c r="X1693" t="s">
        <v>5042</v>
      </c>
      <c r="Y1693" t="b">
        <v>1</v>
      </c>
      <c r="Z1693" t="s">
        <v>2032</v>
      </c>
    </row>
    <row r="1694" spans="1:26" x14ac:dyDescent="0.35">
      <c r="A1694" t="s">
        <v>1319</v>
      </c>
      <c r="B1694" t="s">
        <v>1320</v>
      </c>
      <c r="C1694" t="s">
        <v>3167</v>
      </c>
      <c r="D1694" t="s">
        <v>1963</v>
      </c>
      <c r="E1694" t="s">
        <v>2020</v>
      </c>
      <c r="F1694" t="s">
        <v>2055</v>
      </c>
      <c r="G1694" t="s">
        <v>2056</v>
      </c>
      <c r="H1694" t="s">
        <v>2023</v>
      </c>
      <c r="I1694" t="s">
        <v>73</v>
      </c>
      <c r="J1694" t="s">
        <v>1963</v>
      </c>
      <c r="K1694" t="s">
        <v>5043</v>
      </c>
      <c r="L1694" t="s">
        <v>2046</v>
      </c>
      <c r="M1694" t="s">
        <v>3152</v>
      </c>
      <c r="N1694" t="s">
        <v>3153</v>
      </c>
      <c r="O1694" t="s">
        <v>3154</v>
      </c>
      <c r="P1694" t="s">
        <v>3155</v>
      </c>
      <c r="Q1694" t="s">
        <v>3156</v>
      </c>
      <c r="R1694" t="s">
        <v>14</v>
      </c>
      <c r="S1694" t="s">
        <v>3157</v>
      </c>
      <c r="T1694" t="s">
        <v>3158</v>
      </c>
      <c r="U1694" t="s">
        <v>3015</v>
      </c>
      <c r="V1694" t="s">
        <v>14</v>
      </c>
      <c r="W1694" t="b">
        <v>1</v>
      </c>
      <c r="X1694" t="s">
        <v>5044</v>
      </c>
      <c r="Y1694" t="b">
        <v>1</v>
      </c>
      <c r="Z1694" t="s">
        <v>2032</v>
      </c>
    </row>
    <row r="1695" spans="1:26" x14ac:dyDescent="0.35">
      <c r="A1695" t="s">
        <v>1321</v>
      </c>
      <c r="B1695" t="s">
        <v>1322</v>
      </c>
      <c r="C1695" t="s">
        <v>3167</v>
      </c>
      <c r="D1695" t="s">
        <v>1963</v>
      </c>
      <c r="E1695" t="s">
        <v>2020</v>
      </c>
      <c r="F1695" t="s">
        <v>2055</v>
      </c>
      <c r="G1695" t="s">
        <v>2056</v>
      </c>
      <c r="H1695" t="s">
        <v>2023</v>
      </c>
      <c r="I1695" t="s">
        <v>73</v>
      </c>
      <c r="J1695" t="s">
        <v>1963</v>
      </c>
      <c r="K1695" t="s">
        <v>5045</v>
      </c>
      <c r="L1695" t="s">
        <v>2046</v>
      </c>
      <c r="M1695" t="s">
        <v>3152</v>
      </c>
      <c r="N1695" t="s">
        <v>3153</v>
      </c>
      <c r="O1695" t="s">
        <v>3154</v>
      </c>
      <c r="P1695" t="s">
        <v>3155</v>
      </c>
      <c r="Q1695" t="s">
        <v>3156</v>
      </c>
      <c r="R1695" t="s">
        <v>14</v>
      </c>
      <c r="S1695" t="s">
        <v>3157</v>
      </c>
      <c r="T1695" t="s">
        <v>3158</v>
      </c>
      <c r="U1695" t="s">
        <v>3015</v>
      </c>
      <c r="V1695" t="s">
        <v>14</v>
      </c>
      <c r="W1695" t="b">
        <v>1</v>
      </c>
      <c r="X1695" t="s">
        <v>5046</v>
      </c>
      <c r="Y1695" t="b">
        <v>1</v>
      </c>
      <c r="Z1695" t="s">
        <v>2032</v>
      </c>
    </row>
    <row r="1696" spans="1:26" x14ac:dyDescent="0.35">
      <c r="A1696" t="s">
        <v>1323</v>
      </c>
      <c r="B1696" t="s">
        <v>1324</v>
      </c>
      <c r="C1696" t="s">
        <v>3167</v>
      </c>
      <c r="D1696" t="s">
        <v>1963</v>
      </c>
      <c r="E1696" t="s">
        <v>2020</v>
      </c>
      <c r="F1696" t="s">
        <v>2055</v>
      </c>
      <c r="G1696" t="s">
        <v>2056</v>
      </c>
      <c r="H1696" t="s">
        <v>2023</v>
      </c>
      <c r="I1696" t="s">
        <v>73</v>
      </c>
      <c r="J1696" t="s">
        <v>1963</v>
      </c>
      <c r="K1696" t="s">
        <v>5047</v>
      </c>
      <c r="L1696" t="s">
        <v>2046</v>
      </c>
      <c r="M1696" t="s">
        <v>3152</v>
      </c>
      <c r="N1696" t="s">
        <v>3153</v>
      </c>
      <c r="O1696" t="s">
        <v>3154</v>
      </c>
      <c r="P1696" t="s">
        <v>3155</v>
      </c>
      <c r="Q1696" t="s">
        <v>3156</v>
      </c>
      <c r="R1696" t="s">
        <v>14</v>
      </c>
      <c r="S1696" t="s">
        <v>3157</v>
      </c>
      <c r="T1696" t="s">
        <v>3158</v>
      </c>
      <c r="U1696" t="s">
        <v>3015</v>
      </c>
      <c r="V1696" t="s">
        <v>14</v>
      </c>
      <c r="W1696" t="b">
        <v>1</v>
      </c>
      <c r="X1696" t="s">
        <v>5048</v>
      </c>
      <c r="Y1696" t="b">
        <v>1</v>
      </c>
      <c r="Z1696" t="s">
        <v>2032</v>
      </c>
    </row>
    <row r="1697" spans="1:26" x14ac:dyDescent="0.35">
      <c r="A1697" t="s">
        <v>1325</v>
      </c>
      <c r="B1697" t="s">
        <v>1326</v>
      </c>
      <c r="C1697" t="s">
        <v>3167</v>
      </c>
      <c r="D1697" t="s">
        <v>1963</v>
      </c>
      <c r="E1697" t="s">
        <v>2020</v>
      </c>
      <c r="F1697" t="s">
        <v>2055</v>
      </c>
      <c r="G1697" t="s">
        <v>2056</v>
      </c>
      <c r="H1697" t="s">
        <v>2023</v>
      </c>
      <c r="I1697" t="s">
        <v>73</v>
      </c>
      <c r="J1697" t="s">
        <v>1963</v>
      </c>
      <c r="K1697" t="s">
        <v>5049</v>
      </c>
      <c r="L1697" t="s">
        <v>2046</v>
      </c>
      <c r="M1697" t="s">
        <v>3152</v>
      </c>
      <c r="N1697" t="s">
        <v>3153</v>
      </c>
      <c r="O1697" t="s">
        <v>3154</v>
      </c>
      <c r="P1697" t="s">
        <v>3155</v>
      </c>
      <c r="Q1697" t="s">
        <v>3156</v>
      </c>
      <c r="R1697" t="s">
        <v>14</v>
      </c>
      <c r="S1697" t="s">
        <v>3157</v>
      </c>
      <c r="T1697" t="s">
        <v>3158</v>
      </c>
      <c r="U1697" t="s">
        <v>3015</v>
      </c>
      <c r="V1697" t="s">
        <v>14</v>
      </c>
      <c r="W1697" t="b">
        <v>1</v>
      </c>
      <c r="X1697" t="s">
        <v>5050</v>
      </c>
      <c r="Y1697" t="b">
        <v>1</v>
      </c>
      <c r="Z1697" t="s">
        <v>2032</v>
      </c>
    </row>
    <row r="1698" spans="1:26" x14ac:dyDescent="0.35">
      <c r="A1698" t="s">
        <v>1327</v>
      </c>
      <c r="B1698" t="s">
        <v>1328</v>
      </c>
      <c r="C1698" t="s">
        <v>3167</v>
      </c>
      <c r="D1698" t="s">
        <v>1963</v>
      </c>
      <c r="E1698" t="s">
        <v>2020</v>
      </c>
      <c r="F1698" t="s">
        <v>2055</v>
      </c>
      <c r="G1698" t="s">
        <v>2056</v>
      </c>
      <c r="H1698" t="s">
        <v>2023</v>
      </c>
      <c r="I1698" t="s">
        <v>73</v>
      </c>
      <c r="J1698" t="s">
        <v>1963</v>
      </c>
      <c r="K1698" t="s">
        <v>5051</v>
      </c>
      <c r="L1698" t="s">
        <v>2046</v>
      </c>
      <c r="M1698" t="s">
        <v>3152</v>
      </c>
      <c r="N1698" t="s">
        <v>3153</v>
      </c>
      <c r="O1698" t="s">
        <v>3154</v>
      </c>
      <c r="P1698" t="s">
        <v>3155</v>
      </c>
      <c r="Q1698" t="s">
        <v>3156</v>
      </c>
      <c r="R1698" t="s">
        <v>14</v>
      </c>
      <c r="S1698" t="s">
        <v>3157</v>
      </c>
      <c r="T1698" t="s">
        <v>3158</v>
      </c>
      <c r="U1698" t="s">
        <v>3015</v>
      </c>
      <c r="V1698" t="s">
        <v>14</v>
      </c>
      <c r="W1698" t="b">
        <v>1</v>
      </c>
      <c r="X1698" t="s">
        <v>5052</v>
      </c>
      <c r="Y1698" t="b">
        <v>1</v>
      </c>
      <c r="Z1698" t="s">
        <v>2032</v>
      </c>
    </row>
    <row r="1699" spans="1:26" x14ac:dyDescent="0.35">
      <c r="A1699" t="s">
        <v>1329</v>
      </c>
      <c r="B1699" t="s">
        <v>1330</v>
      </c>
      <c r="C1699" t="s">
        <v>3167</v>
      </c>
      <c r="D1699" t="s">
        <v>1963</v>
      </c>
      <c r="E1699" t="s">
        <v>2020</v>
      </c>
      <c r="F1699" t="s">
        <v>2055</v>
      </c>
      <c r="G1699" t="s">
        <v>2056</v>
      </c>
      <c r="H1699" t="s">
        <v>2023</v>
      </c>
      <c r="I1699" t="s">
        <v>73</v>
      </c>
      <c r="J1699" t="s">
        <v>1963</v>
      </c>
      <c r="K1699" t="s">
        <v>5053</v>
      </c>
      <c r="L1699" t="s">
        <v>2046</v>
      </c>
      <c r="M1699" t="s">
        <v>3152</v>
      </c>
      <c r="N1699" t="s">
        <v>3153</v>
      </c>
      <c r="O1699" t="s">
        <v>3154</v>
      </c>
      <c r="P1699" t="s">
        <v>3155</v>
      </c>
      <c r="Q1699" t="s">
        <v>3156</v>
      </c>
      <c r="R1699" t="s">
        <v>14</v>
      </c>
      <c r="S1699" t="s">
        <v>3157</v>
      </c>
      <c r="T1699" t="s">
        <v>3158</v>
      </c>
      <c r="U1699" t="s">
        <v>3015</v>
      </c>
      <c r="V1699" t="s">
        <v>14</v>
      </c>
      <c r="W1699" t="b">
        <v>1</v>
      </c>
      <c r="X1699" t="s">
        <v>5054</v>
      </c>
      <c r="Y1699" t="b">
        <v>1</v>
      </c>
      <c r="Z1699" t="s">
        <v>2032</v>
      </c>
    </row>
    <row r="1700" spans="1:26" x14ac:dyDescent="0.35">
      <c r="A1700" t="s">
        <v>1331</v>
      </c>
      <c r="B1700" t="s">
        <v>1332</v>
      </c>
      <c r="C1700" t="s">
        <v>3167</v>
      </c>
      <c r="D1700" t="s">
        <v>1963</v>
      </c>
      <c r="E1700" t="s">
        <v>2020</v>
      </c>
      <c r="F1700" t="s">
        <v>2055</v>
      </c>
      <c r="G1700" t="s">
        <v>2056</v>
      </c>
      <c r="H1700" t="s">
        <v>2023</v>
      </c>
      <c r="I1700" t="s">
        <v>73</v>
      </c>
      <c r="J1700" t="s">
        <v>1963</v>
      </c>
      <c r="K1700" t="s">
        <v>5055</v>
      </c>
      <c r="L1700" t="s">
        <v>2046</v>
      </c>
      <c r="M1700" t="s">
        <v>3152</v>
      </c>
      <c r="N1700" t="s">
        <v>3153</v>
      </c>
      <c r="O1700" t="s">
        <v>3154</v>
      </c>
      <c r="P1700" t="s">
        <v>3155</v>
      </c>
      <c r="Q1700" t="s">
        <v>3156</v>
      </c>
      <c r="R1700" t="s">
        <v>14</v>
      </c>
      <c r="S1700" t="s">
        <v>3157</v>
      </c>
      <c r="T1700" t="s">
        <v>3158</v>
      </c>
      <c r="U1700" t="s">
        <v>3015</v>
      </c>
      <c r="V1700" t="s">
        <v>14</v>
      </c>
      <c r="W1700" t="b">
        <v>1</v>
      </c>
      <c r="X1700" t="s">
        <v>5056</v>
      </c>
      <c r="Y1700" t="b">
        <v>1</v>
      </c>
      <c r="Z1700" t="s">
        <v>2032</v>
      </c>
    </row>
    <row r="1701" spans="1:26" x14ac:dyDescent="0.35">
      <c r="A1701" t="s">
        <v>1333</v>
      </c>
      <c r="B1701" t="s">
        <v>1334</v>
      </c>
      <c r="C1701" t="s">
        <v>3167</v>
      </c>
      <c r="D1701" t="s">
        <v>1963</v>
      </c>
      <c r="E1701" t="s">
        <v>2020</v>
      </c>
      <c r="F1701" t="s">
        <v>2055</v>
      </c>
      <c r="G1701" t="s">
        <v>2056</v>
      </c>
      <c r="H1701" t="s">
        <v>2023</v>
      </c>
      <c r="I1701" t="s">
        <v>73</v>
      </c>
      <c r="J1701" t="s">
        <v>1963</v>
      </c>
      <c r="K1701" t="s">
        <v>5057</v>
      </c>
      <c r="L1701" t="s">
        <v>2046</v>
      </c>
      <c r="M1701" t="s">
        <v>3152</v>
      </c>
      <c r="N1701" t="s">
        <v>3153</v>
      </c>
      <c r="O1701" t="s">
        <v>3154</v>
      </c>
      <c r="P1701" t="s">
        <v>3155</v>
      </c>
      <c r="Q1701" t="s">
        <v>3156</v>
      </c>
      <c r="R1701" t="s">
        <v>14</v>
      </c>
      <c r="S1701" t="s">
        <v>3157</v>
      </c>
      <c r="T1701" t="s">
        <v>3158</v>
      </c>
      <c r="U1701" t="s">
        <v>3015</v>
      </c>
      <c r="V1701" t="s">
        <v>14</v>
      </c>
      <c r="W1701" t="b">
        <v>1</v>
      </c>
      <c r="X1701" t="s">
        <v>5058</v>
      </c>
      <c r="Y1701" t="b">
        <v>1</v>
      </c>
      <c r="Z1701" t="s">
        <v>2032</v>
      </c>
    </row>
    <row r="1702" spans="1:26" x14ac:dyDescent="0.35">
      <c r="A1702" t="s">
        <v>1335</v>
      </c>
      <c r="B1702" t="s">
        <v>1336</v>
      </c>
      <c r="C1702" t="s">
        <v>3167</v>
      </c>
      <c r="D1702" t="s">
        <v>1963</v>
      </c>
      <c r="E1702" t="s">
        <v>2020</v>
      </c>
      <c r="F1702" t="s">
        <v>2055</v>
      </c>
      <c r="G1702" t="s">
        <v>2056</v>
      </c>
      <c r="H1702" t="s">
        <v>2023</v>
      </c>
      <c r="I1702" t="s">
        <v>73</v>
      </c>
      <c r="J1702" t="s">
        <v>1963</v>
      </c>
      <c r="K1702" t="s">
        <v>5059</v>
      </c>
      <c r="L1702" t="s">
        <v>2046</v>
      </c>
      <c r="M1702" t="s">
        <v>3152</v>
      </c>
      <c r="N1702" t="s">
        <v>3153</v>
      </c>
      <c r="O1702" t="s">
        <v>3154</v>
      </c>
      <c r="P1702" t="s">
        <v>3155</v>
      </c>
      <c r="Q1702" t="s">
        <v>3156</v>
      </c>
      <c r="R1702" t="s">
        <v>14</v>
      </c>
      <c r="S1702" t="s">
        <v>3157</v>
      </c>
      <c r="T1702" t="s">
        <v>3158</v>
      </c>
      <c r="U1702" t="s">
        <v>3015</v>
      </c>
      <c r="V1702" t="s">
        <v>14</v>
      </c>
      <c r="W1702" t="b">
        <v>1</v>
      </c>
      <c r="X1702" t="s">
        <v>5060</v>
      </c>
      <c r="Y1702" t="b">
        <v>1</v>
      </c>
      <c r="Z1702" t="s">
        <v>2032</v>
      </c>
    </row>
    <row r="1703" spans="1:26" x14ac:dyDescent="0.35">
      <c r="A1703" t="s">
        <v>1337</v>
      </c>
      <c r="B1703" t="s">
        <v>1338</v>
      </c>
      <c r="C1703" t="s">
        <v>3167</v>
      </c>
      <c r="D1703" t="s">
        <v>1963</v>
      </c>
      <c r="E1703" t="s">
        <v>2020</v>
      </c>
      <c r="F1703" t="s">
        <v>2055</v>
      </c>
      <c r="G1703" t="s">
        <v>2056</v>
      </c>
      <c r="H1703" t="s">
        <v>2023</v>
      </c>
      <c r="I1703" t="s">
        <v>73</v>
      </c>
      <c r="J1703" t="s">
        <v>1963</v>
      </c>
      <c r="K1703" t="s">
        <v>5061</v>
      </c>
      <c r="L1703" t="s">
        <v>2046</v>
      </c>
      <c r="M1703" t="s">
        <v>3152</v>
      </c>
      <c r="N1703" t="s">
        <v>3153</v>
      </c>
      <c r="O1703" t="s">
        <v>3154</v>
      </c>
      <c r="P1703" t="s">
        <v>3155</v>
      </c>
      <c r="Q1703" t="s">
        <v>3156</v>
      </c>
      <c r="R1703" t="s">
        <v>14</v>
      </c>
      <c r="S1703" t="s">
        <v>3157</v>
      </c>
      <c r="T1703" t="s">
        <v>3158</v>
      </c>
      <c r="U1703" t="s">
        <v>3015</v>
      </c>
      <c r="V1703" t="s">
        <v>14</v>
      </c>
      <c r="W1703" t="b">
        <v>1</v>
      </c>
      <c r="X1703" t="s">
        <v>5062</v>
      </c>
      <c r="Y1703" t="b">
        <v>1</v>
      </c>
      <c r="Z1703" t="s">
        <v>2032</v>
      </c>
    </row>
    <row r="1704" spans="1:26" x14ac:dyDescent="0.35">
      <c r="A1704" t="s">
        <v>1339</v>
      </c>
      <c r="B1704" t="s">
        <v>1340</v>
      </c>
      <c r="C1704" t="s">
        <v>3167</v>
      </c>
      <c r="D1704" t="s">
        <v>1963</v>
      </c>
      <c r="E1704" t="s">
        <v>2020</v>
      </c>
      <c r="F1704" t="s">
        <v>2055</v>
      </c>
      <c r="G1704" t="s">
        <v>2056</v>
      </c>
      <c r="H1704" t="s">
        <v>2023</v>
      </c>
      <c r="I1704" t="s">
        <v>73</v>
      </c>
      <c r="J1704" t="s">
        <v>1963</v>
      </c>
      <c r="K1704" t="s">
        <v>5063</v>
      </c>
      <c r="L1704" t="s">
        <v>2046</v>
      </c>
      <c r="M1704" t="s">
        <v>3152</v>
      </c>
      <c r="N1704" t="s">
        <v>3153</v>
      </c>
      <c r="O1704" t="s">
        <v>3154</v>
      </c>
      <c r="P1704" t="s">
        <v>3155</v>
      </c>
      <c r="Q1704" t="s">
        <v>3156</v>
      </c>
      <c r="R1704" t="s">
        <v>14</v>
      </c>
      <c r="S1704" t="s">
        <v>3157</v>
      </c>
      <c r="T1704" t="s">
        <v>3158</v>
      </c>
      <c r="U1704" t="s">
        <v>3015</v>
      </c>
      <c r="V1704" t="s">
        <v>14</v>
      </c>
      <c r="W1704" t="b">
        <v>1</v>
      </c>
      <c r="X1704" t="s">
        <v>5064</v>
      </c>
      <c r="Y1704" t="b">
        <v>1</v>
      </c>
      <c r="Z1704" t="s">
        <v>2032</v>
      </c>
    </row>
    <row r="1705" spans="1:26" x14ac:dyDescent="0.35">
      <c r="A1705" t="s">
        <v>1341</v>
      </c>
      <c r="B1705" t="s">
        <v>1342</v>
      </c>
      <c r="C1705" t="s">
        <v>3167</v>
      </c>
      <c r="D1705" t="s">
        <v>1963</v>
      </c>
      <c r="E1705" t="s">
        <v>2020</v>
      </c>
      <c r="F1705" t="s">
        <v>2055</v>
      </c>
      <c r="G1705" t="s">
        <v>2056</v>
      </c>
      <c r="H1705" t="s">
        <v>2023</v>
      </c>
      <c r="I1705" t="s">
        <v>73</v>
      </c>
      <c r="J1705" t="s">
        <v>1963</v>
      </c>
      <c r="K1705" t="s">
        <v>5065</v>
      </c>
      <c r="L1705" t="s">
        <v>2046</v>
      </c>
      <c r="M1705" t="s">
        <v>3152</v>
      </c>
      <c r="N1705" t="s">
        <v>3153</v>
      </c>
      <c r="O1705" t="s">
        <v>3154</v>
      </c>
      <c r="P1705" t="s">
        <v>3155</v>
      </c>
      <c r="Q1705" t="s">
        <v>3156</v>
      </c>
      <c r="R1705" t="s">
        <v>14</v>
      </c>
      <c r="S1705" t="s">
        <v>3157</v>
      </c>
      <c r="T1705" t="s">
        <v>3158</v>
      </c>
      <c r="U1705" t="s">
        <v>3015</v>
      </c>
      <c r="V1705" t="s">
        <v>14</v>
      </c>
      <c r="W1705" t="b">
        <v>1</v>
      </c>
      <c r="X1705" t="s">
        <v>5066</v>
      </c>
      <c r="Y1705" t="b">
        <v>1</v>
      </c>
      <c r="Z1705" t="s">
        <v>2032</v>
      </c>
    </row>
    <row r="1706" spans="1:26" x14ac:dyDescent="0.35">
      <c r="A1706" t="s">
        <v>1343</v>
      </c>
      <c r="B1706" t="s">
        <v>1344</v>
      </c>
      <c r="C1706" t="s">
        <v>3167</v>
      </c>
      <c r="D1706" t="s">
        <v>1963</v>
      </c>
      <c r="E1706" t="s">
        <v>2020</v>
      </c>
      <c r="F1706" t="s">
        <v>2055</v>
      </c>
      <c r="G1706" t="s">
        <v>2056</v>
      </c>
      <c r="H1706" t="s">
        <v>2023</v>
      </c>
      <c r="I1706" t="s">
        <v>73</v>
      </c>
      <c r="J1706" t="s">
        <v>1963</v>
      </c>
      <c r="K1706" t="s">
        <v>5067</v>
      </c>
      <c r="L1706" t="s">
        <v>2046</v>
      </c>
      <c r="M1706" t="s">
        <v>3152</v>
      </c>
      <c r="N1706" t="s">
        <v>3153</v>
      </c>
      <c r="O1706" t="s">
        <v>3154</v>
      </c>
      <c r="P1706" t="s">
        <v>3155</v>
      </c>
      <c r="Q1706" t="s">
        <v>3156</v>
      </c>
      <c r="R1706" t="s">
        <v>14</v>
      </c>
      <c r="S1706" t="s">
        <v>3157</v>
      </c>
      <c r="T1706" t="s">
        <v>3158</v>
      </c>
      <c r="U1706" t="s">
        <v>3015</v>
      </c>
      <c r="V1706" t="s">
        <v>14</v>
      </c>
      <c r="W1706" t="b">
        <v>1</v>
      </c>
      <c r="X1706" t="s">
        <v>5068</v>
      </c>
      <c r="Y1706" t="b">
        <v>1</v>
      </c>
      <c r="Z1706" t="s">
        <v>2032</v>
      </c>
    </row>
    <row r="1707" spans="1:26" x14ac:dyDescent="0.35">
      <c r="A1707" t="s">
        <v>1345</v>
      </c>
      <c r="B1707" t="s">
        <v>1346</v>
      </c>
      <c r="C1707" t="s">
        <v>3167</v>
      </c>
      <c r="D1707" t="s">
        <v>1963</v>
      </c>
      <c r="E1707" t="s">
        <v>2020</v>
      </c>
      <c r="F1707" t="s">
        <v>2055</v>
      </c>
      <c r="G1707" t="s">
        <v>2056</v>
      </c>
      <c r="H1707" t="s">
        <v>2023</v>
      </c>
      <c r="I1707" t="s">
        <v>73</v>
      </c>
      <c r="J1707" t="s">
        <v>1963</v>
      </c>
      <c r="K1707" t="s">
        <v>5069</v>
      </c>
      <c r="L1707" t="s">
        <v>2046</v>
      </c>
      <c r="M1707" t="s">
        <v>3152</v>
      </c>
      <c r="N1707" t="s">
        <v>3153</v>
      </c>
      <c r="O1707" t="s">
        <v>3154</v>
      </c>
      <c r="P1707" t="s">
        <v>3155</v>
      </c>
      <c r="Q1707" t="s">
        <v>3156</v>
      </c>
      <c r="R1707" t="s">
        <v>14</v>
      </c>
      <c r="S1707" t="s">
        <v>3157</v>
      </c>
      <c r="T1707" t="s">
        <v>3158</v>
      </c>
      <c r="U1707" t="s">
        <v>3015</v>
      </c>
      <c r="V1707" t="s">
        <v>14</v>
      </c>
      <c r="W1707" t="b">
        <v>1</v>
      </c>
      <c r="X1707" t="s">
        <v>5070</v>
      </c>
      <c r="Y1707" t="b">
        <v>1</v>
      </c>
      <c r="Z1707" t="s">
        <v>2032</v>
      </c>
    </row>
    <row r="1708" spans="1:26" x14ac:dyDescent="0.35">
      <c r="A1708" t="s">
        <v>1347</v>
      </c>
      <c r="B1708" t="s">
        <v>1348</v>
      </c>
      <c r="C1708" t="s">
        <v>3167</v>
      </c>
      <c r="D1708" t="s">
        <v>1963</v>
      </c>
      <c r="E1708" t="s">
        <v>2020</v>
      </c>
      <c r="F1708" t="s">
        <v>2055</v>
      </c>
      <c r="G1708" t="s">
        <v>2056</v>
      </c>
      <c r="H1708" t="s">
        <v>2023</v>
      </c>
      <c r="I1708" t="s">
        <v>73</v>
      </c>
      <c r="J1708" t="s">
        <v>1963</v>
      </c>
      <c r="K1708" t="s">
        <v>5071</v>
      </c>
      <c r="L1708" t="s">
        <v>2046</v>
      </c>
      <c r="M1708" t="s">
        <v>3152</v>
      </c>
      <c r="N1708" t="s">
        <v>3153</v>
      </c>
      <c r="O1708" t="s">
        <v>3154</v>
      </c>
      <c r="P1708" t="s">
        <v>3155</v>
      </c>
      <c r="Q1708" t="s">
        <v>3156</v>
      </c>
      <c r="R1708" t="s">
        <v>14</v>
      </c>
      <c r="S1708" t="s">
        <v>3157</v>
      </c>
      <c r="T1708" t="s">
        <v>3158</v>
      </c>
      <c r="U1708" t="s">
        <v>3015</v>
      </c>
      <c r="V1708" t="s">
        <v>14</v>
      </c>
      <c r="W1708" t="b">
        <v>1</v>
      </c>
      <c r="X1708" t="s">
        <v>5072</v>
      </c>
      <c r="Y1708" t="b">
        <v>1</v>
      </c>
      <c r="Z1708" t="s">
        <v>2032</v>
      </c>
    </row>
    <row r="1709" spans="1:26" x14ac:dyDescent="0.35">
      <c r="A1709" t="s">
        <v>1349</v>
      </c>
      <c r="B1709" t="s">
        <v>1350</v>
      </c>
      <c r="C1709" t="s">
        <v>3167</v>
      </c>
      <c r="D1709" t="s">
        <v>1963</v>
      </c>
      <c r="E1709" t="s">
        <v>2020</v>
      </c>
      <c r="F1709" t="s">
        <v>2055</v>
      </c>
      <c r="G1709" t="s">
        <v>2056</v>
      </c>
      <c r="H1709" t="s">
        <v>2023</v>
      </c>
      <c r="I1709" t="s">
        <v>73</v>
      </c>
      <c r="J1709" t="s">
        <v>1963</v>
      </c>
      <c r="K1709" t="s">
        <v>5073</v>
      </c>
      <c r="L1709" t="s">
        <v>2046</v>
      </c>
      <c r="M1709" t="s">
        <v>3152</v>
      </c>
      <c r="N1709" t="s">
        <v>3153</v>
      </c>
      <c r="O1709" t="s">
        <v>3154</v>
      </c>
      <c r="P1709" t="s">
        <v>3155</v>
      </c>
      <c r="Q1709" t="s">
        <v>3156</v>
      </c>
      <c r="R1709" t="s">
        <v>14</v>
      </c>
      <c r="S1709" t="s">
        <v>3157</v>
      </c>
      <c r="T1709" t="s">
        <v>3158</v>
      </c>
      <c r="U1709" t="s">
        <v>3015</v>
      </c>
      <c r="V1709" t="s">
        <v>14</v>
      </c>
      <c r="W1709" t="b">
        <v>1</v>
      </c>
      <c r="X1709" t="s">
        <v>5074</v>
      </c>
      <c r="Y1709" t="b">
        <v>1</v>
      </c>
      <c r="Z1709" t="s">
        <v>2032</v>
      </c>
    </row>
    <row r="1710" spans="1:26" x14ac:dyDescent="0.35">
      <c r="A1710" t="s">
        <v>1351</v>
      </c>
      <c r="B1710" t="s">
        <v>1352</v>
      </c>
      <c r="C1710" t="s">
        <v>3167</v>
      </c>
      <c r="D1710" t="s">
        <v>1963</v>
      </c>
      <c r="E1710" t="s">
        <v>2020</v>
      </c>
      <c r="F1710" t="s">
        <v>2055</v>
      </c>
      <c r="G1710" t="s">
        <v>2056</v>
      </c>
      <c r="H1710" t="s">
        <v>2023</v>
      </c>
      <c r="I1710" t="s">
        <v>73</v>
      </c>
      <c r="J1710" t="s">
        <v>1963</v>
      </c>
      <c r="K1710" t="s">
        <v>5075</v>
      </c>
      <c r="L1710" t="s">
        <v>2046</v>
      </c>
      <c r="M1710" t="s">
        <v>3152</v>
      </c>
      <c r="N1710" t="s">
        <v>3153</v>
      </c>
      <c r="O1710" t="s">
        <v>3154</v>
      </c>
      <c r="P1710" t="s">
        <v>3155</v>
      </c>
      <c r="Q1710" t="s">
        <v>3156</v>
      </c>
      <c r="R1710" t="s">
        <v>14</v>
      </c>
      <c r="S1710" t="s">
        <v>3157</v>
      </c>
      <c r="T1710" t="s">
        <v>3158</v>
      </c>
      <c r="U1710" t="s">
        <v>3015</v>
      </c>
      <c r="V1710" t="s">
        <v>14</v>
      </c>
      <c r="W1710" t="b">
        <v>1</v>
      </c>
      <c r="X1710" t="s">
        <v>5076</v>
      </c>
      <c r="Y1710" t="b">
        <v>1</v>
      </c>
      <c r="Z1710" t="s">
        <v>2032</v>
      </c>
    </row>
    <row r="1711" spans="1:26" x14ac:dyDescent="0.35">
      <c r="A1711" t="s">
        <v>1353</v>
      </c>
      <c r="B1711" t="s">
        <v>1354</v>
      </c>
      <c r="C1711" t="s">
        <v>3167</v>
      </c>
      <c r="D1711" t="s">
        <v>1963</v>
      </c>
      <c r="E1711" t="s">
        <v>2020</v>
      </c>
      <c r="F1711" t="s">
        <v>2055</v>
      </c>
      <c r="G1711" t="s">
        <v>2056</v>
      </c>
      <c r="H1711" t="s">
        <v>2023</v>
      </c>
      <c r="I1711" t="s">
        <v>73</v>
      </c>
      <c r="J1711" t="s">
        <v>1963</v>
      </c>
      <c r="K1711" t="s">
        <v>5077</v>
      </c>
      <c r="L1711" t="s">
        <v>2046</v>
      </c>
      <c r="M1711" t="s">
        <v>3152</v>
      </c>
      <c r="N1711" t="s">
        <v>3153</v>
      </c>
      <c r="O1711" t="s">
        <v>3154</v>
      </c>
      <c r="P1711" t="s">
        <v>3155</v>
      </c>
      <c r="Q1711" t="s">
        <v>3156</v>
      </c>
      <c r="R1711" t="s">
        <v>14</v>
      </c>
      <c r="S1711" t="s">
        <v>3157</v>
      </c>
      <c r="T1711" t="s">
        <v>3158</v>
      </c>
      <c r="U1711" t="s">
        <v>3015</v>
      </c>
      <c r="V1711" t="s">
        <v>14</v>
      </c>
      <c r="W1711" t="b">
        <v>1</v>
      </c>
      <c r="X1711" t="s">
        <v>5078</v>
      </c>
      <c r="Y1711" t="b">
        <v>1</v>
      </c>
      <c r="Z1711" t="s">
        <v>2032</v>
      </c>
    </row>
    <row r="1712" spans="1:26" x14ac:dyDescent="0.35">
      <c r="A1712" t="s">
        <v>1355</v>
      </c>
      <c r="B1712" t="s">
        <v>1356</v>
      </c>
      <c r="C1712" t="s">
        <v>3167</v>
      </c>
      <c r="D1712" t="s">
        <v>1963</v>
      </c>
      <c r="E1712" t="s">
        <v>2020</v>
      </c>
      <c r="F1712" t="s">
        <v>2055</v>
      </c>
      <c r="G1712" t="s">
        <v>2056</v>
      </c>
      <c r="H1712" t="s">
        <v>2023</v>
      </c>
      <c r="I1712" t="s">
        <v>73</v>
      </c>
      <c r="J1712" t="s">
        <v>1963</v>
      </c>
      <c r="K1712" t="s">
        <v>5079</v>
      </c>
      <c r="L1712" t="s">
        <v>2046</v>
      </c>
      <c r="M1712" t="s">
        <v>3152</v>
      </c>
      <c r="N1712" t="s">
        <v>3153</v>
      </c>
      <c r="O1712" t="s">
        <v>3154</v>
      </c>
      <c r="P1712" t="s">
        <v>3155</v>
      </c>
      <c r="Q1712" t="s">
        <v>3156</v>
      </c>
      <c r="R1712" t="s">
        <v>14</v>
      </c>
      <c r="S1712" t="s">
        <v>3157</v>
      </c>
      <c r="T1712" t="s">
        <v>3158</v>
      </c>
      <c r="U1712" t="s">
        <v>3015</v>
      </c>
      <c r="V1712" t="s">
        <v>14</v>
      </c>
      <c r="W1712" t="b">
        <v>1</v>
      </c>
      <c r="X1712" t="s">
        <v>5080</v>
      </c>
      <c r="Y1712" t="b">
        <v>1</v>
      </c>
      <c r="Z1712" t="s">
        <v>2032</v>
      </c>
    </row>
    <row r="1713" spans="1:26" x14ac:dyDescent="0.35">
      <c r="A1713" t="s">
        <v>1357</v>
      </c>
      <c r="B1713" t="s">
        <v>1358</v>
      </c>
      <c r="C1713" t="s">
        <v>3167</v>
      </c>
      <c r="D1713" t="s">
        <v>1963</v>
      </c>
      <c r="E1713" t="s">
        <v>2020</v>
      </c>
      <c r="F1713" t="s">
        <v>2055</v>
      </c>
      <c r="G1713" t="s">
        <v>2056</v>
      </c>
      <c r="H1713" t="s">
        <v>2023</v>
      </c>
      <c r="I1713" t="s">
        <v>73</v>
      </c>
      <c r="J1713" t="s">
        <v>1963</v>
      </c>
      <c r="K1713" t="s">
        <v>5081</v>
      </c>
      <c r="L1713" t="s">
        <v>2046</v>
      </c>
      <c r="M1713" t="s">
        <v>3152</v>
      </c>
      <c r="N1713" t="s">
        <v>3153</v>
      </c>
      <c r="O1713" t="s">
        <v>3154</v>
      </c>
      <c r="P1713" t="s">
        <v>3155</v>
      </c>
      <c r="Q1713" t="s">
        <v>3156</v>
      </c>
      <c r="R1713" t="s">
        <v>14</v>
      </c>
      <c r="S1713" t="s">
        <v>3157</v>
      </c>
      <c r="T1713" t="s">
        <v>3158</v>
      </c>
      <c r="U1713" t="s">
        <v>3015</v>
      </c>
      <c r="V1713" t="s">
        <v>14</v>
      </c>
      <c r="W1713" t="b">
        <v>1</v>
      </c>
      <c r="X1713" t="s">
        <v>5082</v>
      </c>
      <c r="Y1713" t="b">
        <v>1</v>
      </c>
      <c r="Z1713" t="s">
        <v>2032</v>
      </c>
    </row>
    <row r="1714" spans="1:26" x14ac:dyDescent="0.35">
      <c r="A1714" t="s">
        <v>1359</v>
      </c>
      <c r="B1714" t="s">
        <v>1360</v>
      </c>
      <c r="C1714" t="s">
        <v>3167</v>
      </c>
      <c r="D1714" t="s">
        <v>1963</v>
      </c>
      <c r="E1714" t="s">
        <v>2020</v>
      </c>
      <c r="F1714" t="s">
        <v>2055</v>
      </c>
      <c r="G1714" t="s">
        <v>2056</v>
      </c>
      <c r="H1714" t="s">
        <v>2023</v>
      </c>
      <c r="I1714" t="s">
        <v>73</v>
      </c>
      <c r="J1714" t="s">
        <v>1963</v>
      </c>
      <c r="K1714" t="s">
        <v>5083</v>
      </c>
      <c r="L1714" t="s">
        <v>2046</v>
      </c>
      <c r="M1714" t="s">
        <v>3152</v>
      </c>
      <c r="N1714" t="s">
        <v>3153</v>
      </c>
      <c r="O1714" t="s">
        <v>3154</v>
      </c>
      <c r="P1714" t="s">
        <v>3155</v>
      </c>
      <c r="Q1714" t="s">
        <v>3156</v>
      </c>
      <c r="R1714" t="s">
        <v>14</v>
      </c>
      <c r="S1714" t="s">
        <v>3157</v>
      </c>
      <c r="T1714" t="s">
        <v>3158</v>
      </c>
      <c r="U1714" t="s">
        <v>3015</v>
      </c>
      <c r="V1714" t="s">
        <v>14</v>
      </c>
      <c r="W1714" t="b">
        <v>1</v>
      </c>
      <c r="X1714" t="s">
        <v>5084</v>
      </c>
      <c r="Y1714" t="b">
        <v>1</v>
      </c>
      <c r="Z1714" t="s">
        <v>2032</v>
      </c>
    </row>
    <row r="1715" spans="1:26" x14ac:dyDescent="0.35">
      <c r="A1715" t="s">
        <v>1361</v>
      </c>
      <c r="B1715" t="s">
        <v>1362</v>
      </c>
      <c r="C1715" t="s">
        <v>3167</v>
      </c>
      <c r="D1715" t="s">
        <v>1963</v>
      </c>
      <c r="E1715" t="s">
        <v>2020</v>
      </c>
      <c r="F1715" t="s">
        <v>2055</v>
      </c>
      <c r="G1715" t="s">
        <v>2056</v>
      </c>
      <c r="H1715" t="s">
        <v>2023</v>
      </c>
      <c r="I1715" t="s">
        <v>73</v>
      </c>
      <c r="J1715" t="s">
        <v>1963</v>
      </c>
      <c r="K1715" t="s">
        <v>5085</v>
      </c>
      <c r="L1715" t="s">
        <v>2046</v>
      </c>
      <c r="M1715" t="s">
        <v>3152</v>
      </c>
      <c r="N1715" t="s">
        <v>3153</v>
      </c>
      <c r="O1715" t="s">
        <v>3154</v>
      </c>
      <c r="P1715" t="s">
        <v>3155</v>
      </c>
      <c r="Q1715" t="s">
        <v>3156</v>
      </c>
      <c r="R1715" t="s">
        <v>14</v>
      </c>
      <c r="S1715" t="s">
        <v>3157</v>
      </c>
      <c r="T1715" t="s">
        <v>3158</v>
      </c>
      <c r="U1715" t="s">
        <v>3015</v>
      </c>
      <c r="V1715" t="s">
        <v>14</v>
      </c>
      <c r="W1715" t="b">
        <v>1</v>
      </c>
      <c r="X1715" t="s">
        <v>5086</v>
      </c>
      <c r="Y1715" t="b">
        <v>1</v>
      </c>
      <c r="Z1715" t="s">
        <v>2032</v>
      </c>
    </row>
    <row r="1716" spans="1:26" x14ac:dyDescent="0.35">
      <c r="A1716" t="s">
        <v>1363</v>
      </c>
      <c r="B1716" t="s">
        <v>1364</v>
      </c>
      <c r="C1716" t="s">
        <v>3167</v>
      </c>
      <c r="D1716" t="s">
        <v>1963</v>
      </c>
      <c r="E1716" t="s">
        <v>2020</v>
      </c>
      <c r="F1716" t="s">
        <v>2055</v>
      </c>
      <c r="G1716" t="s">
        <v>2056</v>
      </c>
      <c r="H1716" t="s">
        <v>2023</v>
      </c>
      <c r="I1716" t="s">
        <v>73</v>
      </c>
      <c r="J1716" t="s">
        <v>1963</v>
      </c>
      <c r="K1716" t="s">
        <v>5087</v>
      </c>
      <c r="L1716" t="s">
        <v>2046</v>
      </c>
      <c r="M1716" t="s">
        <v>3152</v>
      </c>
      <c r="N1716" t="s">
        <v>3153</v>
      </c>
      <c r="O1716" t="s">
        <v>3154</v>
      </c>
      <c r="P1716" t="s">
        <v>3155</v>
      </c>
      <c r="Q1716" t="s">
        <v>3156</v>
      </c>
      <c r="R1716" t="s">
        <v>14</v>
      </c>
      <c r="S1716" t="s">
        <v>3157</v>
      </c>
      <c r="T1716" t="s">
        <v>3158</v>
      </c>
      <c r="U1716" t="s">
        <v>3015</v>
      </c>
      <c r="V1716" t="s">
        <v>14</v>
      </c>
      <c r="W1716" t="b">
        <v>1</v>
      </c>
      <c r="X1716" t="s">
        <v>5088</v>
      </c>
      <c r="Y1716" t="b">
        <v>1</v>
      </c>
      <c r="Z1716" t="s">
        <v>2032</v>
      </c>
    </row>
    <row r="1717" spans="1:26" x14ac:dyDescent="0.35">
      <c r="A1717" t="s">
        <v>1365</v>
      </c>
      <c r="B1717" t="s">
        <v>1366</v>
      </c>
      <c r="C1717" t="s">
        <v>3167</v>
      </c>
      <c r="D1717" t="s">
        <v>1963</v>
      </c>
      <c r="E1717" t="s">
        <v>2020</v>
      </c>
      <c r="F1717" t="s">
        <v>2055</v>
      </c>
      <c r="G1717" t="s">
        <v>2056</v>
      </c>
      <c r="H1717" t="s">
        <v>2023</v>
      </c>
      <c r="I1717" t="s">
        <v>73</v>
      </c>
      <c r="J1717" t="s">
        <v>1963</v>
      </c>
      <c r="K1717" t="s">
        <v>5089</v>
      </c>
      <c r="L1717" t="s">
        <v>2046</v>
      </c>
      <c r="M1717" t="s">
        <v>3152</v>
      </c>
      <c r="N1717" t="s">
        <v>3153</v>
      </c>
      <c r="O1717" t="s">
        <v>3154</v>
      </c>
      <c r="P1717" t="s">
        <v>3155</v>
      </c>
      <c r="Q1717" t="s">
        <v>3156</v>
      </c>
      <c r="R1717" t="s">
        <v>14</v>
      </c>
      <c r="S1717" t="s">
        <v>3157</v>
      </c>
      <c r="T1717" t="s">
        <v>3158</v>
      </c>
      <c r="U1717" t="s">
        <v>3015</v>
      </c>
      <c r="V1717" t="s">
        <v>14</v>
      </c>
      <c r="W1717" t="b">
        <v>1</v>
      </c>
      <c r="X1717" t="s">
        <v>5090</v>
      </c>
      <c r="Y1717" t="b">
        <v>1</v>
      </c>
      <c r="Z1717" t="s">
        <v>2032</v>
      </c>
    </row>
    <row r="1718" spans="1:26" x14ac:dyDescent="0.35">
      <c r="A1718" t="s">
        <v>1367</v>
      </c>
      <c r="B1718" t="s">
        <v>1368</v>
      </c>
      <c r="C1718" t="s">
        <v>3167</v>
      </c>
      <c r="D1718" t="s">
        <v>1963</v>
      </c>
      <c r="E1718" t="s">
        <v>2020</v>
      </c>
      <c r="F1718" t="s">
        <v>2055</v>
      </c>
      <c r="G1718" t="s">
        <v>2056</v>
      </c>
      <c r="H1718" t="s">
        <v>2023</v>
      </c>
      <c r="I1718" t="s">
        <v>73</v>
      </c>
      <c r="J1718" t="s">
        <v>1963</v>
      </c>
      <c r="K1718" t="s">
        <v>5091</v>
      </c>
      <c r="L1718" t="s">
        <v>2046</v>
      </c>
      <c r="M1718" t="s">
        <v>3152</v>
      </c>
      <c r="N1718" t="s">
        <v>3153</v>
      </c>
      <c r="O1718" t="s">
        <v>3154</v>
      </c>
      <c r="P1718" t="s">
        <v>3155</v>
      </c>
      <c r="Q1718" t="s">
        <v>3156</v>
      </c>
      <c r="R1718" t="s">
        <v>14</v>
      </c>
      <c r="S1718" t="s">
        <v>3157</v>
      </c>
      <c r="T1718" t="s">
        <v>3158</v>
      </c>
      <c r="U1718" t="s">
        <v>3015</v>
      </c>
      <c r="V1718" t="s">
        <v>14</v>
      </c>
      <c r="W1718" t="b">
        <v>1</v>
      </c>
      <c r="X1718" t="s">
        <v>5092</v>
      </c>
      <c r="Y1718" t="b">
        <v>1</v>
      </c>
      <c r="Z1718" t="s">
        <v>2032</v>
      </c>
    </row>
    <row r="1719" spans="1:26" x14ac:dyDescent="0.35">
      <c r="A1719" t="s">
        <v>1369</v>
      </c>
      <c r="B1719" t="s">
        <v>1370</v>
      </c>
      <c r="C1719" t="s">
        <v>3167</v>
      </c>
      <c r="D1719" t="s">
        <v>1963</v>
      </c>
      <c r="E1719" t="s">
        <v>2020</v>
      </c>
      <c r="F1719" t="s">
        <v>2055</v>
      </c>
      <c r="G1719" t="s">
        <v>2056</v>
      </c>
      <c r="H1719" t="s">
        <v>2023</v>
      </c>
      <c r="I1719" t="s">
        <v>73</v>
      </c>
      <c r="J1719" t="s">
        <v>1963</v>
      </c>
      <c r="K1719" t="s">
        <v>5093</v>
      </c>
      <c r="L1719" t="s">
        <v>2046</v>
      </c>
      <c r="M1719" t="s">
        <v>3152</v>
      </c>
      <c r="N1719" t="s">
        <v>3153</v>
      </c>
      <c r="O1719" t="s">
        <v>3154</v>
      </c>
      <c r="P1719" t="s">
        <v>3155</v>
      </c>
      <c r="Q1719" t="s">
        <v>3156</v>
      </c>
      <c r="R1719" t="s">
        <v>14</v>
      </c>
      <c r="S1719" t="s">
        <v>3157</v>
      </c>
      <c r="T1719" t="s">
        <v>3158</v>
      </c>
      <c r="U1719" t="s">
        <v>3015</v>
      </c>
      <c r="V1719" t="s">
        <v>14</v>
      </c>
      <c r="W1719" t="b">
        <v>1</v>
      </c>
      <c r="X1719" t="s">
        <v>5094</v>
      </c>
      <c r="Y1719" t="b">
        <v>1</v>
      </c>
      <c r="Z1719" t="s">
        <v>2032</v>
      </c>
    </row>
    <row r="1720" spans="1:26" x14ac:dyDescent="0.35">
      <c r="A1720" t="s">
        <v>1371</v>
      </c>
      <c r="B1720" t="s">
        <v>1372</v>
      </c>
      <c r="C1720" t="s">
        <v>3167</v>
      </c>
      <c r="D1720" t="s">
        <v>1963</v>
      </c>
      <c r="E1720" t="s">
        <v>2020</v>
      </c>
      <c r="F1720" t="s">
        <v>2055</v>
      </c>
      <c r="G1720" t="s">
        <v>2056</v>
      </c>
      <c r="H1720" t="s">
        <v>2023</v>
      </c>
      <c r="I1720" t="s">
        <v>73</v>
      </c>
      <c r="J1720" t="s">
        <v>1963</v>
      </c>
      <c r="K1720" t="s">
        <v>5095</v>
      </c>
      <c r="L1720" t="s">
        <v>2046</v>
      </c>
      <c r="M1720" t="s">
        <v>3152</v>
      </c>
      <c r="N1720" t="s">
        <v>3153</v>
      </c>
      <c r="O1720" t="s">
        <v>3154</v>
      </c>
      <c r="P1720" t="s">
        <v>3155</v>
      </c>
      <c r="Q1720" t="s">
        <v>3156</v>
      </c>
      <c r="R1720" t="s">
        <v>14</v>
      </c>
      <c r="S1720" t="s">
        <v>3157</v>
      </c>
      <c r="T1720" t="s">
        <v>3158</v>
      </c>
      <c r="U1720" t="s">
        <v>3015</v>
      </c>
      <c r="V1720" t="s">
        <v>14</v>
      </c>
      <c r="W1720" t="b">
        <v>1</v>
      </c>
      <c r="X1720" t="s">
        <v>5096</v>
      </c>
      <c r="Y1720" t="b">
        <v>1</v>
      </c>
      <c r="Z1720" t="s">
        <v>2032</v>
      </c>
    </row>
    <row r="1721" spans="1:26" x14ac:dyDescent="0.35">
      <c r="A1721" t="s">
        <v>1373</v>
      </c>
      <c r="B1721" t="s">
        <v>1374</v>
      </c>
      <c r="C1721" t="s">
        <v>3167</v>
      </c>
      <c r="D1721" t="s">
        <v>1963</v>
      </c>
      <c r="E1721" t="s">
        <v>2020</v>
      </c>
      <c r="F1721" t="s">
        <v>2055</v>
      </c>
      <c r="G1721" t="s">
        <v>2056</v>
      </c>
      <c r="H1721" t="s">
        <v>2023</v>
      </c>
      <c r="I1721" t="s">
        <v>73</v>
      </c>
      <c r="J1721" t="s">
        <v>1963</v>
      </c>
      <c r="K1721" t="s">
        <v>5097</v>
      </c>
      <c r="L1721" t="s">
        <v>2046</v>
      </c>
      <c r="M1721" t="s">
        <v>3152</v>
      </c>
      <c r="N1721" t="s">
        <v>3153</v>
      </c>
      <c r="O1721" t="s">
        <v>3154</v>
      </c>
      <c r="P1721" t="s">
        <v>3155</v>
      </c>
      <c r="Q1721" t="s">
        <v>3156</v>
      </c>
      <c r="R1721" t="s">
        <v>14</v>
      </c>
      <c r="S1721" t="s">
        <v>3157</v>
      </c>
      <c r="T1721" t="s">
        <v>3158</v>
      </c>
      <c r="U1721" t="s">
        <v>3015</v>
      </c>
      <c r="V1721" t="s">
        <v>14</v>
      </c>
      <c r="W1721" t="b">
        <v>1</v>
      </c>
      <c r="X1721" t="s">
        <v>5098</v>
      </c>
      <c r="Y1721" t="b">
        <v>1</v>
      </c>
      <c r="Z1721" t="s">
        <v>2032</v>
      </c>
    </row>
    <row r="1722" spans="1:26" x14ac:dyDescent="0.35">
      <c r="A1722" t="s">
        <v>1375</v>
      </c>
      <c r="B1722" t="s">
        <v>1376</v>
      </c>
      <c r="C1722" t="s">
        <v>3167</v>
      </c>
      <c r="D1722" t="s">
        <v>1963</v>
      </c>
      <c r="E1722" t="s">
        <v>2020</v>
      </c>
      <c r="F1722" t="s">
        <v>2055</v>
      </c>
      <c r="G1722" t="s">
        <v>2056</v>
      </c>
      <c r="H1722" t="s">
        <v>2023</v>
      </c>
      <c r="I1722" t="s">
        <v>73</v>
      </c>
      <c r="J1722" t="s">
        <v>1963</v>
      </c>
      <c r="K1722" t="s">
        <v>5099</v>
      </c>
      <c r="L1722" t="s">
        <v>2046</v>
      </c>
      <c r="M1722" t="s">
        <v>3152</v>
      </c>
      <c r="N1722" t="s">
        <v>3153</v>
      </c>
      <c r="O1722" t="s">
        <v>3154</v>
      </c>
      <c r="P1722" t="s">
        <v>3155</v>
      </c>
      <c r="Q1722" t="s">
        <v>3156</v>
      </c>
      <c r="R1722" t="s">
        <v>14</v>
      </c>
      <c r="S1722" t="s">
        <v>3157</v>
      </c>
      <c r="T1722" t="s">
        <v>3158</v>
      </c>
      <c r="U1722" t="s">
        <v>3015</v>
      </c>
      <c r="V1722" t="s">
        <v>14</v>
      </c>
      <c r="W1722" t="b">
        <v>1</v>
      </c>
      <c r="X1722" t="s">
        <v>5100</v>
      </c>
      <c r="Y1722" t="b">
        <v>1</v>
      </c>
      <c r="Z1722" t="s">
        <v>2032</v>
      </c>
    </row>
    <row r="1723" spans="1:26" x14ac:dyDescent="0.35">
      <c r="A1723" t="s">
        <v>1377</v>
      </c>
      <c r="B1723" t="s">
        <v>1378</v>
      </c>
      <c r="C1723" t="s">
        <v>3167</v>
      </c>
      <c r="D1723" t="s">
        <v>1963</v>
      </c>
      <c r="E1723" t="s">
        <v>2020</v>
      </c>
      <c r="F1723" t="s">
        <v>2021</v>
      </c>
      <c r="G1723" t="s">
        <v>2022</v>
      </c>
      <c r="H1723" t="s">
        <v>2023</v>
      </c>
      <c r="I1723" t="s">
        <v>3781</v>
      </c>
      <c r="J1723" t="s">
        <v>1963</v>
      </c>
      <c r="K1723" t="s">
        <v>5101</v>
      </c>
      <c r="L1723" t="s">
        <v>2046</v>
      </c>
      <c r="M1723" t="s">
        <v>2026</v>
      </c>
      <c r="N1723" t="s">
        <v>2027</v>
      </c>
      <c r="O1723" t="s">
        <v>3783</v>
      </c>
      <c r="P1723" t="s">
        <v>3784</v>
      </c>
      <c r="Q1723" t="s">
        <v>14</v>
      </c>
      <c r="R1723" t="s">
        <v>14</v>
      </c>
      <c r="S1723" t="s">
        <v>14</v>
      </c>
      <c r="T1723" t="s">
        <v>14</v>
      </c>
      <c r="U1723" t="s">
        <v>2030</v>
      </c>
      <c r="V1723" t="s">
        <v>14</v>
      </c>
      <c r="W1723" t="b">
        <v>1</v>
      </c>
      <c r="X1723" t="s">
        <v>5102</v>
      </c>
      <c r="Y1723" t="b">
        <v>0</v>
      </c>
      <c r="Z1723" t="s">
        <v>2081</v>
      </c>
    </row>
    <row r="1724" spans="1:26" x14ac:dyDescent="0.35">
      <c r="A1724" t="s">
        <v>1377</v>
      </c>
      <c r="B1724" t="s">
        <v>1378</v>
      </c>
      <c r="C1724" t="s">
        <v>3167</v>
      </c>
      <c r="D1724" t="s">
        <v>1963</v>
      </c>
      <c r="E1724" t="s">
        <v>2020</v>
      </c>
      <c r="F1724" t="s">
        <v>2021</v>
      </c>
      <c r="G1724" t="s">
        <v>2022</v>
      </c>
      <c r="H1724" t="s">
        <v>2023</v>
      </c>
      <c r="I1724" t="s">
        <v>3786</v>
      </c>
      <c r="J1724" t="s">
        <v>1963</v>
      </c>
      <c r="K1724" t="s">
        <v>5101</v>
      </c>
      <c r="L1724" t="s">
        <v>2046</v>
      </c>
      <c r="M1724" t="s">
        <v>2026</v>
      </c>
      <c r="N1724" t="s">
        <v>2027</v>
      </c>
      <c r="O1724" t="s">
        <v>3783</v>
      </c>
      <c r="P1724" t="s">
        <v>3784</v>
      </c>
      <c r="Q1724" t="s">
        <v>14</v>
      </c>
      <c r="R1724" t="s">
        <v>14</v>
      </c>
      <c r="S1724" t="s">
        <v>3083</v>
      </c>
      <c r="T1724" t="s">
        <v>3084</v>
      </c>
      <c r="U1724" t="s">
        <v>2030</v>
      </c>
      <c r="V1724" t="s">
        <v>14</v>
      </c>
      <c r="W1724" t="b">
        <v>1</v>
      </c>
      <c r="X1724" t="s">
        <v>5102</v>
      </c>
      <c r="Y1724" t="b">
        <v>0</v>
      </c>
      <c r="Z1724" t="s">
        <v>2081</v>
      </c>
    </row>
    <row r="1725" spans="1:26" x14ac:dyDescent="0.35">
      <c r="A1725" t="s">
        <v>1379</v>
      </c>
      <c r="B1725" t="s">
        <v>1380</v>
      </c>
      <c r="C1725" t="s">
        <v>2967</v>
      </c>
      <c r="D1725" t="s">
        <v>1963</v>
      </c>
      <c r="E1725" t="s">
        <v>2020</v>
      </c>
      <c r="F1725" t="s">
        <v>2021</v>
      </c>
      <c r="G1725" t="s">
        <v>2022</v>
      </c>
      <c r="H1725" t="s">
        <v>2023</v>
      </c>
      <c r="I1725" t="s">
        <v>3047</v>
      </c>
      <c r="J1725" t="s">
        <v>1963</v>
      </c>
      <c r="K1725" t="s">
        <v>5103</v>
      </c>
      <c r="L1725" t="s">
        <v>2046</v>
      </c>
      <c r="M1725" t="s">
        <v>3048</v>
      </c>
      <c r="N1725" t="s">
        <v>3049</v>
      </c>
      <c r="O1725" t="s">
        <v>3013</v>
      </c>
      <c r="P1725" t="s">
        <v>3014</v>
      </c>
      <c r="Q1725" t="s">
        <v>3021</v>
      </c>
      <c r="R1725" t="s">
        <v>14</v>
      </c>
      <c r="S1725" t="s">
        <v>3050</v>
      </c>
      <c r="T1725" t="s">
        <v>3051</v>
      </c>
      <c r="U1725" t="s">
        <v>3015</v>
      </c>
      <c r="V1725" t="s">
        <v>14</v>
      </c>
      <c r="W1725" t="b">
        <v>1</v>
      </c>
      <c r="X1725" t="s">
        <v>5104</v>
      </c>
      <c r="Y1725" t="b">
        <v>1</v>
      </c>
      <c r="Z1725" t="s">
        <v>2032</v>
      </c>
    </row>
    <row r="1726" spans="1:26" x14ac:dyDescent="0.35">
      <c r="A1726" t="s">
        <v>1383</v>
      </c>
      <c r="B1726" t="s">
        <v>1384</v>
      </c>
      <c r="C1726" t="s">
        <v>2967</v>
      </c>
      <c r="D1726" t="s">
        <v>1963</v>
      </c>
      <c r="E1726" t="s">
        <v>2020</v>
      </c>
      <c r="F1726" t="s">
        <v>2021</v>
      </c>
      <c r="G1726" t="s">
        <v>2022</v>
      </c>
      <c r="H1726" t="s">
        <v>2023</v>
      </c>
      <c r="I1726" t="s">
        <v>5105</v>
      </c>
      <c r="J1726" t="s">
        <v>1963</v>
      </c>
      <c r="K1726" t="s">
        <v>5106</v>
      </c>
      <c r="L1726" t="s">
        <v>2046</v>
      </c>
      <c r="M1726" t="s">
        <v>2058</v>
      </c>
      <c r="N1726" t="s">
        <v>2059</v>
      </c>
      <c r="O1726" t="s">
        <v>2060</v>
      </c>
      <c r="P1726" t="s">
        <v>2061</v>
      </c>
      <c r="Q1726" t="s">
        <v>2062</v>
      </c>
      <c r="R1726" t="s">
        <v>14</v>
      </c>
      <c r="S1726" t="s">
        <v>2134</v>
      </c>
      <c r="T1726" t="s">
        <v>2135</v>
      </c>
      <c r="U1726" t="s">
        <v>2052</v>
      </c>
      <c r="V1726" t="s">
        <v>14</v>
      </c>
      <c r="W1726" t="b">
        <v>1</v>
      </c>
      <c r="X1726" t="s">
        <v>5107</v>
      </c>
      <c r="Y1726" t="b">
        <v>0</v>
      </c>
      <c r="Z1726" t="s">
        <v>2053</v>
      </c>
    </row>
    <row r="1727" spans="1:26" x14ac:dyDescent="0.35">
      <c r="A1727" t="s">
        <v>1386</v>
      </c>
      <c r="B1727" t="s">
        <v>1387</v>
      </c>
      <c r="C1727" t="s">
        <v>2967</v>
      </c>
      <c r="D1727" t="s">
        <v>1963</v>
      </c>
      <c r="E1727" t="s">
        <v>2020</v>
      </c>
      <c r="F1727" t="s">
        <v>2140</v>
      </c>
      <c r="G1727" t="s">
        <v>2141</v>
      </c>
      <c r="H1727" t="s">
        <v>2023</v>
      </c>
      <c r="I1727" t="s">
        <v>2968</v>
      </c>
      <c r="J1727" t="s">
        <v>1963</v>
      </c>
      <c r="K1727" t="s">
        <v>5108</v>
      </c>
      <c r="L1727" t="s">
        <v>2046</v>
      </c>
      <c r="M1727" t="s">
        <v>2970</v>
      </c>
      <c r="N1727" t="s">
        <v>2971</v>
      </c>
      <c r="O1727" t="s">
        <v>2401</v>
      </c>
      <c r="P1727" t="s">
        <v>2402</v>
      </c>
      <c r="Q1727" t="s">
        <v>14</v>
      </c>
      <c r="R1727" t="s">
        <v>14</v>
      </c>
      <c r="S1727" t="s">
        <v>2972</v>
      </c>
      <c r="T1727" t="s">
        <v>2973</v>
      </c>
      <c r="U1727" t="s">
        <v>2390</v>
      </c>
      <c r="V1727" t="s">
        <v>14</v>
      </c>
      <c r="W1727" t="b">
        <v>1</v>
      </c>
      <c r="X1727" t="s">
        <v>5109</v>
      </c>
      <c r="Y1727" t="b">
        <v>0</v>
      </c>
      <c r="Z1727" t="s">
        <v>2032</v>
      </c>
    </row>
    <row r="1728" spans="1:26" x14ac:dyDescent="0.35">
      <c r="A1728" t="s">
        <v>1386</v>
      </c>
      <c r="B1728" t="s">
        <v>1387</v>
      </c>
      <c r="C1728" t="s">
        <v>2967</v>
      </c>
      <c r="D1728" t="s">
        <v>1963</v>
      </c>
      <c r="E1728" t="s">
        <v>2020</v>
      </c>
      <c r="F1728" t="s">
        <v>2140</v>
      </c>
      <c r="G1728" t="s">
        <v>2141</v>
      </c>
      <c r="H1728" t="s">
        <v>2023</v>
      </c>
      <c r="I1728" t="s">
        <v>2975</v>
      </c>
      <c r="J1728" t="s">
        <v>1963</v>
      </c>
      <c r="K1728" t="s">
        <v>5108</v>
      </c>
      <c r="L1728" t="s">
        <v>2046</v>
      </c>
      <c r="M1728" t="s">
        <v>2970</v>
      </c>
      <c r="N1728" t="s">
        <v>2971</v>
      </c>
      <c r="O1728" t="s">
        <v>2401</v>
      </c>
      <c r="P1728" t="s">
        <v>2402</v>
      </c>
      <c r="Q1728" t="s">
        <v>14</v>
      </c>
      <c r="R1728" t="s">
        <v>14</v>
      </c>
      <c r="S1728" t="s">
        <v>2972</v>
      </c>
      <c r="T1728" t="s">
        <v>2973</v>
      </c>
      <c r="U1728" t="s">
        <v>2390</v>
      </c>
      <c r="V1728" t="s">
        <v>14</v>
      </c>
      <c r="W1728" t="b">
        <v>1</v>
      </c>
      <c r="X1728" t="s">
        <v>5109</v>
      </c>
      <c r="Y1728" t="b">
        <v>0</v>
      </c>
      <c r="Z1728" t="s">
        <v>2032</v>
      </c>
    </row>
    <row r="1729" spans="1:26" x14ac:dyDescent="0.35">
      <c r="A1729" t="s">
        <v>1386</v>
      </c>
      <c r="B1729" t="s">
        <v>1387</v>
      </c>
      <c r="C1729" t="s">
        <v>2967</v>
      </c>
      <c r="D1729" t="s">
        <v>1963</v>
      </c>
      <c r="E1729" t="s">
        <v>2020</v>
      </c>
      <c r="F1729" t="s">
        <v>2140</v>
      </c>
      <c r="G1729" t="s">
        <v>2141</v>
      </c>
      <c r="H1729" t="s">
        <v>2023</v>
      </c>
      <c r="I1729" t="s">
        <v>40</v>
      </c>
      <c r="J1729" t="s">
        <v>1963</v>
      </c>
      <c r="K1729" t="s">
        <v>5108</v>
      </c>
      <c r="L1729" t="s">
        <v>2046</v>
      </c>
      <c r="M1729" t="s">
        <v>2214</v>
      </c>
      <c r="N1729" t="s">
        <v>2215</v>
      </c>
      <c r="O1729" t="s">
        <v>2214</v>
      </c>
      <c r="P1729" t="s">
        <v>2215</v>
      </c>
      <c r="Q1729" t="s">
        <v>14</v>
      </c>
      <c r="R1729" t="s">
        <v>14</v>
      </c>
      <c r="S1729" t="s">
        <v>14</v>
      </c>
      <c r="T1729" t="s">
        <v>14</v>
      </c>
      <c r="U1729" t="s">
        <v>2052</v>
      </c>
      <c r="V1729" t="s">
        <v>14</v>
      </c>
      <c r="W1729" t="b">
        <v>1</v>
      </c>
      <c r="X1729" t="s">
        <v>5109</v>
      </c>
      <c r="Y1729" t="b">
        <v>0</v>
      </c>
      <c r="Z1729" t="s">
        <v>2053</v>
      </c>
    </row>
    <row r="1730" spans="1:26" x14ac:dyDescent="0.35">
      <c r="A1730" t="s">
        <v>1388</v>
      </c>
      <c r="B1730" t="s">
        <v>1389</v>
      </c>
      <c r="C1730" t="s">
        <v>2967</v>
      </c>
      <c r="D1730" t="s">
        <v>1963</v>
      </c>
      <c r="E1730" t="s">
        <v>2020</v>
      </c>
      <c r="F1730" t="s">
        <v>2140</v>
      </c>
      <c r="G1730" t="s">
        <v>2141</v>
      </c>
      <c r="H1730" t="s">
        <v>2023</v>
      </c>
      <c r="I1730" t="s">
        <v>2975</v>
      </c>
      <c r="J1730" t="s">
        <v>1963</v>
      </c>
      <c r="K1730" t="s">
        <v>5110</v>
      </c>
      <c r="L1730" t="s">
        <v>2046</v>
      </c>
      <c r="M1730" t="s">
        <v>2970</v>
      </c>
      <c r="N1730" t="s">
        <v>2971</v>
      </c>
      <c r="O1730" t="s">
        <v>2401</v>
      </c>
      <c r="P1730" t="s">
        <v>2402</v>
      </c>
      <c r="Q1730" t="s">
        <v>14</v>
      </c>
      <c r="R1730" t="s">
        <v>14</v>
      </c>
      <c r="S1730" t="s">
        <v>2972</v>
      </c>
      <c r="T1730" t="s">
        <v>2973</v>
      </c>
      <c r="U1730" t="s">
        <v>2390</v>
      </c>
      <c r="V1730" t="s">
        <v>14</v>
      </c>
      <c r="W1730" t="b">
        <v>1</v>
      </c>
      <c r="X1730" t="s">
        <v>5111</v>
      </c>
      <c r="Y1730" t="b">
        <v>0</v>
      </c>
      <c r="Z1730" t="s">
        <v>2032</v>
      </c>
    </row>
    <row r="1731" spans="1:26" x14ac:dyDescent="0.35">
      <c r="A1731" t="s">
        <v>1388</v>
      </c>
      <c r="B1731" t="s">
        <v>1389</v>
      </c>
      <c r="C1731" t="s">
        <v>2967</v>
      </c>
      <c r="D1731" t="s">
        <v>1963</v>
      </c>
      <c r="E1731" t="s">
        <v>2020</v>
      </c>
      <c r="F1731" t="s">
        <v>2140</v>
      </c>
      <c r="G1731" t="s">
        <v>2141</v>
      </c>
      <c r="H1731" t="s">
        <v>2023</v>
      </c>
      <c r="I1731" t="s">
        <v>2968</v>
      </c>
      <c r="J1731" t="s">
        <v>1963</v>
      </c>
      <c r="K1731" t="s">
        <v>5110</v>
      </c>
      <c r="L1731" t="s">
        <v>2046</v>
      </c>
      <c r="M1731" t="s">
        <v>2970</v>
      </c>
      <c r="N1731" t="s">
        <v>2971</v>
      </c>
      <c r="O1731" t="s">
        <v>2401</v>
      </c>
      <c r="P1731" t="s">
        <v>2402</v>
      </c>
      <c r="Q1731" t="s">
        <v>14</v>
      </c>
      <c r="R1731" t="s">
        <v>14</v>
      </c>
      <c r="S1731" t="s">
        <v>2972</v>
      </c>
      <c r="T1731" t="s">
        <v>2973</v>
      </c>
      <c r="U1731" t="s">
        <v>2390</v>
      </c>
      <c r="V1731" t="s">
        <v>14</v>
      </c>
      <c r="W1731" t="b">
        <v>1</v>
      </c>
      <c r="X1731" t="s">
        <v>5111</v>
      </c>
      <c r="Y1731" t="b">
        <v>0</v>
      </c>
      <c r="Z1731" t="s">
        <v>2032</v>
      </c>
    </row>
    <row r="1732" spans="1:26" x14ac:dyDescent="0.35">
      <c r="A1732" t="s">
        <v>1388</v>
      </c>
      <c r="B1732" t="s">
        <v>1389</v>
      </c>
      <c r="C1732" t="s">
        <v>2967</v>
      </c>
      <c r="D1732" t="s">
        <v>1963</v>
      </c>
      <c r="E1732" t="s">
        <v>2020</v>
      </c>
      <c r="F1732" t="s">
        <v>2140</v>
      </c>
      <c r="G1732" t="s">
        <v>2141</v>
      </c>
      <c r="H1732" t="s">
        <v>2023</v>
      </c>
      <c r="I1732" t="s">
        <v>40</v>
      </c>
      <c r="J1732" t="s">
        <v>1963</v>
      </c>
      <c r="K1732" t="s">
        <v>5110</v>
      </c>
      <c r="L1732" t="s">
        <v>2046</v>
      </c>
      <c r="M1732" t="s">
        <v>2214</v>
      </c>
      <c r="N1732" t="s">
        <v>2215</v>
      </c>
      <c r="O1732" t="s">
        <v>2214</v>
      </c>
      <c r="P1732" t="s">
        <v>2215</v>
      </c>
      <c r="Q1732" t="s">
        <v>14</v>
      </c>
      <c r="R1732" t="s">
        <v>14</v>
      </c>
      <c r="S1732" t="s">
        <v>14</v>
      </c>
      <c r="T1732" t="s">
        <v>14</v>
      </c>
      <c r="U1732" t="s">
        <v>2052</v>
      </c>
      <c r="V1732" t="s">
        <v>14</v>
      </c>
      <c r="W1732" t="b">
        <v>1</v>
      </c>
      <c r="X1732" t="s">
        <v>5111</v>
      </c>
      <c r="Y1732" t="b">
        <v>0</v>
      </c>
      <c r="Z1732" t="s">
        <v>2053</v>
      </c>
    </row>
    <row r="1733" spans="1:26" x14ac:dyDescent="0.35">
      <c r="A1733" t="s">
        <v>1390</v>
      </c>
      <c r="B1733" t="s">
        <v>1391</v>
      </c>
      <c r="C1733" t="s">
        <v>2967</v>
      </c>
      <c r="D1733" t="s">
        <v>1963</v>
      </c>
      <c r="E1733" t="s">
        <v>2020</v>
      </c>
      <c r="F1733" t="s">
        <v>2140</v>
      </c>
      <c r="G1733" t="s">
        <v>2141</v>
      </c>
      <c r="H1733" t="s">
        <v>2023</v>
      </c>
      <c r="I1733" t="s">
        <v>40</v>
      </c>
      <c r="J1733" t="s">
        <v>1963</v>
      </c>
      <c r="K1733" t="s">
        <v>5112</v>
      </c>
      <c r="L1733" t="s">
        <v>2046</v>
      </c>
      <c r="M1733" t="s">
        <v>2214</v>
      </c>
      <c r="N1733" t="s">
        <v>2215</v>
      </c>
      <c r="O1733" t="s">
        <v>2214</v>
      </c>
      <c r="P1733" t="s">
        <v>2215</v>
      </c>
      <c r="Q1733" t="s">
        <v>14</v>
      </c>
      <c r="R1733" t="s">
        <v>14</v>
      </c>
      <c r="S1733" t="s">
        <v>14</v>
      </c>
      <c r="T1733" t="s">
        <v>14</v>
      </c>
      <c r="U1733" t="s">
        <v>2052</v>
      </c>
      <c r="V1733" t="s">
        <v>14</v>
      </c>
      <c r="W1733" t="b">
        <v>1</v>
      </c>
      <c r="X1733" t="s">
        <v>5113</v>
      </c>
      <c r="Y1733" t="b">
        <v>0</v>
      </c>
      <c r="Z1733" t="s">
        <v>2053</v>
      </c>
    </row>
    <row r="1734" spans="1:26" x14ac:dyDescent="0.35">
      <c r="A1734" t="s">
        <v>1390</v>
      </c>
      <c r="B1734" t="s">
        <v>1391</v>
      </c>
      <c r="C1734" t="s">
        <v>2967</v>
      </c>
      <c r="D1734" t="s">
        <v>1963</v>
      </c>
      <c r="E1734" t="s">
        <v>2020</v>
      </c>
      <c r="F1734" t="s">
        <v>2140</v>
      </c>
      <c r="G1734" t="s">
        <v>2141</v>
      </c>
      <c r="H1734" t="s">
        <v>2023</v>
      </c>
      <c r="I1734" t="s">
        <v>2975</v>
      </c>
      <c r="J1734" t="s">
        <v>1963</v>
      </c>
      <c r="K1734" t="s">
        <v>5112</v>
      </c>
      <c r="L1734" t="s">
        <v>2046</v>
      </c>
      <c r="M1734" t="s">
        <v>2970</v>
      </c>
      <c r="N1734" t="s">
        <v>2971</v>
      </c>
      <c r="O1734" t="s">
        <v>2401</v>
      </c>
      <c r="P1734" t="s">
        <v>2402</v>
      </c>
      <c r="Q1734" t="s">
        <v>14</v>
      </c>
      <c r="R1734" t="s">
        <v>14</v>
      </c>
      <c r="S1734" t="s">
        <v>2972</v>
      </c>
      <c r="T1734" t="s">
        <v>2973</v>
      </c>
      <c r="U1734" t="s">
        <v>2390</v>
      </c>
      <c r="V1734" t="s">
        <v>14</v>
      </c>
      <c r="W1734" t="b">
        <v>1</v>
      </c>
      <c r="X1734" t="s">
        <v>5113</v>
      </c>
      <c r="Y1734" t="b">
        <v>0</v>
      </c>
      <c r="Z1734" t="s">
        <v>2032</v>
      </c>
    </row>
    <row r="1735" spans="1:26" x14ac:dyDescent="0.35">
      <c r="A1735" t="s">
        <v>1390</v>
      </c>
      <c r="B1735" t="s">
        <v>1391</v>
      </c>
      <c r="C1735" t="s">
        <v>2967</v>
      </c>
      <c r="D1735" t="s">
        <v>1963</v>
      </c>
      <c r="E1735" t="s">
        <v>2020</v>
      </c>
      <c r="F1735" t="s">
        <v>2140</v>
      </c>
      <c r="G1735" t="s">
        <v>2141</v>
      </c>
      <c r="H1735" t="s">
        <v>2023</v>
      </c>
      <c r="I1735" t="s">
        <v>2968</v>
      </c>
      <c r="J1735" t="s">
        <v>1963</v>
      </c>
      <c r="K1735" t="s">
        <v>5112</v>
      </c>
      <c r="L1735" t="s">
        <v>2046</v>
      </c>
      <c r="M1735" t="s">
        <v>2970</v>
      </c>
      <c r="N1735" t="s">
        <v>2971</v>
      </c>
      <c r="O1735" t="s">
        <v>2401</v>
      </c>
      <c r="P1735" t="s">
        <v>2402</v>
      </c>
      <c r="Q1735" t="s">
        <v>14</v>
      </c>
      <c r="R1735" t="s">
        <v>14</v>
      </c>
      <c r="S1735" t="s">
        <v>2972</v>
      </c>
      <c r="T1735" t="s">
        <v>2973</v>
      </c>
      <c r="U1735" t="s">
        <v>2390</v>
      </c>
      <c r="V1735" t="s">
        <v>14</v>
      </c>
      <c r="W1735" t="b">
        <v>1</v>
      </c>
      <c r="X1735" t="s">
        <v>5113</v>
      </c>
      <c r="Y1735" t="b">
        <v>0</v>
      </c>
      <c r="Z1735" t="s">
        <v>2032</v>
      </c>
    </row>
    <row r="1736" spans="1:26" x14ac:dyDescent="0.35">
      <c r="A1736" t="s">
        <v>1392</v>
      </c>
      <c r="B1736" t="s">
        <v>1393</v>
      </c>
      <c r="C1736" t="s">
        <v>2967</v>
      </c>
      <c r="D1736" t="s">
        <v>1963</v>
      </c>
      <c r="E1736" t="s">
        <v>2020</v>
      </c>
      <c r="F1736" t="s">
        <v>2140</v>
      </c>
      <c r="G1736" t="s">
        <v>2141</v>
      </c>
      <c r="H1736" t="s">
        <v>2023</v>
      </c>
      <c r="I1736" t="s">
        <v>2975</v>
      </c>
      <c r="J1736" t="s">
        <v>1963</v>
      </c>
      <c r="K1736" t="s">
        <v>5114</v>
      </c>
      <c r="L1736" t="s">
        <v>2046</v>
      </c>
      <c r="M1736" t="s">
        <v>2970</v>
      </c>
      <c r="N1736" t="s">
        <v>2971</v>
      </c>
      <c r="O1736" t="s">
        <v>2401</v>
      </c>
      <c r="P1736" t="s">
        <v>2402</v>
      </c>
      <c r="Q1736" t="s">
        <v>14</v>
      </c>
      <c r="R1736" t="s">
        <v>14</v>
      </c>
      <c r="S1736" t="s">
        <v>2972</v>
      </c>
      <c r="T1736" t="s">
        <v>2973</v>
      </c>
      <c r="U1736" t="s">
        <v>2390</v>
      </c>
      <c r="V1736" t="s">
        <v>14</v>
      </c>
      <c r="W1736" t="b">
        <v>1</v>
      </c>
      <c r="X1736" t="s">
        <v>5115</v>
      </c>
      <c r="Y1736" t="b">
        <v>0</v>
      </c>
      <c r="Z1736" t="s">
        <v>2032</v>
      </c>
    </row>
    <row r="1737" spans="1:26" x14ac:dyDescent="0.35">
      <c r="A1737" t="s">
        <v>1392</v>
      </c>
      <c r="B1737" t="s">
        <v>1393</v>
      </c>
      <c r="C1737" t="s">
        <v>2967</v>
      </c>
      <c r="D1737" t="s">
        <v>1963</v>
      </c>
      <c r="E1737" t="s">
        <v>2020</v>
      </c>
      <c r="F1737" t="s">
        <v>2140</v>
      </c>
      <c r="G1737" t="s">
        <v>2141</v>
      </c>
      <c r="H1737" t="s">
        <v>2023</v>
      </c>
      <c r="I1737" t="s">
        <v>2968</v>
      </c>
      <c r="J1737" t="s">
        <v>1963</v>
      </c>
      <c r="K1737" t="s">
        <v>5114</v>
      </c>
      <c r="L1737" t="s">
        <v>2046</v>
      </c>
      <c r="M1737" t="s">
        <v>2970</v>
      </c>
      <c r="N1737" t="s">
        <v>2971</v>
      </c>
      <c r="O1737" t="s">
        <v>2401</v>
      </c>
      <c r="P1737" t="s">
        <v>2402</v>
      </c>
      <c r="Q1737" t="s">
        <v>14</v>
      </c>
      <c r="R1737" t="s">
        <v>14</v>
      </c>
      <c r="S1737" t="s">
        <v>2972</v>
      </c>
      <c r="T1737" t="s">
        <v>2973</v>
      </c>
      <c r="U1737" t="s">
        <v>2390</v>
      </c>
      <c r="V1737" t="s">
        <v>14</v>
      </c>
      <c r="W1737" t="b">
        <v>1</v>
      </c>
      <c r="X1737" t="s">
        <v>5115</v>
      </c>
      <c r="Y1737" t="b">
        <v>0</v>
      </c>
      <c r="Z1737" t="s">
        <v>2032</v>
      </c>
    </row>
    <row r="1738" spans="1:26" x14ac:dyDescent="0.35">
      <c r="A1738" t="s">
        <v>1392</v>
      </c>
      <c r="B1738" t="s">
        <v>1393</v>
      </c>
      <c r="C1738" t="s">
        <v>2967</v>
      </c>
      <c r="D1738" t="s">
        <v>1963</v>
      </c>
      <c r="E1738" t="s">
        <v>2020</v>
      </c>
      <c r="F1738" t="s">
        <v>2140</v>
      </c>
      <c r="G1738" t="s">
        <v>2141</v>
      </c>
      <c r="H1738" t="s">
        <v>2023</v>
      </c>
      <c r="I1738" t="s">
        <v>40</v>
      </c>
      <c r="J1738" t="s">
        <v>1963</v>
      </c>
      <c r="K1738" t="s">
        <v>5114</v>
      </c>
      <c r="L1738" t="s">
        <v>2046</v>
      </c>
      <c r="M1738" t="s">
        <v>2214</v>
      </c>
      <c r="N1738" t="s">
        <v>2215</v>
      </c>
      <c r="O1738" t="s">
        <v>2214</v>
      </c>
      <c r="P1738" t="s">
        <v>2215</v>
      </c>
      <c r="Q1738" t="s">
        <v>14</v>
      </c>
      <c r="R1738" t="s">
        <v>14</v>
      </c>
      <c r="S1738" t="s">
        <v>14</v>
      </c>
      <c r="T1738" t="s">
        <v>14</v>
      </c>
      <c r="U1738" t="s">
        <v>2052</v>
      </c>
      <c r="V1738" t="s">
        <v>14</v>
      </c>
      <c r="W1738" t="b">
        <v>1</v>
      </c>
      <c r="X1738" t="s">
        <v>5115</v>
      </c>
      <c r="Y1738" t="b">
        <v>0</v>
      </c>
      <c r="Z1738" t="s">
        <v>2053</v>
      </c>
    </row>
    <row r="1739" spans="1:26" x14ac:dyDescent="0.35">
      <c r="A1739" t="s">
        <v>1394</v>
      </c>
      <c r="B1739" t="s">
        <v>1395</v>
      </c>
      <c r="C1739" t="s">
        <v>2967</v>
      </c>
      <c r="D1739" t="s">
        <v>1963</v>
      </c>
      <c r="E1739" t="s">
        <v>2020</v>
      </c>
      <c r="F1739" t="s">
        <v>2140</v>
      </c>
      <c r="G1739" t="s">
        <v>2141</v>
      </c>
      <c r="H1739" t="s">
        <v>2023</v>
      </c>
      <c r="I1739" t="s">
        <v>2975</v>
      </c>
      <c r="J1739" t="s">
        <v>1963</v>
      </c>
      <c r="K1739" t="s">
        <v>5116</v>
      </c>
      <c r="L1739" t="s">
        <v>2046</v>
      </c>
      <c r="M1739" t="s">
        <v>2970</v>
      </c>
      <c r="N1739" t="s">
        <v>2971</v>
      </c>
      <c r="O1739" t="s">
        <v>2401</v>
      </c>
      <c r="P1739" t="s">
        <v>2402</v>
      </c>
      <c r="Q1739" t="s">
        <v>14</v>
      </c>
      <c r="R1739" t="s">
        <v>14</v>
      </c>
      <c r="S1739" t="s">
        <v>2972</v>
      </c>
      <c r="T1739" t="s">
        <v>2973</v>
      </c>
      <c r="U1739" t="s">
        <v>2390</v>
      </c>
      <c r="V1739" t="s">
        <v>14</v>
      </c>
      <c r="W1739" t="b">
        <v>1</v>
      </c>
      <c r="X1739" t="s">
        <v>5117</v>
      </c>
      <c r="Y1739" t="b">
        <v>0</v>
      </c>
      <c r="Z1739" t="s">
        <v>2032</v>
      </c>
    </row>
    <row r="1740" spans="1:26" x14ac:dyDescent="0.35">
      <c r="A1740" t="s">
        <v>1394</v>
      </c>
      <c r="B1740" t="s">
        <v>1395</v>
      </c>
      <c r="C1740" t="s">
        <v>2967</v>
      </c>
      <c r="D1740" t="s">
        <v>1963</v>
      </c>
      <c r="E1740" t="s">
        <v>2020</v>
      </c>
      <c r="F1740" t="s">
        <v>2140</v>
      </c>
      <c r="G1740" t="s">
        <v>2141</v>
      </c>
      <c r="H1740" t="s">
        <v>2023</v>
      </c>
      <c r="I1740" t="s">
        <v>2968</v>
      </c>
      <c r="J1740" t="s">
        <v>1963</v>
      </c>
      <c r="K1740" t="s">
        <v>5116</v>
      </c>
      <c r="L1740" t="s">
        <v>2046</v>
      </c>
      <c r="M1740" t="s">
        <v>2970</v>
      </c>
      <c r="N1740" t="s">
        <v>2971</v>
      </c>
      <c r="O1740" t="s">
        <v>2401</v>
      </c>
      <c r="P1740" t="s">
        <v>2402</v>
      </c>
      <c r="Q1740" t="s">
        <v>14</v>
      </c>
      <c r="R1740" t="s">
        <v>14</v>
      </c>
      <c r="S1740" t="s">
        <v>2972</v>
      </c>
      <c r="T1740" t="s">
        <v>2973</v>
      </c>
      <c r="U1740" t="s">
        <v>2390</v>
      </c>
      <c r="V1740" t="s">
        <v>14</v>
      </c>
      <c r="W1740" t="b">
        <v>1</v>
      </c>
      <c r="X1740" t="s">
        <v>5117</v>
      </c>
      <c r="Y1740" t="b">
        <v>0</v>
      </c>
      <c r="Z1740" t="s">
        <v>2032</v>
      </c>
    </row>
    <row r="1741" spans="1:26" x14ac:dyDescent="0.35">
      <c r="A1741" t="s">
        <v>1394</v>
      </c>
      <c r="B1741" t="s">
        <v>1395</v>
      </c>
      <c r="C1741" t="s">
        <v>2967</v>
      </c>
      <c r="D1741" t="s">
        <v>1963</v>
      </c>
      <c r="E1741" t="s">
        <v>2020</v>
      </c>
      <c r="F1741" t="s">
        <v>2140</v>
      </c>
      <c r="G1741" t="s">
        <v>2141</v>
      </c>
      <c r="H1741" t="s">
        <v>2023</v>
      </c>
      <c r="I1741" t="s">
        <v>40</v>
      </c>
      <c r="J1741" t="s">
        <v>1963</v>
      </c>
      <c r="K1741" t="s">
        <v>5116</v>
      </c>
      <c r="L1741" t="s">
        <v>2046</v>
      </c>
      <c r="M1741" t="s">
        <v>2214</v>
      </c>
      <c r="N1741" t="s">
        <v>2215</v>
      </c>
      <c r="O1741" t="s">
        <v>2214</v>
      </c>
      <c r="P1741" t="s">
        <v>2215</v>
      </c>
      <c r="Q1741" t="s">
        <v>14</v>
      </c>
      <c r="R1741" t="s">
        <v>14</v>
      </c>
      <c r="S1741" t="s">
        <v>14</v>
      </c>
      <c r="T1741" t="s">
        <v>14</v>
      </c>
      <c r="U1741" t="s">
        <v>2052</v>
      </c>
      <c r="V1741" t="s">
        <v>14</v>
      </c>
      <c r="W1741" t="b">
        <v>1</v>
      </c>
      <c r="X1741" t="s">
        <v>5117</v>
      </c>
      <c r="Y1741" t="b">
        <v>0</v>
      </c>
      <c r="Z1741" t="s">
        <v>2053</v>
      </c>
    </row>
    <row r="1742" spans="1:26" x14ac:dyDescent="0.35">
      <c r="A1742" t="s">
        <v>1396</v>
      </c>
      <c r="B1742" t="s">
        <v>1397</v>
      </c>
      <c r="C1742" t="s">
        <v>2967</v>
      </c>
      <c r="D1742" t="s">
        <v>1963</v>
      </c>
      <c r="E1742" t="s">
        <v>2020</v>
      </c>
      <c r="F1742" t="s">
        <v>2140</v>
      </c>
      <c r="G1742" t="s">
        <v>2141</v>
      </c>
      <c r="H1742" t="s">
        <v>2023</v>
      </c>
      <c r="I1742" t="s">
        <v>2968</v>
      </c>
      <c r="J1742" t="s">
        <v>1963</v>
      </c>
      <c r="K1742" t="s">
        <v>5118</v>
      </c>
      <c r="L1742" t="s">
        <v>2046</v>
      </c>
      <c r="M1742" t="s">
        <v>2970</v>
      </c>
      <c r="N1742" t="s">
        <v>2971</v>
      </c>
      <c r="O1742" t="s">
        <v>2401</v>
      </c>
      <c r="P1742" t="s">
        <v>2402</v>
      </c>
      <c r="Q1742" t="s">
        <v>14</v>
      </c>
      <c r="R1742" t="s">
        <v>14</v>
      </c>
      <c r="S1742" t="s">
        <v>2972</v>
      </c>
      <c r="T1742" t="s">
        <v>2973</v>
      </c>
      <c r="U1742" t="s">
        <v>2390</v>
      </c>
      <c r="V1742" t="s">
        <v>14</v>
      </c>
      <c r="W1742" t="b">
        <v>1</v>
      </c>
      <c r="X1742" t="s">
        <v>5119</v>
      </c>
      <c r="Y1742" t="b">
        <v>0</v>
      </c>
      <c r="Z1742" t="s">
        <v>2032</v>
      </c>
    </row>
    <row r="1743" spans="1:26" x14ac:dyDescent="0.35">
      <c r="A1743" t="s">
        <v>1396</v>
      </c>
      <c r="B1743" t="s">
        <v>1397</v>
      </c>
      <c r="C1743" t="s">
        <v>2967</v>
      </c>
      <c r="D1743" t="s">
        <v>1963</v>
      </c>
      <c r="E1743" t="s">
        <v>2020</v>
      </c>
      <c r="F1743" t="s">
        <v>2140</v>
      </c>
      <c r="G1743" t="s">
        <v>2141</v>
      </c>
      <c r="H1743" t="s">
        <v>2023</v>
      </c>
      <c r="I1743" t="s">
        <v>40</v>
      </c>
      <c r="J1743" t="s">
        <v>1963</v>
      </c>
      <c r="K1743" t="s">
        <v>5118</v>
      </c>
      <c r="L1743" t="s">
        <v>2046</v>
      </c>
      <c r="M1743" t="s">
        <v>2214</v>
      </c>
      <c r="N1743" t="s">
        <v>2215</v>
      </c>
      <c r="O1743" t="s">
        <v>2214</v>
      </c>
      <c r="P1743" t="s">
        <v>2215</v>
      </c>
      <c r="Q1743" t="s">
        <v>14</v>
      </c>
      <c r="R1743" t="s">
        <v>14</v>
      </c>
      <c r="S1743" t="s">
        <v>14</v>
      </c>
      <c r="T1743" t="s">
        <v>14</v>
      </c>
      <c r="U1743" t="s">
        <v>2052</v>
      </c>
      <c r="V1743" t="s">
        <v>14</v>
      </c>
      <c r="W1743" t="b">
        <v>1</v>
      </c>
      <c r="X1743" t="s">
        <v>5119</v>
      </c>
      <c r="Y1743" t="b">
        <v>0</v>
      </c>
      <c r="Z1743" t="s">
        <v>2053</v>
      </c>
    </row>
    <row r="1744" spans="1:26" x14ac:dyDescent="0.35">
      <c r="A1744" t="s">
        <v>1396</v>
      </c>
      <c r="B1744" t="s">
        <v>1397</v>
      </c>
      <c r="C1744" t="s">
        <v>2967</v>
      </c>
      <c r="D1744" t="s">
        <v>1963</v>
      </c>
      <c r="E1744" t="s">
        <v>2020</v>
      </c>
      <c r="F1744" t="s">
        <v>2140</v>
      </c>
      <c r="G1744" t="s">
        <v>2141</v>
      </c>
      <c r="H1744" t="s">
        <v>2023</v>
      </c>
      <c r="I1744" t="s">
        <v>2975</v>
      </c>
      <c r="J1744" t="s">
        <v>1963</v>
      </c>
      <c r="K1744" t="s">
        <v>5118</v>
      </c>
      <c r="L1744" t="s">
        <v>2046</v>
      </c>
      <c r="M1744" t="s">
        <v>2970</v>
      </c>
      <c r="N1744" t="s">
        <v>2971</v>
      </c>
      <c r="O1744" t="s">
        <v>2401</v>
      </c>
      <c r="P1744" t="s">
        <v>2402</v>
      </c>
      <c r="Q1744" t="s">
        <v>14</v>
      </c>
      <c r="R1744" t="s">
        <v>14</v>
      </c>
      <c r="S1744" t="s">
        <v>2972</v>
      </c>
      <c r="T1744" t="s">
        <v>2973</v>
      </c>
      <c r="U1744" t="s">
        <v>2390</v>
      </c>
      <c r="V1744" t="s">
        <v>14</v>
      </c>
      <c r="W1744" t="b">
        <v>1</v>
      </c>
      <c r="X1744" t="s">
        <v>5119</v>
      </c>
      <c r="Y1744" t="b">
        <v>0</v>
      </c>
      <c r="Z1744" t="s">
        <v>2032</v>
      </c>
    </row>
    <row r="1745" spans="1:26" x14ac:dyDescent="0.35">
      <c r="A1745" t="s">
        <v>1398</v>
      </c>
      <c r="B1745" t="s">
        <v>1399</v>
      </c>
      <c r="C1745" t="s">
        <v>2967</v>
      </c>
      <c r="D1745" t="s">
        <v>1963</v>
      </c>
      <c r="E1745" t="s">
        <v>2020</v>
      </c>
      <c r="F1745" t="s">
        <v>2140</v>
      </c>
      <c r="G1745" t="s">
        <v>2141</v>
      </c>
      <c r="H1745" t="s">
        <v>2023</v>
      </c>
      <c r="I1745" t="s">
        <v>2975</v>
      </c>
      <c r="J1745" t="s">
        <v>1963</v>
      </c>
      <c r="K1745" t="s">
        <v>5120</v>
      </c>
      <c r="L1745" t="s">
        <v>2046</v>
      </c>
      <c r="M1745" t="s">
        <v>2970</v>
      </c>
      <c r="N1745" t="s">
        <v>2971</v>
      </c>
      <c r="O1745" t="s">
        <v>2401</v>
      </c>
      <c r="P1745" t="s">
        <v>2402</v>
      </c>
      <c r="Q1745" t="s">
        <v>14</v>
      </c>
      <c r="R1745" t="s">
        <v>14</v>
      </c>
      <c r="S1745" t="s">
        <v>2972</v>
      </c>
      <c r="T1745" t="s">
        <v>2973</v>
      </c>
      <c r="U1745" t="s">
        <v>2390</v>
      </c>
      <c r="V1745" t="s">
        <v>14</v>
      </c>
      <c r="W1745" t="b">
        <v>1</v>
      </c>
      <c r="X1745" t="s">
        <v>5121</v>
      </c>
      <c r="Y1745" t="b">
        <v>0</v>
      </c>
      <c r="Z1745" t="s">
        <v>2032</v>
      </c>
    </row>
    <row r="1746" spans="1:26" x14ac:dyDescent="0.35">
      <c r="A1746" t="s">
        <v>1398</v>
      </c>
      <c r="B1746" t="s">
        <v>1399</v>
      </c>
      <c r="C1746" t="s">
        <v>2967</v>
      </c>
      <c r="D1746" t="s">
        <v>1963</v>
      </c>
      <c r="E1746" t="s">
        <v>2020</v>
      </c>
      <c r="F1746" t="s">
        <v>2140</v>
      </c>
      <c r="G1746" t="s">
        <v>2141</v>
      </c>
      <c r="H1746" t="s">
        <v>2023</v>
      </c>
      <c r="I1746" t="s">
        <v>2968</v>
      </c>
      <c r="J1746" t="s">
        <v>1963</v>
      </c>
      <c r="K1746" t="s">
        <v>5120</v>
      </c>
      <c r="L1746" t="s">
        <v>2046</v>
      </c>
      <c r="M1746" t="s">
        <v>2970</v>
      </c>
      <c r="N1746" t="s">
        <v>2971</v>
      </c>
      <c r="O1746" t="s">
        <v>2401</v>
      </c>
      <c r="P1746" t="s">
        <v>2402</v>
      </c>
      <c r="Q1746" t="s">
        <v>14</v>
      </c>
      <c r="R1746" t="s">
        <v>14</v>
      </c>
      <c r="S1746" t="s">
        <v>2972</v>
      </c>
      <c r="T1746" t="s">
        <v>2973</v>
      </c>
      <c r="U1746" t="s">
        <v>2390</v>
      </c>
      <c r="V1746" t="s">
        <v>14</v>
      </c>
      <c r="W1746" t="b">
        <v>1</v>
      </c>
      <c r="X1746" t="s">
        <v>5121</v>
      </c>
      <c r="Y1746" t="b">
        <v>0</v>
      </c>
      <c r="Z1746" t="s">
        <v>2032</v>
      </c>
    </row>
    <row r="1747" spans="1:26" x14ac:dyDescent="0.35">
      <c r="A1747" t="s">
        <v>1398</v>
      </c>
      <c r="B1747" t="s">
        <v>1399</v>
      </c>
      <c r="C1747" t="s">
        <v>2967</v>
      </c>
      <c r="D1747" t="s">
        <v>1963</v>
      </c>
      <c r="E1747" t="s">
        <v>2020</v>
      </c>
      <c r="F1747" t="s">
        <v>2140</v>
      </c>
      <c r="G1747" t="s">
        <v>2141</v>
      </c>
      <c r="H1747" t="s">
        <v>2023</v>
      </c>
      <c r="I1747" t="s">
        <v>40</v>
      </c>
      <c r="J1747" t="s">
        <v>1963</v>
      </c>
      <c r="K1747" t="s">
        <v>5120</v>
      </c>
      <c r="L1747" t="s">
        <v>2046</v>
      </c>
      <c r="M1747" t="s">
        <v>2214</v>
      </c>
      <c r="N1747" t="s">
        <v>2215</v>
      </c>
      <c r="O1747" t="s">
        <v>2214</v>
      </c>
      <c r="P1747" t="s">
        <v>2215</v>
      </c>
      <c r="Q1747" t="s">
        <v>14</v>
      </c>
      <c r="R1747" t="s">
        <v>14</v>
      </c>
      <c r="S1747" t="s">
        <v>14</v>
      </c>
      <c r="T1747" t="s">
        <v>14</v>
      </c>
      <c r="U1747" t="s">
        <v>2052</v>
      </c>
      <c r="V1747" t="s">
        <v>14</v>
      </c>
      <c r="W1747" t="b">
        <v>1</v>
      </c>
      <c r="X1747" t="s">
        <v>5121</v>
      </c>
      <c r="Y1747" t="b">
        <v>0</v>
      </c>
      <c r="Z1747" t="s">
        <v>2053</v>
      </c>
    </row>
    <row r="1748" spans="1:26" x14ac:dyDescent="0.35">
      <c r="A1748" t="s">
        <v>1400</v>
      </c>
      <c r="B1748" t="s">
        <v>1401</v>
      </c>
      <c r="C1748" t="s">
        <v>2967</v>
      </c>
      <c r="D1748" t="s">
        <v>1963</v>
      </c>
      <c r="E1748" t="s">
        <v>2020</v>
      </c>
      <c r="F1748" t="s">
        <v>2055</v>
      </c>
      <c r="G1748" t="s">
        <v>2056</v>
      </c>
      <c r="H1748" t="s">
        <v>2023</v>
      </c>
      <c r="I1748" t="s">
        <v>2988</v>
      </c>
      <c r="J1748" t="s">
        <v>1963</v>
      </c>
      <c r="K1748" t="s">
        <v>5122</v>
      </c>
      <c r="L1748" t="s">
        <v>2046</v>
      </c>
      <c r="M1748" t="s">
        <v>2026</v>
      </c>
      <c r="N1748" t="s">
        <v>2027</v>
      </c>
      <c r="O1748" t="s">
        <v>2028</v>
      </c>
      <c r="P1748" t="s">
        <v>2029</v>
      </c>
      <c r="Q1748" t="s">
        <v>2990</v>
      </c>
      <c r="R1748" t="s">
        <v>14</v>
      </c>
      <c r="S1748" t="s">
        <v>2991</v>
      </c>
      <c r="T1748" t="s">
        <v>2992</v>
      </c>
      <c r="U1748" t="s">
        <v>2030</v>
      </c>
      <c r="V1748" t="s">
        <v>14</v>
      </c>
      <c r="W1748" t="b">
        <v>1</v>
      </c>
      <c r="X1748" t="s">
        <v>5123</v>
      </c>
      <c r="Y1748" t="b">
        <v>0</v>
      </c>
      <c r="Z1748" t="s">
        <v>2081</v>
      </c>
    </row>
    <row r="1749" spans="1:26" x14ac:dyDescent="0.35">
      <c r="A1749" t="s">
        <v>1402</v>
      </c>
      <c r="B1749" t="s">
        <v>1403</v>
      </c>
      <c r="C1749" t="s">
        <v>2967</v>
      </c>
      <c r="D1749" t="s">
        <v>1963</v>
      </c>
      <c r="E1749" t="s">
        <v>2020</v>
      </c>
      <c r="F1749" t="s">
        <v>2055</v>
      </c>
      <c r="G1749" t="s">
        <v>2056</v>
      </c>
      <c r="H1749" t="s">
        <v>2023</v>
      </c>
      <c r="I1749" t="s">
        <v>3008</v>
      </c>
      <c r="J1749" t="s">
        <v>1963</v>
      </c>
      <c r="K1749" t="s">
        <v>5124</v>
      </c>
      <c r="L1749" t="s">
        <v>2046</v>
      </c>
      <c r="M1749" t="s">
        <v>3009</v>
      </c>
      <c r="N1749" t="s">
        <v>3010</v>
      </c>
      <c r="O1749" t="s">
        <v>2362</v>
      </c>
      <c r="P1749" t="s">
        <v>2363</v>
      </c>
      <c r="Q1749" t="s">
        <v>3004</v>
      </c>
      <c r="R1749" t="s">
        <v>14</v>
      </c>
      <c r="S1749" t="s">
        <v>3005</v>
      </c>
      <c r="T1749" t="s">
        <v>3006</v>
      </c>
      <c r="U1749" t="s">
        <v>2171</v>
      </c>
      <c r="V1749" t="s">
        <v>14</v>
      </c>
      <c r="W1749" t="b">
        <v>1</v>
      </c>
      <c r="X1749" t="s">
        <v>5125</v>
      </c>
      <c r="Y1749" t="b">
        <v>0</v>
      </c>
      <c r="Z1749" t="s">
        <v>2032</v>
      </c>
    </row>
    <row r="1750" spans="1:26" x14ac:dyDescent="0.35">
      <c r="A1750" t="s">
        <v>1404</v>
      </c>
      <c r="B1750" t="s">
        <v>1405</v>
      </c>
      <c r="C1750" t="s">
        <v>2967</v>
      </c>
      <c r="D1750" t="s">
        <v>1963</v>
      </c>
      <c r="E1750" t="s">
        <v>2020</v>
      </c>
      <c r="F1750" t="s">
        <v>2021</v>
      </c>
      <c r="G1750" t="s">
        <v>2022</v>
      </c>
      <c r="H1750" t="s">
        <v>2023</v>
      </c>
      <c r="I1750" t="s">
        <v>3011</v>
      </c>
      <c r="J1750" t="s">
        <v>1963</v>
      </c>
      <c r="K1750" t="s">
        <v>5126</v>
      </c>
      <c r="L1750" t="s">
        <v>2046</v>
      </c>
      <c r="M1750" t="s">
        <v>3013</v>
      </c>
      <c r="N1750" t="s">
        <v>3014</v>
      </c>
      <c r="O1750" t="s">
        <v>3013</v>
      </c>
      <c r="P1750" t="s">
        <v>3014</v>
      </c>
      <c r="Q1750" t="s">
        <v>14</v>
      </c>
      <c r="R1750" t="s">
        <v>14</v>
      </c>
      <c r="S1750" t="s">
        <v>14</v>
      </c>
      <c r="T1750" t="s">
        <v>14</v>
      </c>
      <c r="U1750" t="s">
        <v>3015</v>
      </c>
      <c r="V1750" t="s">
        <v>14</v>
      </c>
      <c r="W1750" t="b">
        <v>1</v>
      </c>
      <c r="X1750" t="s">
        <v>5127</v>
      </c>
      <c r="Y1750" t="b">
        <v>0</v>
      </c>
      <c r="Z1750" t="s">
        <v>2053</v>
      </c>
    </row>
    <row r="1751" spans="1:26" x14ac:dyDescent="0.35">
      <c r="A1751" t="s">
        <v>1406</v>
      </c>
      <c r="B1751" t="s">
        <v>1407</v>
      </c>
      <c r="C1751" t="s">
        <v>2967</v>
      </c>
      <c r="D1751" t="s">
        <v>1963</v>
      </c>
      <c r="E1751" t="s">
        <v>2020</v>
      </c>
      <c r="F1751" t="s">
        <v>2021</v>
      </c>
      <c r="G1751" t="s">
        <v>2022</v>
      </c>
      <c r="H1751" t="s">
        <v>2023</v>
      </c>
      <c r="I1751" t="s">
        <v>3017</v>
      </c>
      <c r="J1751" t="s">
        <v>1963</v>
      </c>
      <c r="K1751" t="s">
        <v>5128</v>
      </c>
      <c r="L1751" t="s">
        <v>2046</v>
      </c>
      <c r="M1751" t="s">
        <v>3019</v>
      </c>
      <c r="N1751" t="s">
        <v>3020</v>
      </c>
      <c r="O1751" t="s">
        <v>3013</v>
      </c>
      <c r="P1751" t="s">
        <v>3014</v>
      </c>
      <c r="Q1751" t="s">
        <v>3021</v>
      </c>
      <c r="R1751" t="s">
        <v>14</v>
      </c>
      <c r="S1751" t="s">
        <v>14</v>
      </c>
      <c r="T1751" t="s">
        <v>14</v>
      </c>
      <c r="U1751" t="s">
        <v>3015</v>
      </c>
      <c r="V1751" t="s">
        <v>14</v>
      </c>
      <c r="W1751" t="b">
        <v>1</v>
      </c>
      <c r="X1751" t="s">
        <v>5129</v>
      </c>
      <c r="Y1751" t="b">
        <v>0</v>
      </c>
      <c r="Z1751" t="s">
        <v>2053</v>
      </c>
    </row>
    <row r="1752" spans="1:26" x14ac:dyDescent="0.35">
      <c r="A1752" t="s">
        <v>1408</v>
      </c>
      <c r="B1752" t="s">
        <v>1409</v>
      </c>
      <c r="C1752" t="s">
        <v>2967</v>
      </c>
      <c r="D1752" t="s">
        <v>1963</v>
      </c>
      <c r="E1752" t="s">
        <v>2020</v>
      </c>
      <c r="F1752" t="s">
        <v>2021</v>
      </c>
      <c r="G1752" t="s">
        <v>2022</v>
      </c>
      <c r="H1752" t="s">
        <v>2023</v>
      </c>
      <c r="I1752" t="s">
        <v>3063</v>
      </c>
      <c r="J1752" t="s">
        <v>1963</v>
      </c>
      <c r="K1752" t="s">
        <v>5130</v>
      </c>
      <c r="L1752" t="s">
        <v>2046</v>
      </c>
      <c r="M1752" t="s">
        <v>3064</v>
      </c>
      <c r="N1752" t="s">
        <v>3065</v>
      </c>
      <c r="O1752" t="s">
        <v>2211</v>
      </c>
      <c r="P1752" t="s">
        <v>2212</v>
      </c>
      <c r="Q1752" t="s">
        <v>3066</v>
      </c>
      <c r="R1752" t="s">
        <v>14</v>
      </c>
      <c r="S1752" t="s">
        <v>2231</v>
      </c>
      <c r="T1752" t="s">
        <v>2232</v>
      </c>
      <c r="U1752" t="s">
        <v>2052</v>
      </c>
      <c r="V1752" t="s">
        <v>14</v>
      </c>
      <c r="W1752" t="b">
        <v>1</v>
      </c>
      <c r="X1752" t="s">
        <v>5131</v>
      </c>
      <c r="Y1752" t="b">
        <v>0</v>
      </c>
      <c r="Z1752" t="s">
        <v>2053</v>
      </c>
    </row>
    <row r="1753" spans="1:26" x14ac:dyDescent="0.35">
      <c r="A1753" t="s">
        <v>1408</v>
      </c>
      <c r="B1753" t="s">
        <v>1409</v>
      </c>
      <c r="C1753" t="s">
        <v>2967</v>
      </c>
      <c r="D1753" t="s">
        <v>1963</v>
      </c>
      <c r="E1753" t="s">
        <v>2020</v>
      </c>
      <c r="F1753" t="s">
        <v>2021</v>
      </c>
      <c r="G1753" t="s">
        <v>2022</v>
      </c>
      <c r="H1753" t="s">
        <v>2023</v>
      </c>
      <c r="I1753" t="s">
        <v>3052</v>
      </c>
      <c r="J1753" t="s">
        <v>1963</v>
      </c>
      <c r="K1753" t="s">
        <v>5130</v>
      </c>
      <c r="L1753" t="s">
        <v>2046</v>
      </c>
      <c r="M1753" t="s">
        <v>3038</v>
      </c>
      <c r="N1753" t="s">
        <v>3039</v>
      </c>
      <c r="O1753" t="s">
        <v>2401</v>
      </c>
      <c r="P1753" t="s">
        <v>2402</v>
      </c>
      <c r="Q1753" t="s">
        <v>2403</v>
      </c>
      <c r="R1753" t="s">
        <v>14</v>
      </c>
      <c r="S1753" t="s">
        <v>2404</v>
      </c>
      <c r="T1753" t="s">
        <v>2405</v>
      </c>
      <c r="U1753" t="s">
        <v>2390</v>
      </c>
      <c r="V1753" t="s">
        <v>14</v>
      </c>
      <c r="W1753" t="b">
        <v>1</v>
      </c>
      <c r="X1753" t="s">
        <v>5131</v>
      </c>
      <c r="Y1753" t="b">
        <v>0</v>
      </c>
      <c r="Z1753" t="s">
        <v>2053</v>
      </c>
    </row>
    <row r="1754" spans="1:26" x14ac:dyDescent="0.35">
      <c r="A1754" t="s">
        <v>1408</v>
      </c>
      <c r="B1754" t="s">
        <v>1409</v>
      </c>
      <c r="C1754" t="s">
        <v>2967</v>
      </c>
      <c r="D1754" t="s">
        <v>1963</v>
      </c>
      <c r="E1754" t="s">
        <v>2020</v>
      </c>
      <c r="F1754" t="s">
        <v>2021</v>
      </c>
      <c r="G1754" t="s">
        <v>2022</v>
      </c>
      <c r="H1754" t="s">
        <v>2023</v>
      </c>
      <c r="I1754" t="s">
        <v>3044</v>
      </c>
      <c r="J1754" t="s">
        <v>1963</v>
      </c>
      <c r="K1754" t="s">
        <v>5130</v>
      </c>
      <c r="L1754" t="s">
        <v>2046</v>
      </c>
      <c r="M1754" t="s">
        <v>3045</v>
      </c>
      <c r="N1754" t="s">
        <v>3046</v>
      </c>
      <c r="O1754" t="s">
        <v>2401</v>
      </c>
      <c r="P1754" t="s">
        <v>2402</v>
      </c>
      <c r="Q1754" t="s">
        <v>2403</v>
      </c>
      <c r="R1754" t="s">
        <v>14</v>
      </c>
      <c r="S1754" t="s">
        <v>2404</v>
      </c>
      <c r="T1754" t="s">
        <v>2405</v>
      </c>
      <c r="U1754" t="s">
        <v>2390</v>
      </c>
      <c r="V1754" t="s">
        <v>14</v>
      </c>
      <c r="W1754" t="b">
        <v>1</v>
      </c>
      <c r="X1754" t="s">
        <v>5131</v>
      </c>
      <c r="Y1754" t="b">
        <v>0</v>
      </c>
      <c r="Z1754" t="s">
        <v>2081</v>
      </c>
    </row>
    <row r="1755" spans="1:26" x14ac:dyDescent="0.35">
      <c r="A1755" t="s">
        <v>1408</v>
      </c>
      <c r="B1755" t="s">
        <v>1409</v>
      </c>
      <c r="C1755" t="s">
        <v>2967</v>
      </c>
      <c r="D1755" t="s">
        <v>1963</v>
      </c>
      <c r="E1755" t="s">
        <v>2020</v>
      </c>
      <c r="F1755" t="s">
        <v>2021</v>
      </c>
      <c r="G1755" t="s">
        <v>2022</v>
      </c>
      <c r="H1755" t="s">
        <v>2023</v>
      </c>
      <c r="I1755" t="s">
        <v>3062</v>
      </c>
      <c r="J1755" t="s">
        <v>1963</v>
      </c>
      <c r="K1755" t="s">
        <v>5130</v>
      </c>
      <c r="L1755" t="s">
        <v>2046</v>
      </c>
      <c r="M1755" t="s">
        <v>3041</v>
      </c>
      <c r="N1755" t="s">
        <v>3042</v>
      </c>
      <c r="O1755" t="s">
        <v>3013</v>
      </c>
      <c r="P1755" t="s">
        <v>3014</v>
      </c>
      <c r="Q1755" t="s">
        <v>14</v>
      </c>
      <c r="R1755" t="s">
        <v>14</v>
      </c>
      <c r="S1755" t="s">
        <v>14</v>
      </c>
      <c r="T1755" t="s">
        <v>14</v>
      </c>
      <c r="U1755" t="s">
        <v>3015</v>
      </c>
      <c r="V1755" t="s">
        <v>14</v>
      </c>
      <c r="W1755" t="b">
        <v>1</v>
      </c>
      <c r="X1755" t="s">
        <v>5131</v>
      </c>
      <c r="Y1755" t="b">
        <v>0</v>
      </c>
      <c r="Z1755" t="s">
        <v>2081</v>
      </c>
    </row>
    <row r="1756" spans="1:26" x14ac:dyDescent="0.35">
      <c r="A1756" t="s">
        <v>1408</v>
      </c>
      <c r="B1756" t="s">
        <v>1409</v>
      </c>
      <c r="C1756" t="s">
        <v>2967</v>
      </c>
      <c r="D1756" t="s">
        <v>1963</v>
      </c>
      <c r="E1756" t="s">
        <v>2020</v>
      </c>
      <c r="F1756" t="s">
        <v>2021</v>
      </c>
      <c r="G1756" t="s">
        <v>2022</v>
      </c>
      <c r="H1756" t="s">
        <v>2023</v>
      </c>
      <c r="I1756" t="s">
        <v>2225</v>
      </c>
      <c r="J1756" t="s">
        <v>1963</v>
      </c>
      <c r="K1756" t="s">
        <v>5130</v>
      </c>
      <c r="L1756" t="s">
        <v>2046</v>
      </c>
      <c r="M1756" t="s">
        <v>2226</v>
      </c>
      <c r="N1756" t="s">
        <v>2227</v>
      </c>
      <c r="O1756" t="s">
        <v>2205</v>
      </c>
      <c r="P1756" t="s">
        <v>2206</v>
      </c>
      <c r="Q1756" t="s">
        <v>14</v>
      </c>
      <c r="R1756" t="s">
        <v>14</v>
      </c>
      <c r="S1756" t="s">
        <v>14</v>
      </c>
      <c r="T1756" t="s">
        <v>14</v>
      </c>
      <c r="U1756" t="s">
        <v>2052</v>
      </c>
      <c r="V1756" t="s">
        <v>14</v>
      </c>
      <c r="W1756" t="b">
        <v>1</v>
      </c>
      <c r="X1756" t="s">
        <v>5131</v>
      </c>
      <c r="Y1756" t="b">
        <v>0</v>
      </c>
      <c r="Z1756" t="s">
        <v>2053</v>
      </c>
    </row>
    <row r="1757" spans="1:26" x14ac:dyDescent="0.35">
      <c r="A1757" t="s">
        <v>1408</v>
      </c>
      <c r="B1757" t="s">
        <v>1409</v>
      </c>
      <c r="C1757" t="s">
        <v>2967</v>
      </c>
      <c r="D1757" t="s">
        <v>1963</v>
      </c>
      <c r="E1757" t="s">
        <v>2020</v>
      </c>
      <c r="F1757" t="s">
        <v>2021</v>
      </c>
      <c r="G1757" t="s">
        <v>2022</v>
      </c>
      <c r="H1757" t="s">
        <v>2023</v>
      </c>
      <c r="I1757" t="s">
        <v>3023</v>
      </c>
      <c r="J1757" t="s">
        <v>1963</v>
      </c>
      <c r="K1757" t="s">
        <v>5130</v>
      </c>
      <c r="L1757" t="s">
        <v>2046</v>
      </c>
      <c r="M1757" t="s">
        <v>3025</v>
      </c>
      <c r="N1757" t="s">
        <v>3026</v>
      </c>
      <c r="O1757" t="s">
        <v>3027</v>
      </c>
      <c r="P1757" t="s">
        <v>3028</v>
      </c>
      <c r="Q1757" t="s">
        <v>14</v>
      </c>
      <c r="R1757" t="s">
        <v>14</v>
      </c>
      <c r="S1757" t="s">
        <v>3029</v>
      </c>
      <c r="T1757" t="s">
        <v>3030</v>
      </c>
      <c r="U1757" t="s">
        <v>2390</v>
      </c>
      <c r="V1757" t="s">
        <v>14</v>
      </c>
      <c r="W1757" t="b">
        <v>1</v>
      </c>
      <c r="X1757" t="s">
        <v>5131</v>
      </c>
      <c r="Y1757" t="b">
        <v>0</v>
      </c>
      <c r="Z1757" t="s">
        <v>2053</v>
      </c>
    </row>
    <row r="1758" spans="1:26" x14ac:dyDescent="0.35">
      <c r="A1758" t="s">
        <v>1408</v>
      </c>
      <c r="B1758" t="s">
        <v>1409</v>
      </c>
      <c r="C1758" t="s">
        <v>2967</v>
      </c>
      <c r="D1758" t="s">
        <v>1963</v>
      </c>
      <c r="E1758" t="s">
        <v>2020</v>
      </c>
      <c r="F1758" t="s">
        <v>2021</v>
      </c>
      <c r="G1758" t="s">
        <v>2022</v>
      </c>
      <c r="H1758" t="s">
        <v>2023</v>
      </c>
      <c r="I1758" t="s">
        <v>3017</v>
      </c>
      <c r="J1758" t="s">
        <v>1963</v>
      </c>
      <c r="K1758" t="s">
        <v>5130</v>
      </c>
      <c r="L1758" t="s">
        <v>2046</v>
      </c>
      <c r="M1758" t="s">
        <v>3019</v>
      </c>
      <c r="N1758" t="s">
        <v>3020</v>
      </c>
      <c r="O1758" t="s">
        <v>3013</v>
      </c>
      <c r="P1758" t="s">
        <v>3014</v>
      </c>
      <c r="Q1758" t="s">
        <v>3021</v>
      </c>
      <c r="R1758" t="s">
        <v>14</v>
      </c>
      <c r="S1758" t="s">
        <v>14</v>
      </c>
      <c r="T1758" t="s">
        <v>14</v>
      </c>
      <c r="U1758" t="s">
        <v>3015</v>
      </c>
      <c r="V1758" t="s">
        <v>14</v>
      </c>
      <c r="W1758" t="b">
        <v>1</v>
      </c>
      <c r="X1758" t="s">
        <v>5131</v>
      </c>
      <c r="Y1758" t="b">
        <v>0</v>
      </c>
      <c r="Z1758" t="s">
        <v>2053</v>
      </c>
    </row>
    <row r="1759" spans="1:26" x14ac:dyDescent="0.35">
      <c r="A1759" t="s">
        <v>1408</v>
      </c>
      <c r="B1759" t="s">
        <v>1409</v>
      </c>
      <c r="C1759" t="s">
        <v>2967</v>
      </c>
      <c r="D1759" t="s">
        <v>1963</v>
      </c>
      <c r="E1759" t="s">
        <v>2020</v>
      </c>
      <c r="F1759" t="s">
        <v>2021</v>
      </c>
      <c r="G1759" t="s">
        <v>2022</v>
      </c>
      <c r="H1759" t="s">
        <v>2023</v>
      </c>
      <c r="I1759" t="s">
        <v>3032</v>
      </c>
      <c r="J1759" t="s">
        <v>1963</v>
      </c>
      <c r="K1759" t="s">
        <v>5130</v>
      </c>
      <c r="L1759" t="s">
        <v>2046</v>
      </c>
      <c r="M1759" t="s">
        <v>3033</v>
      </c>
      <c r="N1759" t="s">
        <v>3034</v>
      </c>
      <c r="O1759" t="s">
        <v>3035</v>
      </c>
      <c r="P1759" t="s">
        <v>3036</v>
      </c>
      <c r="Q1759" t="s">
        <v>14</v>
      </c>
      <c r="R1759" t="s">
        <v>14</v>
      </c>
      <c r="S1759" t="s">
        <v>14</v>
      </c>
      <c r="T1759" t="s">
        <v>14</v>
      </c>
      <c r="U1759" t="s">
        <v>3015</v>
      </c>
      <c r="V1759" t="s">
        <v>14</v>
      </c>
      <c r="W1759" t="b">
        <v>1</v>
      </c>
      <c r="X1759" t="s">
        <v>5131</v>
      </c>
      <c r="Y1759" t="b">
        <v>0</v>
      </c>
      <c r="Z1759" t="s">
        <v>2081</v>
      </c>
    </row>
    <row r="1760" spans="1:26" x14ac:dyDescent="0.35">
      <c r="A1760" t="s">
        <v>1408</v>
      </c>
      <c r="B1760" t="s">
        <v>1409</v>
      </c>
      <c r="C1760" t="s">
        <v>2967</v>
      </c>
      <c r="D1760" t="s">
        <v>1963</v>
      </c>
      <c r="E1760" t="s">
        <v>2020</v>
      </c>
      <c r="F1760" t="s">
        <v>2021</v>
      </c>
      <c r="G1760" t="s">
        <v>2022</v>
      </c>
      <c r="H1760" t="s">
        <v>2023</v>
      </c>
      <c r="I1760" t="s">
        <v>3040</v>
      </c>
      <c r="J1760" t="s">
        <v>1963</v>
      </c>
      <c r="K1760" t="s">
        <v>5130</v>
      </c>
      <c r="L1760" t="s">
        <v>2046</v>
      </c>
      <c r="M1760" t="s">
        <v>3041</v>
      </c>
      <c r="N1760" t="s">
        <v>3042</v>
      </c>
      <c r="O1760" t="s">
        <v>3013</v>
      </c>
      <c r="P1760" t="s">
        <v>3014</v>
      </c>
      <c r="Q1760" t="s">
        <v>3021</v>
      </c>
      <c r="R1760" t="s">
        <v>14</v>
      </c>
      <c r="S1760" t="s">
        <v>14</v>
      </c>
      <c r="T1760" t="s">
        <v>14</v>
      </c>
      <c r="U1760" t="s">
        <v>3015</v>
      </c>
      <c r="V1760" t="s">
        <v>14</v>
      </c>
      <c r="W1760" t="b">
        <v>1</v>
      </c>
      <c r="X1760" t="s">
        <v>5131</v>
      </c>
      <c r="Y1760" t="b">
        <v>0</v>
      </c>
      <c r="Z1760" t="s">
        <v>2081</v>
      </c>
    </row>
    <row r="1761" spans="1:26" x14ac:dyDescent="0.35">
      <c r="A1761" t="s">
        <v>1408</v>
      </c>
      <c r="B1761" t="s">
        <v>1409</v>
      </c>
      <c r="C1761" t="s">
        <v>2967</v>
      </c>
      <c r="D1761" t="s">
        <v>1963</v>
      </c>
      <c r="E1761" t="s">
        <v>2020</v>
      </c>
      <c r="F1761" t="s">
        <v>2021</v>
      </c>
      <c r="G1761" t="s">
        <v>2022</v>
      </c>
      <c r="H1761" t="s">
        <v>2023</v>
      </c>
      <c r="I1761" t="s">
        <v>3059</v>
      </c>
      <c r="J1761" t="s">
        <v>1963</v>
      </c>
      <c r="K1761" t="s">
        <v>5130</v>
      </c>
      <c r="L1761" t="s">
        <v>2046</v>
      </c>
      <c r="M1761" t="s">
        <v>3060</v>
      </c>
      <c r="N1761" t="s">
        <v>3061</v>
      </c>
      <c r="O1761" t="s">
        <v>3035</v>
      </c>
      <c r="P1761" t="s">
        <v>3036</v>
      </c>
      <c r="Q1761" t="s">
        <v>14</v>
      </c>
      <c r="R1761" t="s">
        <v>14</v>
      </c>
      <c r="S1761" t="s">
        <v>14</v>
      </c>
      <c r="T1761" t="s">
        <v>14</v>
      </c>
      <c r="U1761" t="s">
        <v>2390</v>
      </c>
      <c r="V1761" t="s">
        <v>14</v>
      </c>
      <c r="W1761" t="b">
        <v>1</v>
      </c>
      <c r="X1761" t="s">
        <v>5131</v>
      </c>
      <c r="Y1761" t="b">
        <v>0</v>
      </c>
      <c r="Z1761" t="s">
        <v>2081</v>
      </c>
    </row>
    <row r="1762" spans="1:26" x14ac:dyDescent="0.35">
      <c r="A1762" t="s">
        <v>1408</v>
      </c>
      <c r="B1762" t="s">
        <v>1409</v>
      </c>
      <c r="C1762" t="s">
        <v>2967</v>
      </c>
      <c r="D1762" t="s">
        <v>1963</v>
      </c>
      <c r="E1762" t="s">
        <v>2020</v>
      </c>
      <c r="F1762" t="s">
        <v>2021</v>
      </c>
      <c r="G1762" t="s">
        <v>2022</v>
      </c>
      <c r="H1762" t="s">
        <v>2023</v>
      </c>
      <c r="I1762" t="s">
        <v>3037</v>
      </c>
      <c r="J1762" t="s">
        <v>1963</v>
      </c>
      <c r="K1762" t="s">
        <v>5130</v>
      </c>
      <c r="L1762" t="s">
        <v>2046</v>
      </c>
      <c r="M1762" t="s">
        <v>3038</v>
      </c>
      <c r="N1762" t="s">
        <v>3039</v>
      </c>
      <c r="O1762" t="s">
        <v>2401</v>
      </c>
      <c r="P1762" t="s">
        <v>2402</v>
      </c>
      <c r="Q1762" t="s">
        <v>2403</v>
      </c>
      <c r="R1762" t="s">
        <v>14</v>
      </c>
      <c r="S1762" t="s">
        <v>2404</v>
      </c>
      <c r="T1762" t="s">
        <v>2405</v>
      </c>
      <c r="U1762" t="s">
        <v>2390</v>
      </c>
      <c r="V1762" t="s">
        <v>14</v>
      </c>
      <c r="W1762" t="b">
        <v>1</v>
      </c>
      <c r="X1762" t="s">
        <v>5131</v>
      </c>
      <c r="Y1762" t="b">
        <v>0</v>
      </c>
      <c r="Z1762" t="s">
        <v>2053</v>
      </c>
    </row>
    <row r="1763" spans="1:26" x14ac:dyDescent="0.35">
      <c r="A1763" t="s">
        <v>1408</v>
      </c>
      <c r="B1763" t="s">
        <v>1409</v>
      </c>
      <c r="C1763" t="s">
        <v>2967</v>
      </c>
      <c r="D1763" t="s">
        <v>1963</v>
      </c>
      <c r="E1763" t="s">
        <v>2020</v>
      </c>
      <c r="F1763" t="s">
        <v>2021</v>
      </c>
      <c r="G1763" t="s">
        <v>2022</v>
      </c>
      <c r="H1763" t="s">
        <v>2023</v>
      </c>
      <c r="I1763" t="s">
        <v>3056</v>
      </c>
      <c r="J1763" t="s">
        <v>1963</v>
      </c>
      <c r="K1763" t="s">
        <v>5130</v>
      </c>
      <c r="L1763" t="s">
        <v>2046</v>
      </c>
      <c r="M1763" t="s">
        <v>3057</v>
      </c>
      <c r="N1763" t="s">
        <v>3058</v>
      </c>
      <c r="O1763" t="s">
        <v>3013</v>
      </c>
      <c r="P1763" t="s">
        <v>3014</v>
      </c>
      <c r="Q1763" t="s">
        <v>14</v>
      </c>
      <c r="R1763" t="s">
        <v>14</v>
      </c>
      <c r="S1763" t="s">
        <v>14</v>
      </c>
      <c r="T1763" t="s">
        <v>14</v>
      </c>
      <c r="U1763" t="s">
        <v>3015</v>
      </c>
      <c r="V1763" t="s">
        <v>14</v>
      </c>
      <c r="W1763" t="b">
        <v>1</v>
      </c>
      <c r="X1763" t="s">
        <v>5131</v>
      </c>
      <c r="Y1763" t="b">
        <v>0</v>
      </c>
      <c r="Z1763" t="s">
        <v>2053</v>
      </c>
    </row>
    <row r="1764" spans="1:26" x14ac:dyDescent="0.35">
      <c r="A1764" t="s">
        <v>1408</v>
      </c>
      <c r="B1764" t="s">
        <v>1409</v>
      </c>
      <c r="C1764" t="s">
        <v>2967</v>
      </c>
      <c r="D1764" t="s">
        <v>1963</v>
      </c>
      <c r="E1764" t="s">
        <v>2020</v>
      </c>
      <c r="F1764" t="s">
        <v>2021</v>
      </c>
      <c r="G1764" t="s">
        <v>2022</v>
      </c>
      <c r="H1764" t="s">
        <v>2023</v>
      </c>
      <c r="I1764" t="s">
        <v>3043</v>
      </c>
      <c r="J1764" t="s">
        <v>1963</v>
      </c>
      <c r="K1764" t="s">
        <v>5130</v>
      </c>
      <c r="L1764" t="s">
        <v>2046</v>
      </c>
      <c r="M1764" t="s">
        <v>3038</v>
      </c>
      <c r="N1764" t="s">
        <v>3039</v>
      </c>
      <c r="O1764" t="s">
        <v>2401</v>
      </c>
      <c r="P1764" t="s">
        <v>2402</v>
      </c>
      <c r="Q1764" t="s">
        <v>2403</v>
      </c>
      <c r="R1764" t="s">
        <v>14</v>
      </c>
      <c r="S1764" t="s">
        <v>2404</v>
      </c>
      <c r="T1764" t="s">
        <v>2405</v>
      </c>
      <c r="U1764" t="s">
        <v>2390</v>
      </c>
      <c r="V1764" t="s">
        <v>14</v>
      </c>
      <c r="W1764" t="b">
        <v>1</v>
      </c>
      <c r="X1764" t="s">
        <v>5131</v>
      </c>
      <c r="Y1764" t="b">
        <v>0</v>
      </c>
      <c r="Z1764" t="s">
        <v>2053</v>
      </c>
    </row>
    <row r="1765" spans="1:26" x14ac:dyDescent="0.35">
      <c r="A1765" t="s">
        <v>1408</v>
      </c>
      <c r="B1765" t="s">
        <v>1409</v>
      </c>
      <c r="C1765" t="s">
        <v>2967</v>
      </c>
      <c r="D1765" t="s">
        <v>1963</v>
      </c>
      <c r="E1765" t="s">
        <v>2020</v>
      </c>
      <c r="F1765" t="s">
        <v>2021</v>
      </c>
      <c r="G1765" t="s">
        <v>2022</v>
      </c>
      <c r="H1765" t="s">
        <v>2023</v>
      </c>
      <c r="I1765" t="s">
        <v>3047</v>
      </c>
      <c r="J1765" t="s">
        <v>1963</v>
      </c>
      <c r="K1765" t="s">
        <v>5130</v>
      </c>
      <c r="L1765" t="s">
        <v>2046</v>
      </c>
      <c r="M1765" t="s">
        <v>3048</v>
      </c>
      <c r="N1765" t="s">
        <v>3049</v>
      </c>
      <c r="O1765" t="s">
        <v>3013</v>
      </c>
      <c r="P1765" t="s">
        <v>3014</v>
      </c>
      <c r="Q1765" t="s">
        <v>3021</v>
      </c>
      <c r="R1765" t="s">
        <v>14</v>
      </c>
      <c r="S1765" t="s">
        <v>3050</v>
      </c>
      <c r="T1765" t="s">
        <v>3051</v>
      </c>
      <c r="U1765" t="s">
        <v>3015</v>
      </c>
      <c r="V1765" t="s">
        <v>14</v>
      </c>
      <c r="W1765" t="b">
        <v>1</v>
      </c>
      <c r="X1765" t="s">
        <v>5131</v>
      </c>
      <c r="Y1765" t="b">
        <v>1</v>
      </c>
      <c r="Z1765" t="s">
        <v>2032</v>
      </c>
    </row>
    <row r="1766" spans="1:26" x14ac:dyDescent="0.35">
      <c r="A1766" t="s">
        <v>1408</v>
      </c>
      <c r="B1766" t="s">
        <v>1409</v>
      </c>
      <c r="C1766" t="s">
        <v>2967</v>
      </c>
      <c r="D1766" t="s">
        <v>1963</v>
      </c>
      <c r="E1766" t="s">
        <v>2020</v>
      </c>
      <c r="F1766" t="s">
        <v>2021</v>
      </c>
      <c r="G1766" t="s">
        <v>2022</v>
      </c>
      <c r="H1766" t="s">
        <v>2023</v>
      </c>
      <c r="I1766" t="s">
        <v>3053</v>
      </c>
      <c r="J1766" t="s">
        <v>1963</v>
      </c>
      <c r="K1766" t="s">
        <v>5130</v>
      </c>
      <c r="L1766" t="s">
        <v>2046</v>
      </c>
      <c r="M1766" t="s">
        <v>3054</v>
      </c>
      <c r="N1766" t="s">
        <v>3055</v>
      </c>
      <c r="O1766" t="s">
        <v>3035</v>
      </c>
      <c r="P1766" t="s">
        <v>3036</v>
      </c>
      <c r="Q1766" t="s">
        <v>14</v>
      </c>
      <c r="R1766" t="s">
        <v>14</v>
      </c>
      <c r="S1766" t="s">
        <v>14</v>
      </c>
      <c r="T1766" t="s">
        <v>14</v>
      </c>
      <c r="U1766" t="s">
        <v>3015</v>
      </c>
      <c r="V1766" t="s">
        <v>14</v>
      </c>
      <c r="W1766" t="b">
        <v>1</v>
      </c>
      <c r="X1766" t="s">
        <v>5131</v>
      </c>
      <c r="Y1766" t="b">
        <v>0</v>
      </c>
      <c r="Z1766" t="s">
        <v>2053</v>
      </c>
    </row>
    <row r="1767" spans="1:26" x14ac:dyDescent="0.35">
      <c r="A1767" t="s">
        <v>1410</v>
      </c>
      <c r="B1767" t="s">
        <v>1411</v>
      </c>
      <c r="C1767" t="s">
        <v>2967</v>
      </c>
      <c r="D1767" t="s">
        <v>1963</v>
      </c>
      <c r="E1767" t="s">
        <v>2020</v>
      </c>
      <c r="F1767" t="s">
        <v>2021</v>
      </c>
      <c r="G1767" t="s">
        <v>2022</v>
      </c>
      <c r="H1767" t="s">
        <v>2023</v>
      </c>
      <c r="I1767" t="s">
        <v>3023</v>
      </c>
      <c r="J1767" t="s">
        <v>1963</v>
      </c>
      <c r="K1767" t="s">
        <v>5132</v>
      </c>
      <c r="L1767" t="s">
        <v>2046</v>
      </c>
      <c r="M1767" t="s">
        <v>3025</v>
      </c>
      <c r="N1767" t="s">
        <v>3026</v>
      </c>
      <c r="O1767" t="s">
        <v>3027</v>
      </c>
      <c r="P1767" t="s">
        <v>3028</v>
      </c>
      <c r="Q1767" t="s">
        <v>14</v>
      </c>
      <c r="R1767" t="s">
        <v>14</v>
      </c>
      <c r="S1767" t="s">
        <v>3029</v>
      </c>
      <c r="T1767" t="s">
        <v>3030</v>
      </c>
      <c r="U1767" t="s">
        <v>2390</v>
      </c>
      <c r="V1767" t="s">
        <v>14</v>
      </c>
      <c r="W1767" t="b">
        <v>1</v>
      </c>
      <c r="X1767" t="s">
        <v>5133</v>
      </c>
      <c r="Y1767" t="b">
        <v>0</v>
      </c>
      <c r="Z1767" t="s">
        <v>2053</v>
      </c>
    </row>
    <row r="1768" spans="1:26" x14ac:dyDescent="0.35">
      <c r="A1768" t="s">
        <v>1410</v>
      </c>
      <c r="B1768" t="s">
        <v>1411</v>
      </c>
      <c r="C1768" t="s">
        <v>2967</v>
      </c>
      <c r="D1768" t="s">
        <v>1963</v>
      </c>
      <c r="E1768" t="s">
        <v>2020</v>
      </c>
      <c r="F1768" t="s">
        <v>2021</v>
      </c>
      <c r="G1768" t="s">
        <v>2022</v>
      </c>
      <c r="H1768" t="s">
        <v>2023</v>
      </c>
      <c r="I1768" t="s">
        <v>3056</v>
      </c>
      <c r="J1768" t="s">
        <v>1963</v>
      </c>
      <c r="K1768" t="s">
        <v>5132</v>
      </c>
      <c r="L1768" t="s">
        <v>2046</v>
      </c>
      <c r="M1768" t="s">
        <v>3057</v>
      </c>
      <c r="N1768" t="s">
        <v>3058</v>
      </c>
      <c r="O1768" t="s">
        <v>3013</v>
      </c>
      <c r="P1768" t="s">
        <v>3014</v>
      </c>
      <c r="Q1768" t="s">
        <v>14</v>
      </c>
      <c r="R1768" t="s">
        <v>14</v>
      </c>
      <c r="S1768" t="s">
        <v>14</v>
      </c>
      <c r="T1768" t="s">
        <v>14</v>
      </c>
      <c r="U1768" t="s">
        <v>3015</v>
      </c>
      <c r="V1768" t="s">
        <v>14</v>
      </c>
      <c r="W1768" t="b">
        <v>1</v>
      </c>
      <c r="X1768" t="s">
        <v>5133</v>
      </c>
      <c r="Y1768" t="b">
        <v>0</v>
      </c>
      <c r="Z1768" t="s">
        <v>2053</v>
      </c>
    </row>
    <row r="1769" spans="1:26" x14ac:dyDescent="0.35">
      <c r="A1769" t="s">
        <v>1410</v>
      </c>
      <c r="B1769" t="s">
        <v>1411</v>
      </c>
      <c r="C1769" t="s">
        <v>2967</v>
      </c>
      <c r="D1769" t="s">
        <v>1963</v>
      </c>
      <c r="E1769" t="s">
        <v>2020</v>
      </c>
      <c r="F1769" t="s">
        <v>2021</v>
      </c>
      <c r="G1769" t="s">
        <v>2022</v>
      </c>
      <c r="H1769" t="s">
        <v>2023</v>
      </c>
      <c r="I1769" t="s">
        <v>3062</v>
      </c>
      <c r="J1769" t="s">
        <v>1963</v>
      </c>
      <c r="K1769" t="s">
        <v>5132</v>
      </c>
      <c r="L1769" t="s">
        <v>2046</v>
      </c>
      <c r="M1769" t="s">
        <v>3041</v>
      </c>
      <c r="N1769" t="s">
        <v>3042</v>
      </c>
      <c r="O1769" t="s">
        <v>3013</v>
      </c>
      <c r="P1769" t="s">
        <v>3014</v>
      </c>
      <c r="Q1769" t="s">
        <v>14</v>
      </c>
      <c r="R1769" t="s">
        <v>14</v>
      </c>
      <c r="S1769" t="s">
        <v>14</v>
      </c>
      <c r="T1769" t="s">
        <v>14</v>
      </c>
      <c r="U1769" t="s">
        <v>3015</v>
      </c>
      <c r="V1769" t="s">
        <v>14</v>
      </c>
      <c r="W1769" t="b">
        <v>1</v>
      </c>
      <c r="X1769" t="s">
        <v>5133</v>
      </c>
      <c r="Y1769" t="b">
        <v>0</v>
      </c>
      <c r="Z1769" t="s">
        <v>2081</v>
      </c>
    </row>
    <row r="1770" spans="1:26" x14ac:dyDescent="0.35">
      <c r="A1770" t="s">
        <v>1410</v>
      </c>
      <c r="B1770" t="s">
        <v>1411</v>
      </c>
      <c r="C1770" t="s">
        <v>2967</v>
      </c>
      <c r="D1770" t="s">
        <v>1963</v>
      </c>
      <c r="E1770" t="s">
        <v>2020</v>
      </c>
      <c r="F1770" t="s">
        <v>2021</v>
      </c>
      <c r="G1770" t="s">
        <v>2022</v>
      </c>
      <c r="H1770" t="s">
        <v>2023</v>
      </c>
      <c r="I1770" t="s">
        <v>3040</v>
      </c>
      <c r="J1770" t="s">
        <v>1963</v>
      </c>
      <c r="K1770" t="s">
        <v>5132</v>
      </c>
      <c r="L1770" t="s">
        <v>2046</v>
      </c>
      <c r="M1770" t="s">
        <v>3041</v>
      </c>
      <c r="N1770" t="s">
        <v>3042</v>
      </c>
      <c r="O1770" t="s">
        <v>3013</v>
      </c>
      <c r="P1770" t="s">
        <v>3014</v>
      </c>
      <c r="Q1770" t="s">
        <v>3021</v>
      </c>
      <c r="R1770" t="s">
        <v>14</v>
      </c>
      <c r="S1770" t="s">
        <v>14</v>
      </c>
      <c r="T1770" t="s">
        <v>14</v>
      </c>
      <c r="U1770" t="s">
        <v>3015</v>
      </c>
      <c r="V1770" t="s">
        <v>14</v>
      </c>
      <c r="W1770" t="b">
        <v>1</v>
      </c>
      <c r="X1770" t="s">
        <v>5133</v>
      </c>
      <c r="Y1770" t="b">
        <v>0</v>
      </c>
      <c r="Z1770" t="s">
        <v>2081</v>
      </c>
    </row>
    <row r="1771" spans="1:26" x14ac:dyDescent="0.35">
      <c r="A1771" t="s">
        <v>1412</v>
      </c>
      <c r="B1771" t="s">
        <v>1413</v>
      </c>
      <c r="C1771" t="s">
        <v>2967</v>
      </c>
      <c r="D1771" t="s">
        <v>1963</v>
      </c>
      <c r="E1771" t="s">
        <v>2020</v>
      </c>
      <c r="F1771" t="s">
        <v>2021</v>
      </c>
      <c r="G1771" t="s">
        <v>2022</v>
      </c>
      <c r="H1771" t="s">
        <v>2023</v>
      </c>
      <c r="I1771" t="s">
        <v>3023</v>
      </c>
      <c r="J1771" t="s">
        <v>1963</v>
      </c>
      <c r="K1771" t="s">
        <v>5134</v>
      </c>
      <c r="L1771" t="s">
        <v>2046</v>
      </c>
      <c r="M1771" t="s">
        <v>3025</v>
      </c>
      <c r="N1771" t="s">
        <v>3026</v>
      </c>
      <c r="O1771" t="s">
        <v>3027</v>
      </c>
      <c r="P1771" t="s">
        <v>3028</v>
      </c>
      <c r="Q1771" t="s">
        <v>14</v>
      </c>
      <c r="R1771" t="s">
        <v>14</v>
      </c>
      <c r="S1771" t="s">
        <v>3029</v>
      </c>
      <c r="T1771" t="s">
        <v>3030</v>
      </c>
      <c r="U1771" t="s">
        <v>2390</v>
      </c>
      <c r="V1771" t="s">
        <v>14</v>
      </c>
      <c r="W1771" t="b">
        <v>1</v>
      </c>
      <c r="X1771" t="s">
        <v>5135</v>
      </c>
      <c r="Y1771" t="b">
        <v>0</v>
      </c>
      <c r="Z1771" t="s">
        <v>2053</v>
      </c>
    </row>
    <row r="1772" spans="1:26" x14ac:dyDescent="0.35">
      <c r="A1772" t="s">
        <v>1412</v>
      </c>
      <c r="B1772" t="s">
        <v>1413</v>
      </c>
      <c r="C1772" t="s">
        <v>2967</v>
      </c>
      <c r="D1772" t="s">
        <v>1963</v>
      </c>
      <c r="E1772" t="s">
        <v>2020</v>
      </c>
      <c r="F1772" t="s">
        <v>2021</v>
      </c>
      <c r="G1772" t="s">
        <v>2022</v>
      </c>
      <c r="H1772" t="s">
        <v>2023</v>
      </c>
      <c r="I1772" t="s">
        <v>3056</v>
      </c>
      <c r="J1772" t="s">
        <v>1963</v>
      </c>
      <c r="K1772" t="s">
        <v>5134</v>
      </c>
      <c r="L1772" t="s">
        <v>2046</v>
      </c>
      <c r="M1772" t="s">
        <v>3057</v>
      </c>
      <c r="N1772" t="s">
        <v>3058</v>
      </c>
      <c r="O1772" t="s">
        <v>3013</v>
      </c>
      <c r="P1772" t="s">
        <v>3014</v>
      </c>
      <c r="Q1772" t="s">
        <v>14</v>
      </c>
      <c r="R1772" t="s">
        <v>14</v>
      </c>
      <c r="S1772" t="s">
        <v>14</v>
      </c>
      <c r="T1772" t="s">
        <v>14</v>
      </c>
      <c r="U1772" t="s">
        <v>3015</v>
      </c>
      <c r="V1772" t="s">
        <v>14</v>
      </c>
      <c r="W1772" t="b">
        <v>1</v>
      </c>
      <c r="X1772" t="s">
        <v>5135</v>
      </c>
      <c r="Y1772" t="b">
        <v>0</v>
      </c>
      <c r="Z1772" t="s">
        <v>2053</v>
      </c>
    </row>
    <row r="1773" spans="1:26" x14ac:dyDescent="0.35">
      <c r="A1773" t="s">
        <v>1412</v>
      </c>
      <c r="B1773" t="s">
        <v>1413</v>
      </c>
      <c r="C1773" t="s">
        <v>2967</v>
      </c>
      <c r="D1773" t="s">
        <v>1963</v>
      </c>
      <c r="E1773" t="s">
        <v>2020</v>
      </c>
      <c r="F1773" t="s">
        <v>2021</v>
      </c>
      <c r="G1773" t="s">
        <v>2022</v>
      </c>
      <c r="H1773" t="s">
        <v>2023</v>
      </c>
      <c r="I1773" t="s">
        <v>3040</v>
      </c>
      <c r="J1773" t="s">
        <v>1963</v>
      </c>
      <c r="K1773" t="s">
        <v>5134</v>
      </c>
      <c r="L1773" t="s">
        <v>2046</v>
      </c>
      <c r="M1773" t="s">
        <v>3041</v>
      </c>
      <c r="N1773" t="s">
        <v>3042</v>
      </c>
      <c r="O1773" t="s">
        <v>3013</v>
      </c>
      <c r="P1773" t="s">
        <v>3014</v>
      </c>
      <c r="Q1773" t="s">
        <v>3021</v>
      </c>
      <c r="R1773" t="s">
        <v>14</v>
      </c>
      <c r="S1773" t="s">
        <v>14</v>
      </c>
      <c r="T1773" t="s">
        <v>14</v>
      </c>
      <c r="U1773" t="s">
        <v>3015</v>
      </c>
      <c r="V1773" t="s">
        <v>14</v>
      </c>
      <c r="W1773" t="b">
        <v>1</v>
      </c>
      <c r="X1773" t="s">
        <v>5135</v>
      </c>
      <c r="Y1773" t="b">
        <v>0</v>
      </c>
      <c r="Z1773" t="s">
        <v>2081</v>
      </c>
    </row>
    <row r="1774" spans="1:26" x14ac:dyDescent="0.35">
      <c r="A1774" t="s">
        <v>1412</v>
      </c>
      <c r="B1774" t="s">
        <v>1413</v>
      </c>
      <c r="C1774" t="s">
        <v>2967</v>
      </c>
      <c r="D1774" t="s">
        <v>1963</v>
      </c>
      <c r="E1774" t="s">
        <v>2020</v>
      </c>
      <c r="F1774" t="s">
        <v>2021</v>
      </c>
      <c r="G1774" t="s">
        <v>2022</v>
      </c>
      <c r="H1774" t="s">
        <v>2023</v>
      </c>
      <c r="I1774" t="s">
        <v>3062</v>
      </c>
      <c r="J1774" t="s">
        <v>1963</v>
      </c>
      <c r="K1774" t="s">
        <v>5134</v>
      </c>
      <c r="L1774" t="s">
        <v>2046</v>
      </c>
      <c r="M1774" t="s">
        <v>3041</v>
      </c>
      <c r="N1774" t="s">
        <v>3042</v>
      </c>
      <c r="O1774" t="s">
        <v>3013</v>
      </c>
      <c r="P1774" t="s">
        <v>3014</v>
      </c>
      <c r="Q1774" t="s">
        <v>14</v>
      </c>
      <c r="R1774" t="s">
        <v>14</v>
      </c>
      <c r="S1774" t="s">
        <v>14</v>
      </c>
      <c r="T1774" t="s">
        <v>14</v>
      </c>
      <c r="U1774" t="s">
        <v>3015</v>
      </c>
      <c r="V1774" t="s">
        <v>14</v>
      </c>
      <c r="W1774" t="b">
        <v>1</v>
      </c>
      <c r="X1774" t="s">
        <v>5135</v>
      </c>
      <c r="Y1774" t="b">
        <v>0</v>
      </c>
      <c r="Z1774" t="s">
        <v>2081</v>
      </c>
    </row>
    <row r="1775" spans="1:26" x14ac:dyDescent="0.35">
      <c r="A1775" t="s">
        <v>1414</v>
      </c>
      <c r="B1775" t="s">
        <v>1415</v>
      </c>
      <c r="C1775" t="s">
        <v>2967</v>
      </c>
      <c r="D1775" t="s">
        <v>1963</v>
      </c>
      <c r="E1775" t="s">
        <v>2020</v>
      </c>
      <c r="F1775" t="s">
        <v>2021</v>
      </c>
      <c r="G1775" t="s">
        <v>2022</v>
      </c>
      <c r="H1775" t="s">
        <v>2023</v>
      </c>
      <c r="I1775" t="s">
        <v>1994</v>
      </c>
      <c r="J1775" t="s">
        <v>1963</v>
      </c>
      <c r="K1775" t="s">
        <v>5136</v>
      </c>
      <c r="L1775" t="s">
        <v>2046</v>
      </c>
      <c r="M1775" t="s">
        <v>3152</v>
      </c>
      <c r="N1775" t="s">
        <v>3153</v>
      </c>
      <c r="O1775" t="s">
        <v>3154</v>
      </c>
      <c r="P1775" t="s">
        <v>3155</v>
      </c>
      <c r="Q1775" t="s">
        <v>3156</v>
      </c>
      <c r="R1775" t="s">
        <v>14</v>
      </c>
      <c r="S1775" t="s">
        <v>3157</v>
      </c>
      <c r="T1775" t="s">
        <v>3158</v>
      </c>
      <c r="U1775" t="s">
        <v>3015</v>
      </c>
      <c r="V1775" t="s">
        <v>14</v>
      </c>
      <c r="W1775" t="b">
        <v>1</v>
      </c>
      <c r="X1775" t="s">
        <v>5137</v>
      </c>
      <c r="Y1775" t="b">
        <v>1</v>
      </c>
      <c r="Z1775" t="s">
        <v>2032</v>
      </c>
    </row>
    <row r="1776" spans="1:26" x14ac:dyDescent="0.35">
      <c r="A1776" t="s">
        <v>1417</v>
      </c>
      <c r="B1776" t="s">
        <v>1418</v>
      </c>
      <c r="C1776" t="s">
        <v>2967</v>
      </c>
      <c r="D1776" t="s">
        <v>1963</v>
      </c>
      <c r="E1776" t="s">
        <v>2020</v>
      </c>
      <c r="F1776" t="s">
        <v>2021</v>
      </c>
      <c r="G1776" t="s">
        <v>2022</v>
      </c>
      <c r="H1776" t="s">
        <v>2023</v>
      </c>
      <c r="I1776" t="s">
        <v>3047</v>
      </c>
      <c r="J1776" t="s">
        <v>1963</v>
      </c>
      <c r="K1776" t="s">
        <v>5138</v>
      </c>
      <c r="L1776" t="s">
        <v>2046</v>
      </c>
      <c r="M1776" t="s">
        <v>3048</v>
      </c>
      <c r="N1776" t="s">
        <v>3049</v>
      </c>
      <c r="O1776" t="s">
        <v>3013</v>
      </c>
      <c r="P1776" t="s">
        <v>3014</v>
      </c>
      <c r="Q1776" t="s">
        <v>3021</v>
      </c>
      <c r="R1776" t="s">
        <v>14</v>
      </c>
      <c r="S1776" t="s">
        <v>3050</v>
      </c>
      <c r="T1776" t="s">
        <v>3051</v>
      </c>
      <c r="U1776" t="s">
        <v>3015</v>
      </c>
      <c r="V1776" t="s">
        <v>14</v>
      </c>
      <c r="W1776" t="b">
        <v>1</v>
      </c>
      <c r="X1776" t="s">
        <v>5139</v>
      </c>
      <c r="Y1776" t="b">
        <v>1</v>
      </c>
      <c r="Z1776" t="s">
        <v>2032</v>
      </c>
    </row>
    <row r="1777" spans="1:26" x14ac:dyDescent="0.35">
      <c r="A1777" t="s">
        <v>1419</v>
      </c>
      <c r="B1777" t="s">
        <v>1420</v>
      </c>
      <c r="C1777" t="s">
        <v>2967</v>
      </c>
      <c r="D1777" t="s">
        <v>1963</v>
      </c>
      <c r="E1777" t="s">
        <v>2020</v>
      </c>
      <c r="F1777" t="s">
        <v>2021</v>
      </c>
      <c r="G1777" t="s">
        <v>2022</v>
      </c>
      <c r="H1777" t="s">
        <v>2023</v>
      </c>
      <c r="I1777" t="s">
        <v>3846</v>
      </c>
      <c r="J1777" t="s">
        <v>1963</v>
      </c>
      <c r="K1777" t="s">
        <v>5140</v>
      </c>
      <c r="L1777" t="s">
        <v>2046</v>
      </c>
      <c r="M1777" t="s">
        <v>14</v>
      </c>
      <c r="N1777" t="s">
        <v>14</v>
      </c>
      <c r="O1777" t="s">
        <v>14</v>
      </c>
      <c r="P1777" t="s">
        <v>14</v>
      </c>
      <c r="Q1777" t="s">
        <v>14</v>
      </c>
      <c r="R1777" t="s">
        <v>14</v>
      </c>
      <c r="S1777" t="s">
        <v>14</v>
      </c>
      <c r="T1777" t="s">
        <v>14</v>
      </c>
      <c r="U1777" t="s">
        <v>2030</v>
      </c>
      <c r="V1777" t="s">
        <v>14</v>
      </c>
      <c r="W1777" t="b">
        <v>1</v>
      </c>
      <c r="X1777" t="s">
        <v>5141</v>
      </c>
      <c r="Y1777" t="b">
        <v>0</v>
      </c>
      <c r="Z1777" t="s">
        <v>2053</v>
      </c>
    </row>
    <row r="1778" spans="1:26" x14ac:dyDescent="0.35">
      <c r="A1778" t="s">
        <v>1421</v>
      </c>
      <c r="B1778" t="s">
        <v>1422</v>
      </c>
      <c r="C1778" t="s">
        <v>2967</v>
      </c>
      <c r="D1778" t="s">
        <v>1963</v>
      </c>
      <c r="E1778" t="s">
        <v>2020</v>
      </c>
      <c r="F1778" t="s">
        <v>2021</v>
      </c>
      <c r="G1778" t="s">
        <v>2022</v>
      </c>
      <c r="H1778" t="s">
        <v>2023</v>
      </c>
      <c r="I1778" t="s">
        <v>3846</v>
      </c>
      <c r="J1778" t="s">
        <v>1963</v>
      </c>
      <c r="K1778" t="s">
        <v>5142</v>
      </c>
      <c r="L1778" t="s">
        <v>2046</v>
      </c>
      <c r="M1778" t="s">
        <v>14</v>
      </c>
      <c r="N1778" t="s">
        <v>14</v>
      </c>
      <c r="O1778" t="s">
        <v>14</v>
      </c>
      <c r="P1778" t="s">
        <v>14</v>
      </c>
      <c r="Q1778" t="s">
        <v>14</v>
      </c>
      <c r="R1778" t="s">
        <v>14</v>
      </c>
      <c r="S1778" t="s">
        <v>14</v>
      </c>
      <c r="T1778" t="s">
        <v>14</v>
      </c>
      <c r="U1778" t="s">
        <v>2030</v>
      </c>
      <c r="V1778" t="s">
        <v>14</v>
      </c>
      <c r="W1778" t="b">
        <v>1</v>
      </c>
      <c r="X1778" t="s">
        <v>5143</v>
      </c>
      <c r="Y1778" t="b">
        <v>0</v>
      </c>
      <c r="Z1778" t="s">
        <v>2053</v>
      </c>
    </row>
    <row r="1779" spans="1:26" x14ac:dyDescent="0.35">
      <c r="A1779" t="s">
        <v>1424</v>
      </c>
      <c r="B1779" t="s">
        <v>1425</v>
      </c>
      <c r="C1779" t="s">
        <v>2967</v>
      </c>
      <c r="D1779" t="s">
        <v>1963</v>
      </c>
      <c r="E1779" t="s">
        <v>2020</v>
      </c>
      <c r="F1779" t="s">
        <v>2021</v>
      </c>
      <c r="G1779" t="s">
        <v>2022</v>
      </c>
      <c r="H1779" t="s">
        <v>2023</v>
      </c>
      <c r="I1779" t="s">
        <v>4015</v>
      </c>
      <c r="J1779" t="s">
        <v>1963</v>
      </c>
      <c r="K1779" t="s">
        <v>5144</v>
      </c>
      <c r="L1779" t="s">
        <v>2046</v>
      </c>
      <c r="M1779" t="s">
        <v>4017</v>
      </c>
      <c r="N1779" t="s">
        <v>4018</v>
      </c>
      <c r="O1779" t="s">
        <v>4017</v>
      </c>
      <c r="P1779" t="s">
        <v>4018</v>
      </c>
      <c r="Q1779" t="s">
        <v>14</v>
      </c>
      <c r="R1779" t="s">
        <v>14</v>
      </c>
      <c r="S1779" t="s">
        <v>14</v>
      </c>
      <c r="T1779" t="s">
        <v>14</v>
      </c>
      <c r="U1779" t="s">
        <v>2030</v>
      </c>
      <c r="V1779" t="s">
        <v>14</v>
      </c>
      <c r="W1779" t="b">
        <v>1</v>
      </c>
      <c r="X1779" t="s">
        <v>5145</v>
      </c>
      <c r="Y1779" t="b">
        <v>0</v>
      </c>
      <c r="Z1779" t="s">
        <v>2081</v>
      </c>
    </row>
    <row r="1780" spans="1:26" x14ac:dyDescent="0.35">
      <c r="A1780" t="s">
        <v>1427</v>
      </c>
      <c r="B1780" t="s">
        <v>1428</v>
      </c>
      <c r="C1780" t="s">
        <v>2967</v>
      </c>
      <c r="D1780" t="s">
        <v>1963</v>
      </c>
      <c r="E1780" t="s">
        <v>2020</v>
      </c>
      <c r="F1780" t="s">
        <v>2021</v>
      </c>
      <c r="G1780" t="s">
        <v>2022</v>
      </c>
      <c r="H1780" t="s">
        <v>2023</v>
      </c>
      <c r="I1780" t="s">
        <v>3053</v>
      </c>
      <c r="J1780" t="s">
        <v>1963</v>
      </c>
      <c r="K1780" t="s">
        <v>5146</v>
      </c>
      <c r="L1780" t="s">
        <v>2046</v>
      </c>
      <c r="M1780" t="s">
        <v>3054</v>
      </c>
      <c r="N1780" t="s">
        <v>3055</v>
      </c>
      <c r="O1780" t="s">
        <v>3035</v>
      </c>
      <c r="P1780" t="s">
        <v>3036</v>
      </c>
      <c r="Q1780" t="s">
        <v>14</v>
      </c>
      <c r="R1780" t="s">
        <v>14</v>
      </c>
      <c r="S1780" t="s">
        <v>14</v>
      </c>
      <c r="T1780" t="s">
        <v>14</v>
      </c>
      <c r="U1780" t="s">
        <v>3015</v>
      </c>
      <c r="V1780" t="s">
        <v>14</v>
      </c>
      <c r="W1780" t="b">
        <v>1</v>
      </c>
      <c r="X1780" t="s">
        <v>5147</v>
      </c>
      <c r="Y1780" t="b">
        <v>0</v>
      </c>
      <c r="Z1780" t="s">
        <v>2053</v>
      </c>
    </row>
    <row r="1781" spans="1:26" x14ac:dyDescent="0.35">
      <c r="A1781" t="s">
        <v>1427</v>
      </c>
      <c r="B1781" t="s">
        <v>1428</v>
      </c>
      <c r="C1781" t="s">
        <v>2967</v>
      </c>
      <c r="D1781" t="s">
        <v>1963</v>
      </c>
      <c r="E1781" t="s">
        <v>2020</v>
      </c>
      <c r="F1781" t="s">
        <v>2021</v>
      </c>
      <c r="G1781" t="s">
        <v>2022</v>
      </c>
      <c r="H1781" t="s">
        <v>2023</v>
      </c>
      <c r="I1781" t="s">
        <v>3032</v>
      </c>
      <c r="J1781" t="s">
        <v>1963</v>
      </c>
      <c r="K1781" t="s">
        <v>5146</v>
      </c>
      <c r="L1781" t="s">
        <v>2046</v>
      </c>
      <c r="M1781" t="s">
        <v>3033</v>
      </c>
      <c r="N1781" t="s">
        <v>3034</v>
      </c>
      <c r="O1781" t="s">
        <v>3035</v>
      </c>
      <c r="P1781" t="s">
        <v>3036</v>
      </c>
      <c r="Q1781" t="s">
        <v>14</v>
      </c>
      <c r="R1781" t="s">
        <v>14</v>
      </c>
      <c r="S1781" t="s">
        <v>14</v>
      </c>
      <c r="T1781" t="s">
        <v>14</v>
      </c>
      <c r="U1781" t="s">
        <v>3015</v>
      </c>
      <c r="V1781" t="s">
        <v>14</v>
      </c>
      <c r="W1781" t="b">
        <v>1</v>
      </c>
      <c r="X1781" t="s">
        <v>5147</v>
      </c>
      <c r="Y1781" t="b">
        <v>0</v>
      </c>
      <c r="Z1781" t="s">
        <v>2081</v>
      </c>
    </row>
    <row r="1782" spans="1:26" x14ac:dyDescent="0.35">
      <c r="A1782" t="s">
        <v>1429</v>
      </c>
      <c r="B1782" t="s">
        <v>1430</v>
      </c>
      <c r="C1782" t="s">
        <v>2967</v>
      </c>
      <c r="D1782" t="s">
        <v>1963</v>
      </c>
      <c r="E1782" t="s">
        <v>2020</v>
      </c>
      <c r="F1782" t="s">
        <v>2055</v>
      </c>
      <c r="G1782" t="s">
        <v>2056</v>
      </c>
      <c r="H1782" t="s">
        <v>2023</v>
      </c>
      <c r="I1782" t="s">
        <v>4318</v>
      </c>
      <c r="J1782" t="s">
        <v>1963</v>
      </c>
      <c r="K1782" t="s">
        <v>5148</v>
      </c>
      <c r="L1782" t="s">
        <v>2046</v>
      </c>
      <c r="M1782" t="s">
        <v>4320</v>
      </c>
      <c r="N1782" t="s">
        <v>4321</v>
      </c>
      <c r="O1782" t="s">
        <v>2047</v>
      </c>
      <c r="P1782" t="s">
        <v>2048</v>
      </c>
      <c r="Q1782" t="s">
        <v>4322</v>
      </c>
      <c r="R1782" t="s">
        <v>14</v>
      </c>
      <c r="S1782" t="s">
        <v>2069</v>
      </c>
      <c r="T1782" t="s">
        <v>2070</v>
      </c>
      <c r="U1782" t="s">
        <v>2052</v>
      </c>
      <c r="V1782" t="s">
        <v>14</v>
      </c>
      <c r="W1782" t="b">
        <v>1</v>
      </c>
      <c r="X1782" t="s">
        <v>5149</v>
      </c>
      <c r="Y1782" t="b">
        <v>0</v>
      </c>
      <c r="Z1782" t="s">
        <v>2053</v>
      </c>
    </row>
    <row r="1783" spans="1:26" x14ac:dyDescent="0.35">
      <c r="A1783" t="s">
        <v>1429</v>
      </c>
      <c r="B1783" t="s">
        <v>1430</v>
      </c>
      <c r="C1783" t="s">
        <v>2967</v>
      </c>
      <c r="D1783" t="s">
        <v>1963</v>
      </c>
      <c r="E1783" t="s">
        <v>2020</v>
      </c>
      <c r="F1783" t="s">
        <v>2055</v>
      </c>
      <c r="G1783" t="s">
        <v>2056</v>
      </c>
      <c r="H1783" t="s">
        <v>2023</v>
      </c>
      <c r="I1783" t="s">
        <v>2768</v>
      </c>
      <c r="J1783" t="s">
        <v>1963</v>
      </c>
      <c r="K1783" t="s">
        <v>5148</v>
      </c>
      <c r="L1783" t="s">
        <v>2046</v>
      </c>
      <c r="M1783" t="s">
        <v>2047</v>
      </c>
      <c r="N1783" t="s">
        <v>2048</v>
      </c>
      <c r="O1783" t="s">
        <v>2047</v>
      </c>
      <c r="P1783" t="s">
        <v>2048</v>
      </c>
      <c r="Q1783" t="s">
        <v>14</v>
      </c>
      <c r="R1783" t="s">
        <v>14</v>
      </c>
      <c r="S1783" t="s">
        <v>14</v>
      </c>
      <c r="T1783" t="s">
        <v>14</v>
      </c>
      <c r="U1783" t="s">
        <v>2052</v>
      </c>
      <c r="V1783" t="s">
        <v>14</v>
      </c>
      <c r="W1783" t="b">
        <v>1</v>
      </c>
      <c r="X1783" t="s">
        <v>5149</v>
      </c>
      <c r="Y1783" t="b">
        <v>0</v>
      </c>
      <c r="Z1783" t="s">
        <v>2053</v>
      </c>
    </row>
    <row r="1784" spans="1:26" x14ac:dyDescent="0.35">
      <c r="A1784" t="s">
        <v>1433</v>
      </c>
      <c r="B1784" t="s">
        <v>1434</v>
      </c>
      <c r="C1784" t="s">
        <v>2967</v>
      </c>
      <c r="D1784" t="s">
        <v>1963</v>
      </c>
      <c r="E1784" t="s">
        <v>2020</v>
      </c>
      <c r="F1784" t="s">
        <v>2055</v>
      </c>
      <c r="G1784" t="s">
        <v>2056</v>
      </c>
      <c r="H1784" t="s">
        <v>2023</v>
      </c>
      <c r="I1784" t="s">
        <v>1906</v>
      </c>
      <c r="J1784" t="s">
        <v>1963</v>
      </c>
      <c r="K1784" t="s">
        <v>5150</v>
      </c>
      <c r="L1784" t="s">
        <v>2046</v>
      </c>
      <c r="M1784" t="s">
        <v>3204</v>
      </c>
      <c r="N1784" t="s">
        <v>3205</v>
      </c>
      <c r="O1784" t="s">
        <v>3204</v>
      </c>
      <c r="P1784" t="s">
        <v>3205</v>
      </c>
      <c r="Q1784" t="s">
        <v>14</v>
      </c>
      <c r="R1784" t="s">
        <v>14</v>
      </c>
      <c r="S1784" t="s">
        <v>14</v>
      </c>
      <c r="T1784" t="s">
        <v>14</v>
      </c>
      <c r="U1784" t="s">
        <v>2030</v>
      </c>
      <c r="V1784" t="s">
        <v>14</v>
      </c>
      <c r="W1784" t="b">
        <v>1</v>
      </c>
      <c r="X1784" t="s">
        <v>5151</v>
      </c>
      <c r="Y1784" t="b">
        <v>0</v>
      </c>
      <c r="Z1784" t="s">
        <v>2053</v>
      </c>
    </row>
    <row r="1785" spans="1:26" x14ac:dyDescent="0.35">
      <c r="A1785" t="s">
        <v>1433</v>
      </c>
      <c r="B1785" t="s">
        <v>1434</v>
      </c>
      <c r="C1785" t="s">
        <v>2967</v>
      </c>
      <c r="D1785" t="s">
        <v>1963</v>
      </c>
      <c r="E1785" t="s">
        <v>2020</v>
      </c>
      <c r="F1785" t="s">
        <v>2055</v>
      </c>
      <c r="G1785" t="s">
        <v>2056</v>
      </c>
      <c r="H1785" t="s">
        <v>2023</v>
      </c>
      <c r="I1785" t="s">
        <v>1423</v>
      </c>
      <c r="J1785" t="s">
        <v>1963</v>
      </c>
      <c r="K1785" t="s">
        <v>5150</v>
      </c>
      <c r="L1785" t="s">
        <v>2046</v>
      </c>
      <c r="M1785" t="s">
        <v>3207</v>
      </c>
      <c r="N1785" t="s">
        <v>3208</v>
      </c>
      <c r="O1785" t="s">
        <v>3207</v>
      </c>
      <c r="P1785" t="s">
        <v>3208</v>
      </c>
      <c r="Q1785" t="s">
        <v>14</v>
      </c>
      <c r="R1785" t="s">
        <v>14</v>
      </c>
      <c r="S1785" t="s">
        <v>14</v>
      </c>
      <c r="T1785" t="s">
        <v>14</v>
      </c>
      <c r="U1785" t="s">
        <v>2030</v>
      </c>
      <c r="V1785" t="s">
        <v>14</v>
      </c>
      <c r="W1785" t="b">
        <v>1</v>
      </c>
      <c r="X1785" t="s">
        <v>5151</v>
      </c>
      <c r="Y1785" t="b">
        <v>0</v>
      </c>
      <c r="Z1785" t="s">
        <v>2053</v>
      </c>
    </row>
    <row r="1786" spans="1:26" x14ac:dyDescent="0.35">
      <c r="A1786" t="s">
        <v>1435</v>
      </c>
      <c r="B1786" t="s">
        <v>1436</v>
      </c>
      <c r="C1786" t="s">
        <v>2967</v>
      </c>
      <c r="D1786" t="s">
        <v>1963</v>
      </c>
      <c r="E1786" t="s">
        <v>2020</v>
      </c>
      <c r="F1786" t="s">
        <v>2055</v>
      </c>
      <c r="G1786" t="s">
        <v>2056</v>
      </c>
      <c r="H1786" t="s">
        <v>2023</v>
      </c>
      <c r="I1786" t="s">
        <v>1423</v>
      </c>
      <c r="J1786" t="s">
        <v>1963</v>
      </c>
      <c r="K1786" t="s">
        <v>5152</v>
      </c>
      <c r="L1786" t="s">
        <v>2046</v>
      </c>
      <c r="M1786" t="s">
        <v>3207</v>
      </c>
      <c r="N1786" t="s">
        <v>3208</v>
      </c>
      <c r="O1786" t="s">
        <v>3207</v>
      </c>
      <c r="P1786" t="s">
        <v>3208</v>
      </c>
      <c r="Q1786" t="s">
        <v>14</v>
      </c>
      <c r="R1786" t="s">
        <v>14</v>
      </c>
      <c r="S1786" t="s">
        <v>14</v>
      </c>
      <c r="T1786" t="s">
        <v>14</v>
      </c>
      <c r="U1786" t="s">
        <v>2030</v>
      </c>
      <c r="V1786" t="s">
        <v>14</v>
      </c>
      <c r="W1786" t="b">
        <v>1</v>
      </c>
      <c r="X1786" t="s">
        <v>5153</v>
      </c>
      <c r="Y1786" t="b">
        <v>0</v>
      </c>
      <c r="Z1786" t="s">
        <v>2053</v>
      </c>
    </row>
    <row r="1787" spans="1:26" x14ac:dyDescent="0.35">
      <c r="A1787" t="s">
        <v>1435</v>
      </c>
      <c r="B1787" t="s">
        <v>1436</v>
      </c>
      <c r="C1787" t="s">
        <v>2967</v>
      </c>
      <c r="D1787" t="s">
        <v>1963</v>
      </c>
      <c r="E1787" t="s">
        <v>2020</v>
      </c>
      <c r="F1787" t="s">
        <v>2055</v>
      </c>
      <c r="G1787" t="s">
        <v>2056</v>
      </c>
      <c r="H1787" t="s">
        <v>2023</v>
      </c>
      <c r="I1787" t="s">
        <v>1906</v>
      </c>
      <c r="J1787" t="s">
        <v>1963</v>
      </c>
      <c r="K1787" t="s">
        <v>5152</v>
      </c>
      <c r="L1787" t="s">
        <v>2046</v>
      </c>
      <c r="M1787" t="s">
        <v>3204</v>
      </c>
      <c r="N1787" t="s">
        <v>3205</v>
      </c>
      <c r="O1787" t="s">
        <v>3204</v>
      </c>
      <c r="P1787" t="s">
        <v>3205</v>
      </c>
      <c r="Q1787" t="s">
        <v>14</v>
      </c>
      <c r="R1787" t="s">
        <v>14</v>
      </c>
      <c r="S1787" t="s">
        <v>14</v>
      </c>
      <c r="T1787" t="s">
        <v>14</v>
      </c>
      <c r="U1787" t="s">
        <v>2030</v>
      </c>
      <c r="V1787" t="s">
        <v>14</v>
      </c>
      <c r="W1787" t="b">
        <v>1</v>
      </c>
      <c r="X1787" t="s">
        <v>5153</v>
      </c>
      <c r="Y1787" t="b">
        <v>0</v>
      </c>
      <c r="Z1787" t="s">
        <v>2053</v>
      </c>
    </row>
    <row r="1788" spans="1:26" x14ac:dyDescent="0.35">
      <c r="A1788" t="s">
        <v>1437</v>
      </c>
      <c r="B1788" t="s">
        <v>1438</v>
      </c>
      <c r="C1788" t="s">
        <v>2967</v>
      </c>
      <c r="D1788" t="s">
        <v>1963</v>
      </c>
      <c r="E1788" t="s">
        <v>2020</v>
      </c>
      <c r="F1788" t="s">
        <v>2161</v>
      </c>
      <c r="G1788" t="s">
        <v>2162</v>
      </c>
      <c r="H1788" t="s">
        <v>2023</v>
      </c>
      <c r="I1788" t="s">
        <v>80</v>
      </c>
      <c r="J1788" t="s">
        <v>1963</v>
      </c>
      <c r="K1788" t="s">
        <v>5154</v>
      </c>
      <c r="L1788" t="s">
        <v>2046</v>
      </c>
      <c r="M1788" t="s">
        <v>2026</v>
      </c>
      <c r="N1788" t="s">
        <v>2027</v>
      </c>
      <c r="O1788" t="s">
        <v>2650</v>
      </c>
      <c r="P1788" t="s">
        <v>2651</v>
      </c>
      <c r="Q1788" t="s">
        <v>14</v>
      </c>
      <c r="R1788" t="s">
        <v>14</v>
      </c>
      <c r="S1788" t="s">
        <v>3083</v>
      </c>
      <c r="T1788" t="s">
        <v>3084</v>
      </c>
      <c r="U1788" t="s">
        <v>2030</v>
      </c>
      <c r="V1788" t="s">
        <v>14</v>
      </c>
      <c r="W1788" t="b">
        <v>1</v>
      </c>
      <c r="X1788" t="s">
        <v>5155</v>
      </c>
      <c r="Y1788" t="b">
        <v>0</v>
      </c>
      <c r="Z1788" t="s">
        <v>2032</v>
      </c>
    </row>
    <row r="1789" spans="1:26" x14ac:dyDescent="0.35">
      <c r="A1789" t="s">
        <v>1437</v>
      </c>
      <c r="B1789" t="s">
        <v>1438</v>
      </c>
      <c r="C1789" t="s">
        <v>2967</v>
      </c>
      <c r="D1789" t="s">
        <v>1963</v>
      </c>
      <c r="E1789" t="s">
        <v>2020</v>
      </c>
      <c r="F1789" t="s">
        <v>2161</v>
      </c>
      <c r="G1789" t="s">
        <v>2162</v>
      </c>
      <c r="H1789" t="s">
        <v>2023</v>
      </c>
      <c r="I1789" t="s">
        <v>3086</v>
      </c>
      <c r="J1789" t="s">
        <v>1963</v>
      </c>
      <c r="K1789" t="s">
        <v>5154</v>
      </c>
      <c r="L1789" t="s">
        <v>2046</v>
      </c>
      <c r="M1789" t="s">
        <v>2026</v>
      </c>
      <c r="N1789" t="s">
        <v>2027</v>
      </c>
      <c r="O1789" t="s">
        <v>2650</v>
      </c>
      <c r="P1789" t="s">
        <v>2651</v>
      </c>
      <c r="Q1789" t="s">
        <v>14</v>
      </c>
      <c r="R1789" t="s">
        <v>14</v>
      </c>
      <c r="S1789" t="s">
        <v>14</v>
      </c>
      <c r="T1789" t="s">
        <v>14</v>
      </c>
      <c r="U1789" t="s">
        <v>2030</v>
      </c>
      <c r="V1789" t="s">
        <v>14</v>
      </c>
      <c r="W1789" t="b">
        <v>1</v>
      </c>
      <c r="X1789" t="s">
        <v>5155</v>
      </c>
      <c r="Y1789" t="b">
        <v>0</v>
      </c>
      <c r="Z1789" t="s">
        <v>2053</v>
      </c>
    </row>
    <row r="1790" spans="1:26" x14ac:dyDescent="0.35">
      <c r="A1790" t="s">
        <v>1439</v>
      </c>
      <c r="B1790" t="s">
        <v>1440</v>
      </c>
      <c r="C1790" t="s">
        <v>2967</v>
      </c>
      <c r="D1790" t="s">
        <v>1963</v>
      </c>
      <c r="E1790" t="s">
        <v>2020</v>
      </c>
      <c r="F1790" t="s">
        <v>2161</v>
      </c>
      <c r="G1790" t="s">
        <v>2162</v>
      </c>
      <c r="H1790" t="s">
        <v>2023</v>
      </c>
      <c r="I1790" t="s">
        <v>80</v>
      </c>
      <c r="J1790" t="s">
        <v>1963</v>
      </c>
      <c r="K1790" t="s">
        <v>5156</v>
      </c>
      <c r="L1790" t="s">
        <v>2046</v>
      </c>
      <c r="M1790" t="s">
        <v>2026</v>
      </c>
      <c r="N1790" t="s">
        <v>2027</v>
      </c>
      <c r="O1790" t="s">
        <v>2650</v>
      </c>
      <c r="P1790" t="s">
        <v>2651</v>
      </c>
      <c r="Q1790" t="s">
        <v>14</v>
      </c>
      <c r="R1790" t="s">
        <v>14</v>
      </c>
      <c r="S1790" t="s">
        <v>3083</v>
      </c>
      <c r="T1790" t="s">
        <v>3084</v>
      </c>
      <c r="U1790" t="s">
        <v>2030</v>
      </c>
      <c r="V1790" t="s">
        <v>14</v>
      </c>
      <c r="W1790" t="b">
        <v>1</v>
      </c>
      <c r="X1790" t="s">
        <v>5157</v>
      </c>
      <c r="Y1790" t="b">
        <v>0</v>
      </c>
      <c r="Z1790" t="s">
        <v>2032</v>
      </c>
    </row>
    <row r="1791" spans="1:26" x14ac:dyDescent="0.35">
      <c r="A1791" t="s">
        <v>1441</v>
      </c>
      <c r="B1791" t="s">
        <v>1442</v>
      </c>
      <c r="C1791" t="s">
        <v>2967</v>
      </c>
      <c r="D1791" t="s">
        <v>1963</v>
      </c>
      <c r="E1791" t="s">
        <v>2020</v>
      </c>
      <c r="F1791" t="s">
        <v>2161</v>
      </c>
      <c r="G1791" t="s">
        <v>2162</v>
      </c>
      <c r="H1791" t="s">
        <v>2023</v>
      </c>
      <c r="I1791" t="s">
        <v>80</v>
      </c>
      <c r="J1791" t="s">
        <v>1963</v>
      </c>
      <c r="K1791" t="s">
        <v>5158</v>
      </c>
      <c r="L1791" t="s">
        <v>5159</v>
      </c>
      <c r="M1791" t="s">
        <v>2026</v>
      </c>
      <c r="N1791" t="s">
        <v>2027</v>
      </c>
      <c r="O1791" t="s">
        <v>2650</v>
      </c>
      <c r="P1791" t="s">
        <v>2651</v>
      </c>
      <c r="Q1791" t="s">
        <v>14</v>
      </c>
      <c r="R1791" t="s">
        <v>14</v>
      </c>
      <c r="S1791" t="s">
        <v>3083</v>
      </c>
      <c r="T1791" t="s">
        <v>3084</v>
      </c>
      <c r="U1791" t="s">
        <v>2030</v>
      </c>
      <c r="V1791" t="s">
        <v>14</v>
      </c>
      <c r="W1791" t="b">
        <v>1</v>
      </c>
      <c r="X1791" t="s">
        <v>5160</v>
      </c>
      <c r="Y1791" t="b">
        <v>0</v>
      </c>
      <c r="Z1791" t="s">
        <v>2032</v>
      </c>
    </row>
    <row r="1792" spans="1:26" x14ac:dyDescent="0.35">
      <c r="A1792" t="s">
        <v>1443</v>
      </c>
      <c r="B1792" t="s">
        <v>1444</v>
      </c>
      <c r="C1792" t="s">
        <v>2967</v>
      </c>
      <c r="D1792" t="s">
        <v>1963</v>
      </c>
      <c r="E1792" t="s">
        <v>2020</v>
      </c>
      <c r="F1792" t="s">
        <v>2161</v>
      </c>
      <c r="G1792" t="s">
        <v>2162</v>
      </c>
      <c r="H1792" t="s">
        <v>2023</v>
      </c>
      <c r="I1792" t="s">
        <v>80</v>
      </c>
      <c r="J1792" t="s">
        <v>1963</v>
      </c>
      <c r="K1792" t="s">
        <v>5161</v>
      </c>
      <c r="L1792" t="s">
        <v>5159</v>
      </c>
      <c r="M1792" t="s">
        <v>2026</v>
      </c>
      <c r="N1792" t="s">
        <v>2027</v>
      </c>
      <c r="O1792" t="s">
        <v>2650</v>
      </c>
      <c r="P1792" t="s">
        <v>2651</v>
      </c>
      <c r="Q1792" t="s">
        <v>14</v>
      </c>
      <c r="R1792" t="s">
        <v>14</v>
      </c>
      <c r="S1792" t="s">
        <v>3083</v>
      </c>
      <c r="T1792" t="s">
        <v>3084</v>
      </c>
      <c r="U1792" t="s">
        <v>2030</v>
      </c>
      <c r="V1792" t="s">
        <v>14</v>
      </c>
      <c r="W1792" t="b">
        <v>1</v>
      </c>
      <c r="X1792" t="s">
        <v>5162</v>
      </c>
      <c r="Y1792" t="b">
        <v>0</v>
      </c>
      <c r="Z1792" t="s">
        <v>2032</v>
      </c>
    </row>
    <row r="1793" spans="1:26" x14ac:dyDescent="0.35">
      <c r="A1793" t="s">
        <v>1445</v>
      </c>
      <c r="B1793" t="s">
        <v>1446</v>
      </c>
      <c r="C1793" t="s">
        <v>2967</v>
      </c>
      <c r="D1793" t="s">
        <v>1963</v>
      </c>
      <c r="E1793" t="s">
        <v>2020</v>
      </c>
      <c r="F1793" t="s">
        <v>2161</v>
      </c>
      <c r="G1793" t="s">
        <v>2162</v>
      </c>
      <c r="H1793" t="s">
        <v>2023</v>
      </c>
      <c r="I1793" t="s">
        <v>80</v>
      </c>
      <c r="J1793" t="s">
        <v>1963</v>
      </c>
      <c r="K1793" t="s">
        <v>5163</v>
      </c>
      <c r="L1793" t="s">
        <v>5159</v>
      </c>
      <c r="M1793" t="s">
        <v>2026</v>
      </c>
      <c r="N1793" t="s">
        <v>2027</v>
      </c>
      <c r="O1793" t="s">
        <v>2650</v>
      </c>
      <c r="P1793" t="s">
        <v>2651</v>
      </c>
      <c r="Q1793" t="s">
        <v>14</v>
      </c>
      <c r="R1793" t="s">
        <v>14</v>
      </c>
      <c r="S1793" t="s">
        <v>3083</v>
      </c>
      <c r="T1793" t="s">
        <v>3084</v>
      </c>
      <c r="U1793" t="s">
        <v>2030</v>
      </c>
      <c r="V1793" t="s">
        <v>14</v>
      </c>
      <c r="W1793" t="b">
        <v>1</v>
      </c>
      <c r="X1793" t="s">
        <v>5164</v>
      </c>
      <c r="Y1793" t="b">
        <v>0</v>
      </c>
      <c r="Z1793" t="s">
        <v>2032</v>
      </c>
    </row>
    <row r="1794" spans="1:26" x14ac:dyDescent="0.35">
      <c r="A1794" t="s">
        <v>1447</v>
      </c>
      <c r="B1794" t="s">
        <v>1448</v>
      </c>
      <c r="C1794" t="s">
        <v>2967</v>
      </c>
      <c r="D1794" t="s">
        <v>1963</v>
      </c>
      <c r="E1794" t="s">
        <v>2020</v>
      </c>
      <c r="F1794" t="s">
        <v>2161</v>
      </c>
      <c r="G1794" t="s">
        <v>2162</v>
      </c>
      <c r="H1794" t="s">
        <v>2023</v>
      </c>
      <c r="I1794" t="s">
        <v>80</v>
      </c>
      <c r="J1794" t="s">
        <v>1963</v>
      </c>
      <c r="K1794" t="s">
        <v>5165</v>
      </c>
      <c r="L1794" t="s">
        <v>5159</v>
      </c>
      <c r="M1794" t="s">
        <v>2026</v>
      </c>
      <c r="N1794" t="s">
        <v>2027</v>
      </c>
      <c r="O1794" t="s">
        <v>2650</v>
      </c>
      <c r="P1794" t="s">
        <v>2651</v>
      </c>
      <c r="Q1794" t="s">
        <v>14</v>
      </c>
      <c r="R1794" t="s">
        <v>14</v>
      </c>
      <c r="S1794" t="s">
        <v>3083</v>
      </c>
      <c r="T1794" t="s">
        <v>3084</v>
      </c>
      <c r="U1794" t="s">
        <v>2030</v>
      </c>
      <c r="V1794" t="s">
        <v>14</v>
      </c>
      <c r="W1794" t="b">
        <v>1</v>
      </c>
      <c r="X1794" t="s">
        <v>5166</v>
      </c>
      <c r="Y1794" t="b">
        <v>0</v>
      </c>
      <c r="Z1794" t="s">
        <v>2032</v>
      </c>
    </row>
    <row r="1795" spans="1:26" x14ac:dyDescent="0.35">
      <c r="A1795" t="s">
        <v>1449</v>
      </c>
      <c r="B1795" t="s">
        <v>1450</v>
      </c>
      <c r="C1795" t="s">
        <v>2967</v>
      </c>
      <c r="D1795" t="s">
        <v>1963</v>
      </c>
      <c r="E1795" t="s">
        <v>2020</v>
      </c>
      <c r="F1795" t="s">
        <v>2161</v>
      </c>
      <c r="G1795" t="s">
        <v>2162</v>
      </c>
      <c r="H1795" t="s">
        <v>2023</v>
      </c>
      <c r="I1795" t="s">
        <v>80</v>
      </c>
      <c r="J1795" t="s">
        <v>1963</v>
      </c>
      <c r="K1795" t="s">
        <v>5167</v>
      </c>
      <c r="L1795" t="s">
        <v>2046</v>
      </c>
      <c r="M1795" t="s">
        <v>2026</v>
      </c>
      <c r="N1795" t="s">
        <v>2027</v>
      </c>
      <c r="O1795" t="s">
        <v>2650</v>
      </c>
      <c r="P1795" t="s">
        <v>2651</v>
      </c>
      <c r="Q1795" t="s">
        <v>14</v>
      </c>
      <c r="R1795" t="s">
        <v>14</v>
      </c>
      <c r="S1795" t="s">
        <v>3083</v>
      </c>
      <c r="T1795" t="s">
        <v>3084</v>
      </c>
      <c r="U1795" t="s">
        <v>2030</v>
      </c>
      <c r="V1795" t="s">
        <v>14</v>
      </c>
      <c r="W1795" t="b">
        <v>1</v>
      </c>
      <c r="X1795" t="s">
        <v>5168</v>
      </c>
      <c r="Y1795" t="b">
        <v>0</v>
      </c>
      <c r="Z1795" t="s">
        <v>2032</v>
      </c>
    </row>
    <row r="1796" spans="1:26" x14ac:dyDescent="0.35">
      <c r="A1796" t="s">
        <v>1451</v>
      </c>
      <c r="B1796" t="s">
        <v>5169</v>
      </c>
      <c r="C1796" t="s">
        <v>2967</v>
      </c>
      <c r="D1796" t="s">
        <v>1963</v>
      </c>
      <c r="E1796" t="s">
        <v>2020</v>
      </c>
      <c r="F1796" t="s">
        <v>2161</v>
      </c>
      <c r="G1796" t="s">
        <v>2162</v>
      </c>
      <c r="H1796" t="s">
        <v>2023</v>
      </c>
      <c r="I1796" t="s">
        <v>80</v>
      </c>
      <c r="J1796" t="s">
        <v>1963</v>
      </c>
      <c r="K1796" t="s">
        <v>5170</v>
      </c>
      <c r="L1796" t="s">
        <v>2046</v>
      </c>
      <c r="M1796" t="s">
        <v>2026</v>
      </c>
      <c r="N1796" t="s">
        <v>2027</v>
      </c>
      <c r="O1796" t="s">
        <v>2650</v>
      </c>
      <c r="P1796" t="s">
        <v>2651</v>
      </c>
      <c r="Q1796" t="s">
        <v>14</v>
      </c>
      <c r="R1796" t="s">
        <v>14</v>
      </c>
      <c r="S1796" t="s">
        <v>3083</v>
      </c>
      <c r="T1796" t="s">
        <v>3084</v>
      </c>
      <c r="U1796" t="s">
        <v>2030</v>
      </c>
      <c r="V1796" t="s">
        <v>14</v>
      </c>
      <c r="W1796" t="b">
        <v>1</v>
      </c>
      <c r="X1796" t="s">
        <v>5171</v>
      </c>
      <c r="Y1796" t="b">
        <v>0</v>
      </c>
      <c r="Z1796" t="s">
        <v>2032</v>
      </c>
    </row>
    <row r="1797" spans="1:26" x14ac:dyDescent="0.35">
      <c r="A1797" t="s">
        <v>1452</v>
      </c>
      <c r="B1797" t="s">
        <v>1453</v>
      </c>
      <c r="C1797" t="s">
        <v>2967</v>
      </c>
      <c r="D1797" t="s">
        <v>1963</v>
      </c>
      <c r="E1797" t="s">
        <v>2020</v>
      </c>
      <c r="F1797" t="s">
        <v>2161</v>
      </c>
      <c r="G1797" t="s">
        <v>2162</v>
      </c>
      <c r="H1797" t="s">
        <v>2023</v>
      </c>
      <c r="I1797" t="s">
        <v>80</v>
      </c>
      <c r="J1797" t="s">
        <v>1963</v>
      </c>
      <c r="K1797" t="s">
        <v>5172</v>
      </c>
      <c r="L1797" t="s">
        <v>2046</v>
      </c>
      <c r="M1797" t="s">
        <v>2026</v>
      </c>
      <c r="N1797" t="s">
        <v>2027</v>
      </c>
      <c r="O1797" t="s">
        <v>2650</v>
      </c>
      <c r="P1797" t="s">
        <v>2651</v>
      </c>
      <c r="Q1797" t="s">
        <v>14</v>
      </c>
      <c r="R1797" t="s">
        <v>14</v>
      </c>
      <c r="S1797" t="s">
        <v>3083</v>
      </c>
      <c r="T1797" t="s">
        <v>3084</v>
      </c>
      <c r="U1797" t="s">
        <v>2030</v>
      </c>
      <c r="V1797" t="s">
        <v>14</v>
      </c>
      <c r="W1797" t="b">
        <v>1</v>
      </c>
      <c r="X1797" t="s">
        <v>5173</v>
      </c>
      <c r="Y1797" t="b">
        <v>0</v>
      </c>
      <c r="Z1797" t="s">
        <v>2032</v>
      </c>
    </row>
    <row r="1798" spans="1:26" x14ac:dyDescent="0.35">
      <c r="A1798" t="s">
        <v>1454</v>
      </c>
      <c r="B1798" t="s">
        <v>1455</v>
      </c>
      <c r="C1798" t="s">
        <v>2967</v>
      </c>
      <c r="D1798" t="s">
        <v>1963</v>
      </c>
      <c r="E1798" t="s">
        <v>2020</v>
      </c>
      <c r="F1798" t="s">
        <v>2021</v>
      </c>
      <c r="G1798" t="s">
        <v>2022</v>
      </c>
      <c r="H1798" t="s">
        <v>2023</v>
      </c>
      <c r="I1798" t="s">
        <v>80</v>
      </c>
      <c r="J1798" t="s">
        <v>1963</v>
      </c>
      <c r="K1798" t="s">
        <v>5174</v>
      </c>
      <c r="L1798" t="s">
        <v>2046</v>
      </c>
      <c r="M1798" t="s">
        <v>2026</v>
      </c>
      <c r="N1798" t="s">
        <v>2027</v>
      </c>
      <c r="O1798" t="s">
        <v>2650</v>
      </c>
      <c r="P1798" t="s">
        <v>2651</v>
      </c>
      <c r="Q1798" t="s">
        <v>14</v>
      </c>
      <c r="R1798" t="s">
        <v>14</v>
      </c>
      <c r="S1798" t="s">
        <v>3083</v>
      </c>
      <c r="T1798" t="s">
        <v>3084</v>
      </c>
      <c r="U1798" t="s">
        <v>2030</v>
      </c>
      <c r="V1798" t="s">
        <v>14</v>
      </c>
      <c r="W1798" t="b">
        <v>1</v>
      </c>
      <c r="X1798" t="s">
        <v>5175</v>
      </c>
      <c r="Y1798" t="b">
        <v>0</v>
      </c>
      <c r="Z1798" t="s">
        <v>2032</v>
      </c>
    </row>
    <row r="1799" spans="1:26" x14ac:dyDescent="0.35">
      <c r="A1799" t="s">
        <v>1456</v>
      </c>
      <c r="B1799" t="s">
        <v>1457</v>
      </c>
      <c r="C1799" t="s">
        <v>2967</v>
      </c>
      <c r="D1799" t="s">
        <v>1963</v>
      </c>
      <c r="E1799" t="s">
        <v>2020</v>
      </c>
      <c r="F1799" t="s">
        <v>2021</v>
      </c>
      <c r="G1799" t="s">
        <v>2022</v>
      </c>
      <c r="H1799" t="s">
        <v>2023</v>
      </c>
      <c r="I1799" t="s">
        <v>80</v>
      </c>
      <c r="J1799" t="s">
        <v>1963</v>
      </c>
      <c r="K1799" t="s">
        <v>5176</v>
      </c>
      <c r="L1799" t="s">
        <v>2046</v>
      </c>
      <c r="M1799" t="s">
        <v>2026</v>
      </c>
      <c r="N1799" t="s">
        <v>2027</v>
      </c>
      <c r="O1799" t="s">
        <v>2650</v>
      </c>
      <c r="P1799" t="s">
        <v>2651</v>
      </c>
      <c r="Q1799" t="s">
        <v>14</v>
      </c>
      <c r="R1799" t="s">
        <v>14</v>
      </c>
      <c r="S1799" t="s">
        <v>3083</v>
      </c>
      <c r="T1799" t="s">
        <v>3084</v>
      </c>
      <c r="U1799" t="s">
        <v>2030</v>
      </c>
      <c r="V1799" t="s">
        <v>14</v>
      </c>
      <c r="W1799" t="b">
        <v>1</v>
      </c>
      <c r="X1799" t="s">
        <v>5177</v>
      </c>
      <c r="Y1799" t="b">
        <v>0</v>
      </c>
      <c r="Z1799" t="s">
        <v>2032</v>
      </c>
    </row>
    <row r="1800" spans="1:26" x14ac:dyDescent="0.35">
      <c r="A1800" t="s">
        <v>1458</v>
      </c>
      <c r="B1800" t="s">
        <v>1459</v>
      </c>
      <c r="C1800" t="s">
        <v>2967</v>
      </c>
      <c r="D1800" t="s">
        <v>1963</v>
      </c>
      <c r="E1800" t="s">
        <v>2020</v>
      </c>
      <c r="F1800" t="s">
        <v>2021</v>
      </c>
      <c r="G1800" t="s">
        <v>2022</v>
      </c>
      <c r="H1800" t="s">
        <v>2023</v>
      </c>
      <c r="I1800" t="s">
        <v>80</v>
      </c>
      <c r="J1800" t="s">
        <v>1963</v>
      </c>
      <c r="K1800" t="s">
        <v>5178</v>
      </c>
      <c r="L1800" t="s">
        <v>2046</v>
      </c>
      <c r="M1800" t="s">
        <v>2026</v>
      </c>
      <c r="N1800" t="s">
        <v>2027</v>
      </c>
      <c r="O1800" t="s">
        <v>2650</v>
      </c>
      <c r="P1800" t="s">
        <v>2651</v>
      </c>
      <c r="Q1800" t="s">
        <v>14</v>
      </c>
      <c r="R1800" t="s">
        <v>14</v>
      </c>
      <c r="S1800" t="s">
        <v>3083</v>
      </c>
      <c r="T1800" t="s">
        <v>3084</v>
      </c>
      <c r="U1800" t="s">
        <v>2030</v>
      </c>
      <c r="V1800" t="s">
        <v>14</v>
      </c>
      <c r="W1800" t="b">
        <v>1</v>
      </c>
      <c r="X1800" t="s">
        <v>5179</v>
      </c>
      <c r="Y1800" t="b">
        <v>0</v>
      </c>
      <c r="Z1800" t="s">
        <v>2032</v>
      </c>
    </row>
    <row r="1801" spans="1:26" x14ac:dyDescent="0.35">
      <c r="A1801" t="s">
        <v>1460</v>
      </c>
      <c r="B1801" t="s">
        <v>1461</v>
      </c>
      <c r="C1801" t="s">
        <v>2967</v>
      </c>
      <c r="D1801" t="s">
        <v>1963</v>
      </c>
      <c r="E1801" t="s">
        <v>2020</v>
      </c>
      <c r="F1801" t="s">
        <v>2021</v>
      </c>
      <c r="G1801" t="s">
        <v>2022</v>
      </c>
      <c r="H1801" t="s">
        <v>2023</v>
      </c>
      <c r="I1801" t="s">
        <v>80</v>
      </c>
      <c r="J1801" t="s">
        <v>1963</v>
      </c>
      <c r="K1801" t="s">
        <v>5180</v>
      </c>
      <c r="L1801" t="s">
        <v>2046</v>
      </c>
      <c r="M1801" t="s">
        <v>2026</v>
      </c>
      <c r="N1801" t="s">
        <v>2027</v>
      </c>
      <c r="O1801" t="s">
        <v>2650</v>
      </c>
      <c r="P1801" t="s">
        <v>2651</v>
      </c>
      <c r="Q1801" t="s">
        <v>14</v>
      </c>
      <c r="R1801" t="s">
        <v>14</v>
      </c>
      <c r="S1801" t="s">
        <v>3083</v>
      </c>
      <c r="T1801" t="s">
        <v>3084</v>
      </c>
      <c r="U1801" t="s">
        <v>2030</v>
      </c>
      <c r="V1801" t="s">
        <v>14</v>
      </c>
      <c r="W1801" t="b">
        <v>1</v>
      </c>
      <c r="X1801" t="s">
        <v>5181</v>
      </c>
      <c r="Y1801" t="b">
        <v>0</v>
      </c>
      <c r="Z1801" t="s">
        <v>2032</v>
      </c>
    </row>
    <row r="1802" spans="1:26" x14ac:dyDescent="0.35">
      <c r="A1802" t="s">
        <v>1462</v>
      </c>
      <c r="B1802" t="s">
        <v>1463</v>
      </c>
      <c r="C1802" t="s">
        <v>2967</v>
      </c>
      <c r="D1802" t="s">
        <v>1963</v>
      </c>
      <c r="E1802" t="s">
        <v>2020</v>
      </c>
      <c r="F1802" t="s">
        <v>2021</v>
      </c>
      <c r="G1802" t="s">
        <v>2022</v>
      </c>
      <c r="H1802" t="s">
        <v>2023</v>
      </c>
      <c r="I1802" t="s">
        <v>80</v>
      </c>
      <c r="J1802" t="s">
        <v>1963</v>
      </c>
      <c r="K1802" t="s">
        <v>5182</v>
      </c>
      <c r="L1802" t="s">
        <v>2046</v>
      </c>
      <c r="M1802" t="s">
        <v>2026</v>
      </c>
      <c r="N1802" t="s">
        <v>2027</v>
      </c>
      <c r="O1802" t="s">
        <v>2650</v>
      </c>
      <c r="P1802" t="s">
        <v>2651</v>
      </c>
      <c r="Q1802" t="s">
        <v>14</v>
      </c>
      <c r="R1802" t="s">
        <v>14</v>
      </c>
      <c r="S1802" t="s">
        <v>3083</v>
      </c>
      <c r="T1802" t="s">
        <v>3084</v>
      </c>
      <c r="U1802" t="s">
        <v>2030</v>
      </c>
      <c r="V1802" t="s">
        <v>14</v>
      </c>
      <c r="W1802" t="b">
        <v>1</v>
      </c>
      <c r="X1802" t="s">
        <v>5183</v>
      </c>
      <c r="Y1802" t="b">
        <v>0</v>
      </c>
      <c r="Z1802" t="s">
        <v>2032</v>
      </c>
    </row>
    <row r="1803" spans="1:26" x14ac:dyDescent="0.35">
      <c r="A1803" t="s">
        <v>1464</v>
      </c>
      <c r="B1803" t="s">
        <v>1465</v>
      </c>
      <c r="C1803" t="s">
        <v>2967</v>
      </c>
      <c r="D1803" t="s">
        <v>1963</v>
      </c>
      <c r="E1803" t="s">
        <v>2020</v>
      </c>
      <c r="F1803" t="s">
        <v>2021</v>
      </c>
      <c r="G1803" t="s">
        <v>2022</v>
      </c>
      <c r="H1803" t="s">
        <v>2023</v>
      </c>
      <c r="I1803" t="s">
        <v>80</v>
      </c>
      <c r="J1803" t="s">
        <v>1963</v>
      </c>
      <c r="K1803" t="s">
        <v>5184</v>
      </c>
      <c r="L1803" t="s">
        <v>2046</v>
      </c>
      <c r="M1803" t="s">
        <v>2026</v>
      </c>
      <c r="N1803" t="s">
        <v>2027</v>
      </c>
      <c r="O1803" t="s">
        <v>2650</v>
      </c>
      <c r="P1803" t="s">
        <v>2651</v>
      </c>
      <c r="Q1803" t="s">
        <v>14</v>
      </c>
      <c r="R1803" t="s">
        <v>14</v>
      </c>
      <c r="S1803" t="s">
        <v>3083</v>
      </c>
      <c r="T1803" t="s">
        <v>3084</v>
      </c>
      <c r="U1803" t="s">
        <v>2030</v>
      </c>
      <c r="V1803" t="s">
        <v>14</v>
      </c>
      <c r="W1803" t="b">
        <v>1</v>
      </c>
      <c r="X1803" t="s">
        <v>5185</v>
      </c>
      <c r="Y1803" t="b">
        <v>0</v>
      </c>
      <c r="Z1803" t="s">
        <v>2032</v>
      </c>
    </row>
    <row r="1804" spans="1:26" x14ac:dyDescent="0.35">
      <c r="A1804" t="s">
        <v>1466</v>
      </c>
      <c r="B1804" t="s">
        <v>1467</v>
      </c>
      <c r="C1804" t="s">
        <v>2967</v>
      </c>
      <c r="D1804" t="s">
        <v>1963</v>
      </c>
      <c r="E1804" t="s">
        <v>2020</v>
      </c>
      <c r="F1804" t="s">
        <v>2021</v>
      </c>
      <c r="G1804" t="s">
        <v>2022</v>
      </c>
      <c r="H1804" t="s">
        <v>2023</v>
      </c>
      <c r="I1804" t="s">
        <v>80</v>
      </c>
      <c r="J1804" t="s">
        <v>1963</v>
      </c>
      <c r="K1804" t="s">
        <v>5186</v>
      </c>
      <c r="L1804" t="s">
        <v>2046</v>
      </c>
      <c r="M1804" t="s">
        <v>2026</v>
      </c>
      <c r="N1804" t="s">
        <v>2027</v>
      </c>
      <c r="O1804" t="s">
        <v>2650</v>
      </c>
      <c r="P1804" t="s">
        <v>2651</v>
      </c>
      <c r="Q1804" t="s">
        <v>14</v>
      </c>
      <c r="R1804" t="s">
        <v>14</v>
      </c>
      <c r="S1804" t="s">
        <v>3083</v>
      </c>
      <c r="T1804" t="s">
        <v>3084</v>
      </c>
      <c r="U1804" t="s">
        <v>2030</v>
      </c>
      <c r="V1804" t="s">
        <v>14</v>
      </c>
      <c r="W1804" t="b">
        <v>1</v>
      </c>
      <c r="X1804" t="s">
        <v>5187</v>
      </c>
      <c r="Y1804" t="b">
        <v>0</v>
      </c>
      <c r="Z1804" t="s">
        <v>2032</v>
      </c>
    </row>
    <row r="1805" spans="1:26" x14ac:dyDescent="0.35">
      <c r="A1805" t="s">
        <v>1468</v>
      </c>
      <c r="B1805" t="s">
        <v>1469</v>
      </c>
      <c r="C1805" t="s">
        <v>2967</v>
      </c>
      <c r="D1805" t="s">
        <v>1963</v>
      </c>
      <c r="E1805" t="s">
        <v>2020</v>
      </c>
      <c r="F1805" t="s">
        <v>2021</v>
      </c>
      <c r="G1805" t="s">
        <v>2022</v>
      </c>
      <c r="H1805" t="s">
        <v>2023</v>
      </c>
      <c r="I1805" t="s">
        <v>80</v>
      </c>
      <c r="J1805" t="s">
        <v>1963</v>
      </c>
      <c r="K1805" t="s">
        <v>5188</v>
      </c>
      <c r="L1805" t="s">
        <v>2046</v>
      </c>
      <c r="M1805" t="s">
        <v>2026</v>
      </c>
      <c r="N1805" t="s">
        <v>2027</v>
      </c>
      <c r="O1805" t="s">
        <v>2650</v>
      </c>
      <c r="P1805" t="s">
        <v>2651</v>
      </c>
      <c r="Q1805" t="s">
        <v>14</v>
      </c>
      <c r="R1805" t="s">
        <v>14</v>
      </c>
      <c r="S1805" t="s">
        <v>3083</v>
      </c>
      <c r="T1805" t="s">
        <v>3084</v>
      </c>
      <c r="U1805" t="s">
        <v>2030</v>
      </c>
      <c r="V1805" t="s">
        <v>14</v>
      </c>
      <c r="W1805" t="b">
        <v>1</v>
      </c>
      <c r="X1805" t="s">
        <v>5189</v>
      </c>
      <c r="Y1805" t="b">
        <v>0</v>
      </c>
      <c r="Z1805" t="s">
        <v>2032</v>
      </c>
    </row>
    <row r="1806" spans="1:26" x14ac:dyDescent="0.35">
      <c r="A1806" t="s">
        <v>1470</v>
      </c>
      <c r="B1806" t="s">
        <v>1471</v>
      </c>
      <c r="C1806" t="s">
        <v>2967</v>
      </c>
      <c r="D1806" t="s">
        <v>1963</v>
      </c>
      <c r="E1806" t="s">
        <v>2020</v>
      </c>
      <c r="F1806" t="s">
        <v>2021</v>
      </c>
      <c r="G1806" t="s">
        <v>2022</v>
      </c>
      <c r="H1806" t="s">
        <v>2023</v>
      </c>
      <c r="I1806" t="s">
        <v>80</v>
      </c>
      <c r="J1806" t="s">
        <v>1963</v>
      </c>
      <c r="K1806" t="s">
        <v>5190</v>
      </c>
      <c r="L1806" t="s">
        <v>2046</v>
      </c>
      <c r="M1806" t="s">
        <v>2026</v>
      </c>
      <c r="N1806" t="s">
        <v>2027</v>
      </c>
      <c r="O1806" t="s">
        <v>2650</v>
      </c>
      <c r="P1806" t="s">
        <v>2651</v>
      </c>
      <c r="Q1806" t="s">
        <v>14</v>
      </c>
      <c r="R1806" t="s">
        <v>14</v>
      </c>
      <c r="S1806" t="s">
        <v>3083</v>
      </c>
      <c r="T1806" t="s">
        <v>3084</v>
      </c>
      <c r="U1806" t="s">
        <v>2030</v>
      </c>
      <c r="V1806" t="s">
        <v>14</v>
      </c>
      <c r="W1806" t="b">
        <v>1</v>
      </c>
      <c r="X1806" t="s">
        <v>5191</v>
      </c>
      <c r="Y1806" t="b">
        <v>0</v>
      </c>
      <c r="Z1806" t="s">
        <v>2032</v>
      </c>
    </row>
    <row r="1807" spans="1:26" x14ac:dyDescent="0.35">
      <c r="A1807" t="s">
        <v>1472</v>
      </c>
      <c r="B1807" t="s">
        <v>1473</v>
      </c>
      <c r="C1807" t="s">
        <v>2967</v>
      </c>
      <c r="D1807" t="s">
        <v>1963</v>
      </c>
      <c r="E1807" t="s">
        <v>2020</v>
      </c>
      <c r="F1807" t="s">
        <v>2021</v>
      </c>
      <c r="G1807" t="s">
        <v>2022</v>
      </c>
      <c r="H1807" t="s">
        <v>2023</v>
      </c>
      <c r="I1807" t="s">
        <v>1431</v>
      </c>
      <c r="J1807" t="s">
        <v>1963</v>
      </c>
      <c r="K1807" t="s">
        <v>5192</v>
      </c>
      <c r="L1807" t="s">
        <v>2046</v>
      </c>
      <c r="M1807" t="s">
        <v>2026</v>
      </c>
      <c r="N1807" t="s">
        <v>2027</v>
      </c>
      <c r="O1807" t="s">
        <v>2650</v>
      </c>
      <c r="P1807" t="s">
        <v>2651</v>
      </c>
      <c r="Q1807" t="s">
        <v>14</v>
      </c>
      <c r="R1807" t="s">
        <v>14</v>
      </c>
      <c r="S1807" t="s">
        <v>14</v>
      </c>
      <c r="T1807" t="s">
        <v>14</v>
      </c>
      <c r="U1807" t="s">
        <v>2030</v>
      </c>
      <c r="V1807" t="s">
        <v>14</v>
      </c>
      <c r="W1807" t="b">
        <v>1</v>
      </c>
      <c r="X1807" t="s">
        <v>5193</v>
      </c>
      <c r="Y1807" t="b">
        <v>0</v>
      </c>
      <c r="Z1807" t="s">
        <v>2053</v>
      </c>
    </row>
    <row r="1808" spans="1:26" x14ac:dyDescent="0.35">
      <c r="A1808" t="s">
        <v>1474</v>
      </c>
      <c r="B1808" t="s">
        <v>1475</v>
      </c>
      <c r="C1808" t="s">
        <v>2967</v>
      </c>
      <c r="D1808" t="s">
        <v>1963</v>
      </c>
      <c r="E1808" t="s">
        <v>2020</v>
      </c>
      <c r="F1808" t="s">
        <v>2021</v>
      </c>
      <c r="G1808" t="s">
        <v>2022</v>
      </c>
      <c r="H1808" t="s">
        <v>2023</v>
      </c>
      <c r="I1808" t="s">
        <v>1431</v>
      </c>
      <c r="J1808" t="s">
        <v>1963</v>
      </c>
      <c r="K1808" t="s">
        <v>5194</v>
      </c>
      <c r="L1808" t="s">
        <v>2046</v>
      </c>
      <c r="M1808" t="s">
        <v>2026</v>
      </c>
      <c r="N1808" t="s">
        <v>2027</v>
      </c>
      <c r="O1808" t="s">
        <v>2650</v>
      </c>
      <c r="P1808" t="s">
        <v>2651</v>
      </c>
      <c r="Q1808" t="s">
        <v>14</v>
      </c>
      <c r="R1808" t="s">
        <v>14</v>
      </c>
      <c r="S1808" t="s">
        <v>14</v>
      </c>
      <c r="T1808" t="s">
        <v>14</v>
      </c>
      <c r="U1808" t="s">
        <v>2030</v>
      </c>
      <c r="V1808" t="s">
        <v>14</v>
      </c>
      <c r="W1808" t="b">
        <v>1</v>
      </c>
      <c r="X1808" t="s">
        <v>5195</v>
      </c>
      <c r="Y1808" t="b">
        <v>0</v>
      </c>
      <c r="Z1808" t="s">
        <v>2053</v>
      </c>
    </row>
    <row r="1809" spans="1:26" x14ac:dyDescent="0.35">
      <c r="A1809" t="s">
        <v>1476</v>
      </c>
      <c r="B1809" t="s">
        <v>1477</v>
      </c>
      <c r="C1809" t="s">
        <v>2967</v>
      </c>
      <c r="D1809" t="s">
        <v>1963</v>
      </c>
      <c r="E1809" t="s">
        <v>2020</v>
      </c>
      <c r="F1809" t="s">
        <v>2021</v>
      </c>
      <c r="G1809" t="s">
        <v>2022</v>
      </c>
      <c r="H1809" t="s">
        <v>2023</v>
      </c>
      <c r="I1809" t="s">
        <v>3114</v>
      </c>
      <c r="J1809" t="s">
        <v>1963</v>
      </c>
      <c r="K1809" t="s">
        <v>5196</v>
      </c>
      <c r="L1809" t="s">
        <v>2046</v>
      </c>
      <c r="M1809" t="s">
        <v>2026</v>
      </c>
      <c r="N1809" t="s">
        <v>2027</v>
      </c>
      <c r="O1809" t="s">
        <v>2650</v>
      </c>
      <c r="P1809" t="s">
        <v>2651</v>
      </c>
      <c r="Q1809" t="s">
        <v>14</v>
      </c>
      <c r="R1809" t="s">
        <v>14</v>
      </c>
      <c r="S1809" t="s">
        <v>14</v>
      </c>
      <c r="T1809" t="s">
        <v>14</v>
      </c>
      <c r="U1809" t="s">
        <v>2030</v>
      </c>
      <c r="V1809" t="s">
        <v>14</v>
      </c>
      <c r="W1809" t="b">
        <v>1</v>
      </c>
      <c r="X1809" t="s">
        <v>5197</v>
      </c>
      <c r="Y1809" t="b">
        <v>0</v>
      </c>
      <c r="Z1809" t="s">
        <v>2032</v>
      </c>
    </row>
    <row r="1810" spans="1:26" x14ac:dyDescent="0.35">
      <c r="A1810" t="s">
        <v>1478</v>
      </c>
      <c r="B1810" t="s">
        <v>1479</v>
      </c>
      <c r="C1810" t="s">
        <v>2967</v>
      </c>
      <c r="D1810" t="s">
        <v>1963</v>
      </c>
      <c r="E1810" t="s">
        <v>2020</v>
      </c>
      <c r="F1810" t="s">
        <v>2021</v>
      </c>
      <c r="G1810" t="s">
        <v>2022</v>
      </c>
      <c r="H1810" t="s">
        <v>2023</v>
      </c>
      <c r="I1810" t="s">
        <v>1431</v>
      </c>
      <c r="J1810" t="s">
        <v>1963</v>
      </c>
      <c r="K1810" t="s">
        <v>5198</v>
      </c>
      <c r="L1810" t="s">
        <v>2046</v>
      </c>
      <c r="M1810" t="s">
        <v>2026</v>
      </c>
      <c r="N1810" t="s">
        <v>2027</v>
      </c>
      <c r="O1810" t="s">
        <v>2650</v>
      </c>
      <c r="P1810" t="s">
        <v>2651</v>
      </c>
      <c r="Q1810" t="s">
        <v>14</v>
      </c>
      <c r="R1810" t="s">
        <v>14</v>
      </c>
      <c r="S1810" t="s">
        <v>14</v>
      </c>
      <c r="T1810" t="s">
        <v>14</v>
      </c>
      <c r="U1810" t="s">
        <v>2030</v>
      </c>
      <c r="V1810" t="s">
        <v>14</v>
      </c>
      <c r="W1810" t="b">
        <v>1</v>
      </c>
      <c r="X1810" t="s">
        <v>5199</v>
      </c>
      <c r="Y1810" t="b">
        <v>0</v>
      </c>
      <c r="Z1810" t="s">
        <v>2053</v>
      </c>
    </row>
    <row r="1811" spans="1:26" x14ac:dyDescent="0.35">
      <c r="A1811" t="s">
        <v>1480</v>
      </c>
      <c r="B1811" t="s">
        <v>1481</v>
      </c>
      <c r="C1811" t="s">
        <v>2967</v>
      </c>
      <c r="D1811" t="s">
        <v>1963</v>
      </c>
      <c r="E1811" t="s">
        <v>2020</v>
      </c>
      <c r="F1811" t="s">
        <v>2021</v>
      </c>
      <c r="G1811" t="s">
        <v>2022</v>
      </c>
      <c r="H1811" t="s">
        <v>2023</v>
      </c>
      <c r="I1811" t="s">
        <v>1431</v>
      </c>
      <c r="J1811" t="s">
        <v>1963</v>
      </c>
      <c r="K1811" t="s">
        <v>5200</v>
      </c>
      <c r="L1811" t="s">
        <v>2046</v>
      </c>
      <c r="M1811" t="s">
        <v>2026</v>
      </c>
      <c r="N1811" t="s">
        <v>2027</v>
      </c>
      <c r="O1811" t="s">
        <v>2650</v>
      </c>
      <c r="P1811" t="s">
        <v>2651</v>
      </c>
      <c r="Q1811" t="s">
        <v>14</v>
      </c>
      <c r="R1811" t="s">
        <v>14</v>
      </c>
      <c r="S1811" t="s">
        <v>14</v>
      </c>
      <c r="T1811" t="s">
        <v>14</v>
      </c>
      <c r="U1811" t="s">
        <v>2030</v>
      </c>
      <c r="V1811" t="s">
        <v>14</v>
      </c>
      <c r="W1811" t="b">
        <v>1</v>
      </c>
      <c r="X1811" t="s">
        <v>5201</v>
      </c>
      <c r="Y1811" t="b">
        <v>0</v>
      </c>
      <c r="Z1811" t="s">
        <v>2053</v>
      </c>
    </row>
    <row r="1812" spans="1:26" x14ac:dyDescent="0.35">
      <c r="A1812" t="s">
        <v>1482</v>
      </c>
      <c r="B1812" t="s">
        <v>1483</v>
      </c>
      <c r="C1812" t="s">
        <v>2967</v>
      </c>
      <c r="D1812" t="s">
        <v>1963</v>
      </c>
      <c r="E1812" t="s">
        <v>2020</v>
      </c>
      <c r="F1812" t="s">
        <v>2021</v>
      </c>
      <c r="G1812" t="s">
        <v>2022</v>
      </c>
      <c r="H1812" t="s">
        <v>2023</v>
      </c>
      <c r="I1812" t="s">
        <v>1431</v>
      </c>
      <c r="J1812" t="s">
        <v>1963</v>
      </c>
      <c r="K1812" t="s">
        <v>5202</v>
      </c>
      <c r="L1812" t="s">
        <v>2046</v>
      </c>
      <c r="M1812" t="s">
        <v>2026</v>
      </c>
      <c r="N1812" t="s">
        <v>2027</v>
      </c>
      <c r="O1812" t="s">
        <v>2650</v>
      </c>
      <c r="P1812" t="s">
        <v>2651</v>
      </c>
      <c r="Q1812" t="s">
        <v>14</v>
      </c>
      <c r="R1812" t="s">
        <v>14</v>
      </c>
      <c r="S1812" t="s">
        <v>14</v>
      </c>
      <c r="T1812" t="s">
        <v>14</v>
      </c>
      <c r="U1812" t="s">
        <v>2030</v>
      </c>
      <c r="V1812" t="s">
        <v>14</v>
      </c>
      <c r="W1812" t="b">
        <v>1</v>
      </c>
      <c r="X1812" t="s">
        <v>5203</v>
      </c>
      <c r="Y1812" t="b">
        <v>0</v>
      </c>
      <c r="Z1812" t="s">
        <v>2053</v>
      </c>
    </row>
    <row r="1813" spans="1:26" x14ac:dyDescent="0.35">
      <c r="A1813" t="s">
        <v>1484</v>
      </c>
      <c r="B1813" t="s">
        <v>1485</v>
      </c>
      <c r="C1813" t="s">
        <v>2967</v>
      </c>
      <c r="D1813" t="s">
        <v>1963</v>
      </c>
      <c r="E1813" t="s">
        <v>2020</v>
      </c>
      <c r="F1813" t="s">
        <v>2021</v>
      </c>
      <c r="G1813" t="s">
        <v>2022</v>
      </c>
      <c r="H1813" t="s">
        <v>2023</v>
      </c>
      <c r="I1813" t="s">
        <v>1431</v>
      </c>
      <c r="J1813" t="s">
        <v>1963</v>
      </c>
      <c r="K1813" t="s">
        <v>5204</v>
      </c>
      <c r="L1813" t="s">
        <v>2046</v>
      </c>
      <c r="M1813" t="s">
        <v>2026</v>
      </c>
      <c r="N1813" t="s">
        <v>2027</v>
      </c>
      <c r="O1813" t="s">
        <v>2650</v>
      </c>
      <c r="P1813" t="s">
        <v>2651</v>
      </c>
      <c r="Q1813" t="s">
        <v>14</v>
      </c>
      <c r="R1813" t="s">
        <v>14</v>
      </c>
      <c r="S1813" t="s">
        <v>14</v>
      </c>
      <c r="T1813" t="s">
        <v>14</v>
      </c>
      <c r="U1813" t="s">
        <v>2030</v>
      </c>
      <c r="V1813" t="s">
        <v>14</v>
      </c>
      <c r="W1813" t="b">
        <v>1</v>
      </c>
      <c r="X1813" t="s">
        <v>5205</v>
      </c>
      <c r="Y1813" t="b">
        <v>0</v>
      </c>
      <c r="Z1813" t="s">
        <v>2053</v>
      </c>
    </row>
    <row r="1814" spans="1:26" x14ac:dyDescent="0.35">
      <c r="A1814" t="s">
        <v>1486</v>
      </c>
      <c r="B1814" t="s">
        <v>1487</v>
      </c>
      <c r="C1814" t="s">
        <v>2967</v>
      </c>
      <c r="D1814" t="s">
        <v>1963</v>
      </c>
      <c r="E1814" t="s">
        <v>2020</v>
      </c>
      <c r="F1814" t="s">
        <v>2021</v>
      </c>
      <c r="G1814" t="s">
        <v>2022</v>
      </c>
      <c r="H1814" t="s">
        <v>2023</v>
      </c>
      <c r="I1814" t="s">
        <v>1431</v>
      </c>
      <c r="J1814" t="s">
        <v>1963</v>
      </c>
      <c r="K1814" t="s">
        <v>5206</v>
      </c>
      <c r="L1814" t="s">
        <v>2046</v>
      </c>
      <c r="M1814" t="s">
        <v>2026</v>
      </c>
      <c r="N1814" t="s">
        <v>2027</v>
      </c>
      <c r="O1814" t="s">
        <v>2650</v>
      </c>
      <c r="P1814" t="s">
        <v>2651</v>
      </c>
      <c r="Q1814" t="s">
        <v>14</v>
      </c>
      <c r="R1814" t="s">
        <v>14</v>
      </c>
      <c r="S1814" t="s">
        <v>14</v>
      </c>
      <c r="T1814" t="s">
        <v>14</v>
      </c>
      <c r="U1814" t="s">
        <v>2030</v>
      </c>
      <c r="V1814" t="s">
        <v>14</v>
      </c>
      <c r="W1814" t="b">
        <v>1</v>
      </c>
      <c r="X1814" t="s">
        <v>5207</v>
      </c>
      <c r="Y1814" t="b">
        <v>0</v>
      </c>
      <c r="Z1814" t="s">
        <v>2053</v>
      </c>
    </row>
    <row r="1815" spans="1:26" x14ac:dyDescent="0.35">
      <c r="A1815" t="s">
        <v>1488</v>
      </c>
      <c r="B1815" t="s">
        <v>1489</v>
      </c>
      <c r="C1815" t="s">
        <v>2967</v>
      </c>
      <c r="D1815" t="s">
        <v>1963</v>
      </c>
      <c r="E1815" t="s">
        <v>2020</v>
      </c>
      <c r="F1815" t="s">
        <v>2021</v>
      </c>
      <c r="G1815" t="s">
        <v>2022</v>
      </c>
      <c r="H1815" t="s">
        <v>2023</v>
      </c>
      <c r="I1815" t="s">
        <v>1431</v>
      </c>
      <c r="J1815" t="s">
        <v>1963</v>
      </c>
      <c r="K1815" t="s">
        <v>5208</v>
      </c>
      <c r="L1815" t="s">
        <v>2046</v>
      </c>
      <c r="M1815" t="s">
        <v>2026</v>
      </c>
      <c r="N1815" t="s">
        <v>2027</v>
      </c>
      <c r="O1815" t="s">
        <v>2650</v>
      </c>
      <c r="P1815" t="s">
        <v>2651</v>
      </c>
      <c r="Q1815" t="s">
        <v>14</v>
      </c>
      <c r="R1815" t="s">
        <v>14</v>
      </c>
      <c r="S1815" t="s">
        <v>14</v>
      </c>
      <c r="T1815" t="s">
        <v>14</v>
      </c>
      <c r="U1815" t="s">
        <v>2030</v>
      </c>
      <c r="V1815" t="s">
        <v>14</v>
      </c>
      <c r="W1815" t="b">
        <v>1</v>
      </c>
      <c r="X1815" t="s">
        <v>5209</v>
      </c>
      <c r="Y1815" t="b">
        <v>0</v>
      </c>
      <c r="Z1815" t="s">
        <v>2053</v>
      </c>
    </row>
    <row r="1816" spans="1:26" x14ac:dyDescent="0.35">
      <c r="A1816" t="s">
        <v>1490</v>
      </c>
      <c r="B1816" t="s">
        <v>1491</v>
      </c>
      <c r="C1816" t="s">
        <v>2967</v>
      </c>
      <c r="D1816" t="s">
        <v>1963</v>
      </c>
      <c r="E1816" t="s">
        <v>2020</v>
      </c>
      <c r="F1816" t="s">
        <v>2021</v>
      </c>
      <c r="G1816" t="s">
        <v>2022</v>
      </c>
      <c r="H1816" t="s">
        <v>2023</v>
      </c>
      <c r="I1816" t="s">
        <v>1431</v>
      </c>
      <c r="J1816" t="s">
        <v>1963</v>
      </c>
      <c r="K1816" t="s">
        <v>5210</v>
      </c>
      <c r="L1816" t="s">
        <v>2046</v>
      </c>
      <c r="M1816" t="s">
        <v>2026</v>
      </c>
      <c r="N1816" t="s">
        <v>2027</v>
      </c>
      <c r="O1816" t="s">
        <v>2650</v>
      </c>
      <c r="P1816" t="s">
        <v>2651</v>
      </c>
      <c r="Q1816" t="s">
        <v>14</v>
      </c>
      <c r="R1816" t="s">
        <v>14</v>
      </c>
      <c r="S1816" t="s">
        <v>14</v>
      </c>
      <c r="T1816" t="s">
        <v>14</v>
      </c>
      <c r="U1816" t="s">
        <v>2030</v>
      </c>
      <c r="V1816" t="s">
        <v>14</v>
      </c>
      <c r="W1816" t="b">
        <v>1</v>
      </c>
      <c r="X1816" t="s">
        <v>5211</v>
      </c>
      <c r="Y1816" t="b">
        <v>0</v>
      </c>
      <c r="Z1816" t="s">
        <v>2053</v>
      </c>
    </row>
    <row r="1817" spans="1:26" x14ac:dyDescent="0.35">
      <c r="A1817" t="s">
        <v>1492</v>
      </c>
      <c r="B1817" t="s">
        <v>1493</v>
      </c>
      <c r="C1817" t="s">
        <v>2967</v>
      </c>
      <c r="D1817" t="s">
        <v>1963</v>
      </c>
      <c r="E1817" t="s">
        <v>2020</v>
      </c>
      <c r="F1817" t="s">
        <v>2021</v>
      </c>
      <c r="G1817" t="s">
        <v>2022</v>
      </c>
      <c r="H1817" t="s">
        <v>2023</v>
      </c>
      <c r="I1817" t="s">
        <v>1431</v>
      </c>
      <c r="J1817" t="s">
        <v>1963</v>
      </c>
      <c r="K1817" t="s">
        <v>5212</v>
      </c>
      <c r="L1817" t="s">
        <v>2046</v>
      </c>
      <c r="M1817" t="s">
        <v>2026</v>
      </c>
      <c r="N1817" t="s">
        <v>2027</v>
      </c>
      <c r="O1817" t="s">
        <v>2650</v>
      </c>
      <c r="P1817" t="s">
        <v>2651</v>
      </c>
      <c r="Q1817" t="s">
        <v>14</v>
      </c>
      <c r="R1817" t="s">
        <v>14</v>
      </c>
      <c r="S1817" t="s">
        <v>14</v>
      </c>
      <c r="T1817" t="s">
        <v>14</v>
      </c>
      <c r="U1817" t="s">
        <v>2030</v>
      </c>
      <c r="V1817" t="s">
        <v>14</v>
      </c>
      <c r="W1817" t="b">
        <v>1</v>
      </c>
      <c r="X1817" t="s">
        <v>5213</v>
      </c>
      <c r="Y1817" t="b">
        <v>0</v>
      </c>
      <c r="Z1817" t="s">
        <v>2053</v>
      </c>
    </row>
    <row r="1818" spans="1:26" x14ac:dyDescent="0.35">
      <c r="A1818" t="s">
        <v>1494</v>
      </c>
      <c r="B1818" t="s">
        <v>1495</v>
      </c>
      <c r="C1818" t="s">
        <v>2967</v>
      </c>
      <c r="D1818" t="s">
        <v>1963</v>
      </c>
      <c r="E1818" t="s">
        <v>2020</v>
      </c>
      <c r="F1818" t="s">
        <v>2021</v>
      </c>
      <c r="G1818" t="s">
        <v>2022</v>
      </c>
      <c r="H1818" t="s">
        <v>2023</v>
      </c>
      <c r="I1818" t="s">
        <v>3139</v>
      </c>
      <c r="J1818" t="s">
        <v>1963</v>
      </c>
      <c r="K1818" t="s">
        <v>5214</v>
      </c>
      <c r="L1818" t="s">
        <v>2046</v>
      </c>
      <c r="M1818" t="s">
        <v>2026</v>
      </c>
      <c r="N1818" t="s">
        <v>2027</v>
      </c>
      <c r="O1818" t="s">
        <v>2650</v>
      </c>
      <c r="P1818" t="s">
        <v>2651</v>
      </c>
      <c r="Q1818" t="s">
        <v>14</v>
      </c>
      <c r="R1818" t="s">
        <v>14</v>
      </c>
      <c r="S1818" t="s">
        <v>14</v>
      </c>
      <c r="T1818" t="s">
        <v>14</v>
      </c>
      <c r="U1818" t="s">
        <v>2052</v>
      </c>
      <c r="V1818" t="s">
        <v>14</v>
      </c>
      <c r="W1818" t="b">
        <v>1</v>
      </c>
      <c r="X1818" t="s">
        <v>5215</v>
      </c>
      <c r="Y1818" t="b">
        <v>0</v>
      </c>
      <c r="Z1818" t="s">
        <v>2053</v>
      </c>
    </row>
    <row r="1819" spans="1:26" x14ac:dyDescent="0.35">
      <c r="A1819" t="s">
        <v>1496</v>
      </c>
      <c r="B1819" t="s">
        <v>1497</v>
      </c>
      <c r="C1819" t="s">
        <v>2967</v>
      </c>
      <c r="D1819" t="s">
        <v>1963</v>
      </c>
      <c r="E1819" t="s">
        <v>2020</v>
      </c>
      <c r="F1819" t="s">
        <v>2021</v>
      </c>
      <c r="G1819" t="s">
        <v>2022</v>
      </c>
      <c r="H1819" t="s">
        <v>2023</v>
      </c>
      <c r="I1819" t="s">
        <v>3139</v>
      </c>
      <c r="J1819" t="s">
        <v>1963</v>
      </c>
      <c r="K1819" t="s">
        <v>5216</v>
      </c>
      <c r="L1819" t="s">
        <v>2046</v>
      </c>
      <c r="M1819" t="s">
        <v>2026</v>
      </c>
      <c r="N1819" t="s">
        <v>2027</v>
      </c>
      <c r="O1819" t="s">
        <v>2650</v>
      </c>
      <c r="P1819" t="s">
        <v>2651</v>
      </c>
      <c r="Q1819" t="s">
        <v>14</v>
      </c>
      <c r="R1819" t="s">
        <v>14</v>
      </c>
      <c r="S1819" t="s">
        <v>14</v>
      </c>
      <c r="T1819" t="s">
        <v>14</v>
      </c>
      <c r="U1819" t="s">
        <v>2052</v>
      </c>
      <c r="V1819" t="s">
        <v>14</v>
      </c>
      <c r="W1819" t="b">
        <v>1</v>
      </c>
      <c r="X1819" t="s">
        <v>5217</v>
      </c>
      <c r="Y1819" t="b">
        <v>0</v>
      </c>
      <c r="Z1819" t="s">
        <v>2053</v>
      </c>
    </row>
    <row r="1820" spans="1:26" x14ac:dyDescent="0.35">
      <c r="A1820" t="s">
        <v>1498</v>
      </c>
      <c r="B1820" t="s">
        <v>1499</v>
      </c>
      <c r="C1820" t="s">
        <v>2967</v>
      </c>
      <c r="D1820" t="s">
        <v>1963</v>
      </c>
      <c r="E1820" t="s">
        <v>2020</v>
      </c>
      <c r="F1820" t="s">
        <v>2021</v>
      </c>
      <c r="G1820" t="s">
        <v>2022</v>
      </c>
      <c r="H1820" t="s">
        <v>2023</v>
      </c>
      <c r="I1820" t="s">
        <v>1431</v>
      </c>
      <c r="J1820" t="s">
        <v>1963</v>
      </c>
      <c r="K1820" t="s">
        <v>5218</v>
      </c>
      <c r="L1820" t="s">
        <v>2046</v>
      </c>
      <c r="M1820" t="s">
        <v>2026</v>
      </c>
      <c r="N1820" t="s">
        <v>2027</v>
      </c>
      <c r="O1820" t="s">
        <v>2650</v>
      </c>
      <c r="P1820" t="s">
        <v>2651</v>
      </c>
      <c r="Q1820" t="s">
        <v>14</v>
      </c>
      <c r="R1820" t="s">
        <v>14</v>
      </c>
      <c r="S1820" t="s">
        <v>14</v>
      </c>
      <c r="T1820" t="s">
        <v>14</v>
      </c>
      <c r="U1820" t="s">
        <v>2030</v>
      </c>
      <c r="V1820" t="s">
        <v>14</v>
      </c>
      <c r="W1820" t="b">
        <v>1</v>
      </c>
      <c r="X1820" t="s">
        <v>5219</v>
      </c>
      <c r="Y1820" t="b">
        <v>0</v>
      </c>
      <c r="Z1820" t="s">
        <v>2053</v>
      </c>
    </row>
    <row r="1821" spans="1:26" x14ac:dyDescent="0.35">
      <c r="A1821" t="s">
        <v>5220</v>
      </c>
      <c r="B1821" t="s">
        <v>5221</v>
      </c>
      <c r="C1821" t="s">
        <v>5222</v>
      </c>
      <c r="D1821" t="s">
        <v>1963</v>
      </c>
      <c r="E1821" t="s">
        <v>2020</v>
      </c>
      <c r="F1821" t="s">
        <v>2055</v>
      </c>
      <c r="G1821" t="s">
        <v>2056</v>
      </c>
      <c r="H1821" t="s">
        <v>2023</v>
      </c>
      <c r="I1821" t="s">
        <v>1426</v>
      </c>
      <c r="J1821" t="s">
        <v>1963</v>
      </c>
      <c r="K1821" t="s">
        <v>5223</v>
      </c>
      <c r="L1821" t="s">
        <v>2046</v>
      </c>
      <c r="M1821" t="s">
        <v>2058</v>
      </c>
      <c r="N1821" t="s">
        <v>2059</v>
      </c>
      <c r="O1821" t="s">
        <v>2060</v>
      </c>
      <c r="P1821" t="s">
        <v>2061</v>
      </c>
      <c r="Q1821" t="s">
        <v>2062</v>
      </c>
      <c r="R1821" t="s">
        <v>14</v>
      </c>
      <c r="S1821" t="s">
        <v>2063</v>
      </c>
      <c r="T1821" t="s">
        <v>2064</v>
      </c>
      <c r="U1821" t="s">
        <v>2052</v>
      </c>
      <c r="V1821" t="s">
        <v>14</v>
      </c>
      <c r="W1821" t="b">
        <v>1</v>
      </c>
      <c r="X1821" t="s">
        <v>5224</v>
      </c>
      <c r="Y1821" t="b">
        <v>0</v>
      </c>
      <c r="Z1821" t="s">
        <v>2053</v>
      </c>
    </row>
    <row r="1822" spans="1:26" x14ac:dyDescent="0.35">
      <c r="A1822" t="s">
        <v>1771</v>
      </c>
      <c r="B1822" t="s">
        <v>5225</v>
      </c>
      <c r="C1822" t="s">
        <v>5222</v>
      </c>
      <c r="D1822" t="s">
        <v>1963</v>
      </c>
      <c r="E1822" t="s">
        <v>2020</v>
      </c>
      <c r="F1822" t="s">
        <v>2055</v>
      </c>
      <c r="G1822" t="s">
        <v>2056</v>
      </c>
      <c r="H1822" t="s">
        <v>2023</v>
      </c>
      <c r="I1822" t="s">
        <v>1426</v>
      </c>
      <c r="J1822" t="s">
        <v>1963</v>
      </c>
      <c r="K1822" t="s">
        <v>5226</v>
      </c>
      <c r="L1822" t="s">
        <v>2046</v>
      </c>
      <c r="M1822" t="s">
        <v>2058</v>
      </c>
      <c r="N1822" t="s">
        <v>2059</v>
      </c>
      <c r="O1822" t="s">
        <v>2060</v>
      </c>
      <c r="P1822" t="s">
        <v>2061</v>
      </c>
      <c r="Q1822" t="s">
        <v>2062</v>
      </c>
      <c r="R1822" t="s">
        <v>14</v>
      </c>
      <c r="S1822" t="s">
        <v>2063</v>
      </c>
      <c r="T1822" t="s">
        <v>2064</v>
      </c>
      <c r="U1822" t="s">
        <v>2052</v>
      </c>
      <c r="V1822" t="s">
        <v>14</v>
      </c>
      <c r="W1822" t="b">
        <v>1</v>
      </c>
      <c r="X1822" t="s">
        <v>5227</v>
      </c>
      <c r="Y1822" t="b">
        <v>0</v>
      </c>
      <c r="Z1822" t="s">
        <v>2053</v>
      </c>
    </row>
    <row r="1823" spans="1:26" x14ac:dyDescent="0.35">
      <c r="A1823" t="s">
        <v>5228</v>
      </c>
      <c r="B1823" t="s">
        <v>5229</v>
      </c>
      <c r="C1823" t="s">
        <v>5222</v>
      </c>
      <c r="D1823" t="s">
        <v>1963</v>
      </c>
      <c r="E1823" t="s">
        <v>2020</v>
      </c>
      <c r="F1823" t="s">
        <v>2055</v>
      </c>
      <c r="G1823" t="s">
        <v>2056</v>
      </c>
      <c r="H1823" t="s">
        <v>2023</v>
      </c>
      <c r="I1823" t="s">
        <v>1426</v>
      </c>
      <c r="J1823" t="s">
        <v>1963</v>
      </c>
      <c r="K1823" t="s">
        <v>5230</v>
      </c>
      <c r="L1823" t="s">
        <v>2046</v>
      </c>
      <c r="M1823" t="s">
        <v>2058</v>
      </c>
      <c r="N1823" t="s">
        <v>2059</v>
      </c>
      <c r="O1823" t="s">
        <v>2060</v>
      </c>
      <c r="P1823" t="s">
        <v>2061</v>
      </c>
      <c r="Q1823" t="s">
        <v>2062</v>
      </c>
      <c r="R1823" t="s">
        <v>14</v>
      </c>
      <c r="S1823" t="s">
        <v>2063</v>
      </c>
      <c r="T1823" t="s">
        <v>2064</v>
      </c>
      <c r="U1823" t="s">
        <v>2052</v>
      </c>
      <c r="V1823" t="s">
        <v>14</v>
      </c>
      <c r="W1823" t="b">
        <v>1</v>
      </c>
      <c r="X1823" t="s">
        <v>5231</v>
      </c>
      <c r="Y1823" t="b">
        <v>0</v>
      </c>
      <c r="Z1823" t="s">
        <v>2053</v>
      </c>
    </row>
    <row r="1824" spans="1:26" x14ac:dyDescent="0.35">
      <c r="A1824" t="s">
        <v>5228</v>
      </c>
      <c r="B1824" t="s">
        <v>5229</v>
      </c>
      <c r="C1824" t="s">
        <v>5222</v>
      </c>
      <c r="D1824" t="s">
        <v>1963</v>
      </c>
      <c r="E1824" t="s">
        <v>2020</v>
      </c>
      <c r="F1824" t="s">
        <v>2055</v>
      </c>
      <c r="G1824" t="s">
        <v>2056</v>
      </c>
      <c r="H1824" t="s">
        <v>2023</v>
      </c>
      <c r="I1824" t="s">
        <v>2132</v>
      </c>
      <c r="J1824" t="s">
        <v>1963</v>
      </c>
      <c r="K1824" t="s">
        <v>5230</v>
      </c>
      <c r="L1824" t="s">
        <v>2046</v>
      </c>
      <c r="M1824" t="s">
        <v>2058</v>
      </c>
      <c r="N1824" t="s">
        <v>2059</v>
      </c>
      <c r="O1824" t="s">
        <v>2060</v>
      </c>
      <c r="P1824" t="s">
        <v>2061</v>
      </c>
      <c r="Q1824" t="s">
        <v>2062</v>
      </c>
      <c r="R1824" t="s">
        <v>14</v>
      </c>
      <c r="S1824" t="s">
        <v>2134</v>
      </c>
      <c r="T1824" t="s">
        <v>2135</v>
      </c>
      <c r="U1824" t="s">
        <v>2052</v>
      </c>
      <c r="V1824" t="s">
        <v>14</v>
      </c>
      <c r="W1824" t="b">
        <v>1</v>
      </c>
      <c r="X1824" t="s">
        <v>5231</v>
      </c>
      <c r="Y1824" t="b">
        <v>0</v>
      </c>
      <c r="Z1824" t="s">
        <v>2053</v>
      </c>
    </row>
    <row r="1825" spans="1:26" x14ac:dyDescent="0.35">
      <c r="A1825" t="s">
        <v>1772</v>
      </c>
      <c r="B1825" t="s">
        <v>5232</v>
      </c>
      <c r="C1825" t="s">
        <v>5222</v>
      </c>
      <c r="D1825" t="s">
        <v>1963</v>
      </c>
      <c r="E1825" t="s">
        <v>2020</v>
      </c>
      <c r="F1825" t="s">
        <v>2055</v>
      </c>
      <c r="G1825" t="s">
        <v>2056</v>
      </c>
      <c r="H1825" t="s">
        <v>2023</v>
      </c>
      <c r="I1825" t="s">
        <v>1426</v>
      </c>
      <c r="J1825" t="s">
        <v>1963</v>
      </c>
      <c r="K1825" t="s">
        <v>5233</v>
      </c>
      <c r="L1825" t="s">
        <v>2046</v>
      </c>
      <c r="M1825" t="s">
        <v>2058</v>
      </c>
      <c r="N1825" t="s">
        <v>2059</v>
      </c>
      <c r="O1825" t="s">
        <v>2060</v>
      </c>
      <c r="P1825" t="s">
        <v>2061</v>
      </c>
      <c r="Q1825" t="s">
        <v>2062</v>
      </c>
      <c r="R1825" t="s">
        <v>14</v>
      </c>
      <c r="S1825" t="s">
        <v>2063</v>
      </c>
      <c r="T1825" t="s">
        <v>2064</v>
      </c>
      <c r="U1825" t="s">
        <v>2052</v>
      </c>
      <c r="V1825" t="s">
        <v>14</v>
      </c>
      <c r="W1825" t="b">
        <v>1</v>
      </c>
      <c r="X1825" t="s">
        <v>5234</v>
      </c>
      <c r="Y1825" t="b">
        <v>0</v>
      </c>
      <c r="Z1825" t="s">
        <v>2053</v>
      </c>
    </row>
    <row r="1826" spans="1:26" x14ac:dyDescent="0.35">
      <c r="A1826" t="s">
        <v>5235</v>
      </c>
      <c r="B1826" t="s">
        <v>5236</v>
      </c>
      <c r="C1826" t="s">
        <v>5222</v>
      </c>
      <c r="D1826" t="s">
        <v>1963</v>
      </c>
      <c r="E1826" t="s">
        <v>2020</v>
      </c>
      <c r="F1826" t="s">
        <v>2140</v>
      </c>
      <c r="G1826" t="s">
        <v>2141</v>
      </c>
      <c r="H1826" t="s">
        <v>2023</v>
      </c>
      <c r="I1826" t="s">
        <v>1806</v>
      </c>
      <c r="J1826" t="s">
        <v>1963</v>
      </c>
      <c r="K1826" t="s">
        <v>5237</v>
      </c>
      <c r="L1826" t="s">
        <v>2046</v>
      </c>
      <c r="M1826" t="s">
        <v>2067</v>
      </c>
      <c r="N1826" t="s">
        <v>2068</v>
      </c>
      <c r="O1826" t="s">
        <v>2047</v>
      </c>
      <c r="P1826" t="s">
        <v>2048</v>
      </c>
      <c r="Q1826" t="s">
        <v>14</v>
      </c>
      <c r="R1826" t="s">
        <v>14</v>
      </c>
      <c r="S1826" t="s">
        <v>2069</v>
      </c>
      <c r="T1826" t="s">
        <v>2070</v>
      </c>
      <c r="U1826" t="s">
        <v>2052</v>
      </c>
      <c r="V1826" t="s">
        <v>14</v>
      </c>
      <c r="W1826" t="b">
        <v>1</v>
      </c>
      <c r="X1826" t="s">
        <v>5238</v>
      </c>
      <c r="Y1826" t="b">
        <v>0</v>
      </c>
      <c r="Z1826" t="s">
        <v>2053</v>
      </c>
    </row>
    <row r="1827" spans="1:26" x14ac:dyDescent="0.35">
      <c r="A1827" t="s">
        <v>5235</v>
      </c>
      <c r="B1827" t="s">
        <v>5236</v>
      </c>
      <c r="C1827" t="s">
        <v>5222</v>
      </c>
      <c r="D1827" t="s">
        <v>1963</v>
      </c>
      <c r="E1827" t="s">
        <v>2020</v>
      </c>
      <c r="F1827" t="s">
        <v>2140</v>
      </c>
      <c r="G1827" t="s">
        <v>2141</v>
      </c>
      <c r="H1827" t="s">
        <v>2023</v>
      </c>
      <c r="I1827" t="s">
        <v>2144</v>
      </c>
      <c r="J1827" t="s">
        <v>1963</v>
      </c>
      <c r="K1827" t="s">
        <v>5237</v>
      </c>
      <c r="L1827" t="s">
        <v>2046</v>
      </c>
      <c r="M1827" t="s">
        <v>2047</v>
      </c>
      <c r="N1827" t="s">
        <v>2048</v>
      </c>
      <c r="O1827" t="s">
        <v>2047</v>
      </c>
      <c r="P1827" t="s">
        <v>2048</v>
      </c>
      <c r="Q1827" t="s">
        <v>2145</v>
      </c>
      <c r="R1827" t="s">
        <v>14</v>
      </c>
      <c r="S1827" t="s">
        <v>2069</v>
      </c>
      <c r="T1827" t="s">
        <v>2070</v>
      </c>
      <c r="U1827" t="s">
        <v>2052</v>
      </c>
      <c r="V1827" t="s">
        <v>14</v>
      </c>
      <c r="W1827" t="b">
        <v>1</v>
      </c>
      <c r="X1827" t="s">
        <v>5238</v>
      </c>
      <c r="Y1827" t="b">
        <v>0</v>
      </c>
      <c r="Z1827" t="s">
        <v>2053</v>
      </c>
    </row>
    <row r="1828" spans="1:26" x14ac:dyDescent="0.35">
      <c r="A1828" t="s">
        <v>5235</v>
      </c>
      <c r="B1828" t="s">
        <v>5236</v>
      </c>
      <c r="C1828" t="s">
        <v>5222</v>
      </c>
      <c r="D1828" t="s">
        <v>1963</v>
      </c>
      <c r="E1828" t="s">
        <v>2020</v>
      </c>
      <c r="F1828" t="s">
        <v>2140</v>
      </c>
      <c r="G1828" t="s">
        <v>2141</v>
      </c>
      <c r="H1828" t="s">
        <v>2023</v>
      </c>
      <c r="I1828" t="s">
        <v>2146</v>
      </c>
      <c r="J1828" t="s">
        <v>1963</v>
      </c>
      <c r="K1828" t="s">
        <v>5237</v>
      </c>
      <c r="L1828" t="s">
        <v>2046</v>
      </c>
      <c r="M1828" t="s">
        <v>14</v>
      </c>
      <c r="N1828" t="s">
        <v>14</v>
      </c>
      <c r="O1828" t="s">
        <v>2147</v>
      </c>
      <c r="P1828" t="s">
        <v>2148</v>
      </c>
      <c r="Q1828" t="s">
        <v>14</v>
      </c>
      <c r="R1828" t="s">
        <v>14</v>
      </c>
      <c r="S1828" t="s">
        <v>14</v>
      </c>
      <c r="T1828" t="s">
        <v>14</v>
      </c>
      <c r="U1828" t="s">
        <v>2052</v>
      </c>
      <c r="V1828" t="s">
        <v>14</v>
      </c>
      <c r="W1828" t="b">
        <v>1</v>
      </c>
      <c r="X1828" t="s">
        <v>5238</v>
      </c>
      <c r="Y1828" t="b">
        <v>0</v>
      </c>
      <c r="Z1828" t="s">
        <v>2053</v>
      </c>
    </row>
    <row r="1829" spans="1:26" x14ac:dyDescent="0.35">
      <c r="A1829" t="s">
        <v>1774</v>
      </c>
      <c r="B1829" t="s">
        <v>5239</v>
      </c>
      <c r="C1829" t="s">
        <v>5222</v>
      </c>
      <c r="D1829" t="s">
        <v>1963</v>
      </c>
      <c r="E1829" t="s">
        <v>2020</v>
      </c>
      <c r="F1829" t="s">
        <v>2021</v>
      </c>
      <c r="G1829" t="s">
        <v>2022</v>
      </c>
      <c r="H1829" t="s">
        <v>2023</v>
      </c>
      <c r="I1829" t="s">
        <v>5240</v>
      </c>
      <c r="J1829" t="s">
        <v>1963</v>
      </c>
      <c r="K1829" t="s">
        <v>5241</v>
      </c>
      <c r="L1829" t="s">
        <v>2046</v>
      </c>
      <c r="M1829" t="s">
        <v>2047</v>
      </c>
      <c r="N1829" t="s">
        <v>2048</v>
      </c>
      <c r="O1829" t="s">
        <v>2047</v>
      </c>
      <c r="P1829" t="s">
        <v>2048</v>
      </c>
      <c r="Q1829" t="s">
        <v>2145</v>
      </c>
      <c r="R1829" t="s">
        <v>14</v>
      </c>
      <c r="S1829" t="s">
        <v>2069</v>
      </c>
      <c r="T1829" t="s">
        <v>2070</v>
      </c>
      <c r="U1829" t="s">
        <v>2052</v>
      </c>
      <c r="V1829" t="s">
        <v>14</v>
      </c>
      <c r="W1829" t="b">
        <v>1</v>
      </c>
      <c r="X1829" t="s">
        <v>1775</v>
      </c>
      <c r="Y1829" t="b">
        <v>0</v>
      </c>
      <c r="Z1829" t="s">
        <v>2053</v>
      </c>
    </row>
    <row r="1830" spans="1:26" x14ac:dyDescent="0.35">
      <c r="A1830" t="s">
        <v>1776</v>
      </c>
      <c r="B1830" t="s">
        <v>5242</v>
      </c>
      <c r="C1830" t="s">
        <v>5222</v>
      </c>
      <c r="D1830" t="s">
        <v>1963</v>
      </c>
      <c r="E1830" t="s">
        <v>2020</v>
      </c>
      <c r="F1830" t="s">
        <v>2055</v>
      </c>
      <c r="G1830" t="s">
        <v>2056</v>
      </c>
      <c r="H1830" t="s">
        <v>2023</v>
      </c>
      <c r="I1830" t="s">
        <v>2118</v>
      </c>
      <c r="J1830" t="s">
        <v>1963</v>
      </c>
      <c r="K1830" t="s">
        <v>5243</v>
      </c>
      <c r="L1830" t="s">
        <v>2046</v>
      </c>
      <c r="M1830" t="s">
        <v>2120</v>
      </c>
      <c r="N1830" t="s">
        <v>2121</v>
      </c>
      <c r="O1830" t="s">
        <v>2060</v>
      </c>
      <c r="P1830" t="s">
        <v>2061</v>
      </c>
      <c r="Q1830" t="s">
        <v>2122</v>
      </c>
      <c r="R1830" t="s">
        <v>14</v>
      </c>
      <c r="S1830" t="s">
        <v>2123</v>
      </c>
      <c r="T1830" t="s">
        <v>2124</v>
      </c>
      <c r="U1830" t="s">
        <v>2052</v>
      </c>
      <c r="V1830" t="s">
        <v>14</v>
      </c>
      <c r="W1830" t="b">
        <v>1</v>
      </c>
      <c r="X1830" t="s">
        <v>1777</v>
      </c>
      <c r="Y1830" t="b">
        <v>0</v>
      </c>
      <c r="Z1830" t="s">
        <v>2053</v>
      </c>
    </row>
    <row r="1831" spans="1:26" x14ac:dyDescent="0.35">
      <c r="A1831" t="s">
        <v>1776</v>
      </c>
      <c r="B1831" t="s">
        <v>5242</v>
      </c>
      <c r="C1831" t="s">
        <v>5222</v>
      </c>
      <c r="D1831" t="s">
        <v>1963</v>
      </c>
      <c r="E1831" t="s">
        <v>2020</v>
      </c>
      <c r="F1831" t="s">
        <v>2055</v>
      </c>
      <c r="G1831" t="s">
        <v>2056</v>
      </c>
      <c r="H1831" t="s">
        <v>2023</v>
      </c>
      <c r="I1831" t="s">
        <v>1764</v>
      </c>
      <c r="J1831" t="s">
        <v>1963</v>
      </c>
      <c r="K1831" t="s">
        <v>5243</v>
      </c>
      <c r="L1831" t="s">
        <v>2046</v>
      </c>
      <c r="M1831" t="s">
        <v>2120</v>
      </c>
      <c r="N1831" t="s">
        <v>2121</v>
      </c>
      <c r="O1831" t="s">
        <v>2060</v>
      </c>
      <c r="P1831" t="s">
        <v>2061</v>
      </c>
      <c r="Q1831" t="s">
        <v>2122</v>
      </c>
      <c r="R1831" t="s">
        <v>14</v>
      </c>
      <c r="S1831" t="s">
        <v>2125</v>
      </c>
      <c r="T1831" t="s">
        <v>2126</v>
      </c>
      <c r="U1831" t="s">
        <v>2052</v>
      </c>
      <c r="V1831" t="s">
        <v>14</v>
      </c>
      <c r="W1831" t="b">
        <v>1</v>
      </c>
      <c r="X1831" t="s">
        <v>1777</v>
      </c>
      <c r="Y1831" t="b">
        <v>0</v>
      </c>
      <c r="Z1831" t="s">
        <v>2032</v>
      </c>
    </row>
    <row r="1832" spans="1:26" x14ac:dyDescent="0.35">
      <c r="A1832" t="s">
        <v>1778</v>
      </c>
      <c r="B1832" t="s">
        <v>5244</v>
      </c>
      <c r="C1832" t="s">
        <v>5222</v>
      </c>
      <c r="D1832" t="s">
        <v>1963</v>
      </c>
      <c r="E1832" t="s">
        <v>2020</v>
      </c>
      <c r="F1832" t="s">
        <v>2021</v>
      </c>
      <c r="G1832" t="s">
        <v>2022</v>
      </c>
      <c r="H1832" t="s">
        <v>2023</v>
      </c>
      <c r="I1832" t="s">
        <v>25</v>
      </c>
      <c r="J1832" t="s">
        <v>1963</v>
      </c>
      <c r="K1832" t="s">
        <v>5245</v>
      </c>
      <c r="L1832" t="s">
        <v>2025</v>
      </c>
      <c r="M1832" t="s">
        <v>2073</v>
      </c>
      <c r="N1832" t="s">
        <v>2074</v>
      </c>
      <c r="O1832" t="s">
        <v>2075</v>
      </c>
      <c r="P1832" t="s">
        <v>2076</v>
      </c>
      <c r="Q1832" t="s">
        <v>2077</v>
      </c>
      <c r="R1832" t="s">
        <v>14</v>
      </c>
      <c r="S1832" t="s">
        <v>2078</v>
      </c>
      <c r="T1832" t="s">
        <v>2079</v>
      </c>
      <c r="U1832" t="s">
        <v>2080</v>
      </c>
      <c r="V1832" t="s">
        <v>14</v>
      </c>
      <c r="W1832" t="b">
        <v>1</v>
      </c>
      <c r="X1832" t="s">
        <v>1779</v>
      </c>
      <c r="Y1832" t="b">
        <v>0</v>
      </c>
      <c r="Z1832" t="s">
        <v>2081</v>
      </c>
    </row>
    <row r="1833" spans="1:26" x14ac:dyDescent="0.35">
      <c r="A1833" t="s">
        <v>5246</v>
      </c>
      <c r="B1833" t="s">
        <v>5247</v>
      </c>
      <c r="C1833" t="s">
        <v>5222</v>
      </c>
      <c r="D1833" t="s">
        <v>1963</v>
      </c>
      <c r="E1833" t="s">
        <v>2020</v>
      </c>
      <c r="F1833" t="s">
        <v>2055</v>
      </c>
      <c r="G1833" t="s">
        <v>2056</v>
      </c>
      <c r="H1833" t="s">
        <v>2023</v>
      </c>
      <c r="I1833" t="s">
        <v>2097</v>
      </c>
      <c r="J1833" t="s">
        <v>1963</v>
      </c>
      <c r="K1833" t="s">
        <v>5248</v>
      </c>
      <c r="L1833" t="s">
        <v>14</v>
      </c>
      <c r="M1833" t="s">
        <v>2099</v>
      </c>
      <c r="N1833" t="s">
        <v>2100</v>
      </c>
      <c r="O1833" t="s">
        <v>2101</v>
      </c>
      <c r="P1833" t="s">
        <v>2102</v>
      </c>
      <c r="Q1833" t="s">
        <v>2103</v>
      </c>
      <c r="R1833" t="s">
        <v>14</v>
      </c>
      <c r="S1833" t="s">
        <v>2101</v>
      </c>
      <c r="T1833" t="s">
        <v>2102</v>
      </c>
      <c r="U1833" t="s">
        <v>2052</v>
      </c>
      <c r="V1833" t="s">
        <v>14</v>
      </c>
      <c r="W1833" t="b">
        <v>1</v>
      </c>
      <c r="X1833" t="s">
        <v>5249</v>
      </c>
      <c r="Y1833" t="b">
        <v>0</v>
      </c>
      <c r="Z1833" t="s">
        <v>2053</v>
      </c>
    </row>
    <row r="1834" spans="1:26" x14ac:dyDescent="0.35">
      <c r="A1834" t="s">
        <v>1780</v>
      </c>
      <c r="B1834" t="s">
        <v>5250</v>
      </c>
      <c r="C1834" t="s">
        <v>5251</v>
      </c>
      <c r="D1834" t="s">
        <v>1963</v>
      </c>
      <c r="E1834" t="s">
        <v>2020</v>
      </c>
      <c r="F1834" t="s">
        <v>2021</v>
      </c>
      <c r="G1834" t="s">
        <v>2022</v>
      </c>
      <c r="H1834" t="s">
        <v>2023</v>
      </c>
      <c r="I1834" t="s">
        <v>2197</v>
      </c>
      <c r="J1834" t="s">
        <v>1963</v>
      </c>
      <c r="K1834" t="s">
        <v>5252</v>
      </c>
      <c r="L1834" t="s">
        <v>14</v>
      </c>
      <c r="M1834" t="s">
        <v>2120</v>
      </c>
      <c r="N1834" t="s">
        <v>2121</v>
      </c>
      <c r="O1834" t="s">
        <v>2060</v>
      </c>
      <c r="P1834" t="s">
        <v>2061</v>
      </c>
      <c r="Q1834" t="s">
        <v>2122</v>
      </c>
      <c r="R1834" t="s">
        <v>14</v>
      </c>
      <c r="S1834" t="s">
        <v>2123</v>
      </c>
      <c r="T1834" t="s">
        <v>2124</v>
      </c>
      <c r="U1834" t="s">
        <v>2052</v>
      </c>
      <c r="V1834" t="s">
        <v>14</v>
      </c>
      <c r="W1834" t="b">
        <v>1</v>
      </c>
      <c r="X1834" t="s">
        <v>1781</v>
      </c>
      <c r="Y1834" t="b">
        <v>0</v>
      </c>
      <c r="Z1834" t="s">
        <v>2032</v>
      </c>
    </row>
    <row r="1835" spans="1:26" x14ac:dyDescent="0.35">
      <c r="A1835" t="s">
        <v>1780</v>
      </c>
      <c r="B1835" t="s">
        <v>5250</v>
      </c>
      <c r="C1835" t="s">
        <v>5251</v>
      </c>
      <c r="D1835" t="s">
        <v>1963</v>
      </c>
      <c r="E1835" t="s">
        <v>2020</v>
      </c>
      <c r="F1835" t="s">
        <v>2021</v>
      </c>
      <c r="G1835" t="s">
        <v>2022</v>
      </c>
      <c r="H1835" t="s">
        <v>2023</v>
      </c>
      <c r="I1835" t="s">
        <v>2199</v>
      </c>
      <c r="J1835" t="s">
        <v>1963</v>
      </c>
      <c r="K1835" t="s">
        <v>5252</v>
      </c>
      <c r="L1835" t="s">
        <v>14</v>
      </c>
      <c r="M1835" t="s">
        <v>2120</v>
      </c>
      <c r="N1835" t="s">
        <v>2121</v>
      </c>
      <c r="O1835" t="s">
        <v>2060</v>
      </c>
      <c r="P1835" t="s">
        <v>2061</v>
      </c>
      <c r="Q1835" t="s">
        <v>2122</v>
      </c>
      <c r="R1835" t="s">
        <v>14</v>
      </c>
      <c r="S1835" t="s">
        <v>2200</v>
      </c>
      <c r="T1835" t="s">
        <v>2201</v>
      </c>
      <c r="U1835" t="s">
        <v>2052</v>
      </c>
      <c r="V1835" t="s">
        <v>14</v>
      </c>
      <c r="W1835" t="b">
        <v>1</v>
      </c>
      <c r="X1835" t="s">
        <v>1781</v>
      </c>
      <c r="Y1835" t="b">
        <v>0</v>
      </c>
      <c r="Z1835" t="s">
        <v>2053</v>
      </c>
    </row>
    <row r="1836" spans="1:26" x14ac:dyDescent="0.35">
      <c r="A1836" t="s">
        <v>1782</v>
      </c>
      <c r="B1836" t="s">
        <v>5253</v>
      </c>
      <c r="C1836" t="s">
        <v>5251</v>
      </c>
      <c r="D1836" t="s">
        <v>1963</v>
      </c>
      <c r="E1836" t="s">
        <v>2020</v>
      </c>
      <c r="F1836" t="s">
        <v>2021</v>
      </c>
      <c r="G1836" t="s">
        <v>2022</v>
      </c>
      <c r="H1836" t="s">
        <v>2023</v>
      </c>
      <c r="I1836" t="s">
        <v>5254</v>
      </c>
      <c r="J1836" t="s">
        <v>1963</v>
      </c>
      <c r="K1836" t="s">
        <v>5255</v>
      </c>
      <c r="L1836" t="s">
        <v>2046</v>
      </c>
      <c r="M1836" t="s">
        <v>14</v>
      </c>
      <c r="N1836" t="s">
        <v>14</v>
      </c>
      <c r="O1836" t="s">
        <v>2740</v>
      </c>
      <c r="P1836" t="s">
        <v>2741</v>
      </c>
      <c r="Q1836" t="s">
        <v>14</v>
      </c>
      <c r="R1836" t="s">
        <v>14</v>
      </c>
      <c r="S1836" t="s">
        <v>14</v>
      </c>
      <c r="T1836" t="s">
        <v>14</v>
      </c>
      <c r="U1836" t="s">
        <v>2052</v>
      </c>
      <c r="V1836" t="s">
        <v>14</v>
      </c>
      <c r="W1836" t="b">
        <v>1</v>
      </c>
      <c r="X1836" t="s">
        <v>1783</v>
      </c>
      <c r="Y1836" t="b">
        <v>0</v>
      </c>
      <c r="Z1836" t="s">
        <v>2053</v>
      </c>
    </row>
    <row r="1837" spans="1:26" x14ac:dyDescent="0.35">
      <c r="A1837" t="s">
        <v>1782</v>
      </c>
      <c r="B1837" t="s">
        <v>5253</v>
      </c>
      <c r="C1837" t="s">
        <v>5251</v>
      </c>
      <c r="D1837" t="s">
        <v>1963</v>
      </c>
      <c r="E1837" t="s">
        <v>2020</v>
      </c>
      <c r="F1837" t="s">
        <v>2021</v>
      </c>
      <c r="G1837" t="s">
        <v>2022</v>
      </c>
      <c r="H1837" t="s">
        <v>2023</v>
      </c>
      <c r="I1837" t="s">
        <v>5256</v>
      </c>
      <c r="J1837" t="s">
        <v>1963</v>
      </c>
      <c r="K1837" t="s">
        <v>5255</v>
      </c>
      <c r="L1837" t="s">
        <v>2046</v>
      </c>
      <c r="M1837" t="s">
        <v>14</v>
      </c>
      <c r="N1837" t="s">
        <v>14</v>
      </c>
      <c r="O1837" t="s">
        <v>2740</v>
      </c>
      <c r="P1837" t="s">
        <v>2741</v>
      </c>
      <c r="Q1837" t="s">
        <v>14</v>
      </c>
      <c r="R1837" t="s">
        <v>14</v>
      </c>
      <c r="S1837" t="s">
        <v>14</v>
      </c>
      <c r="T1837" t="s">
        <v>14</v>
      </c>
      <c r="U1837" t="s">
        <v>2052</v>
      </c>
      <c r="V1837" t="s">
        <v>14</v>
      </c>
      <c r="W1837" t="b">
        <v>1</v>
      </c>
      <c r="X1837" t="s">
        <v>1783</v>
      </c>
      <c r="Y1837" t="b">
        <v>0</v>
      </c>
      <c r="Z1837" t="s">
        <v>2053</v>
      </c>
    </row>
    <row r="1838" spans="1:26" x14ac:dyDescent="0.35">
      <c r="A1838" t="s">
        <v>1782</v>
      </c>
      <c r="B1838" t="s">
        <v>5253</v>
      </c>
      <c r="C1838" t="s">
        <v>5251</v>
      </c>
      <c r="D1838" t="s">
        <v>1963</v>
      </c>
      <c r="E1838" t="s">
        <v>2020</v>
      </c>
      <c r="F1838" t="s">
        <v>2021</v>
      </c>
      <c r="G1838" t="s">
        <v>2022</v>
      </c>
      <c r="H1838" t="s">
        <v>2023</v>
      </c>
      <c r="I1838" t="s">
        <v>5257</v>
      </c>
      <c r="J1838" t="s">
        <v>1963</v>
      </c>
      <c r="K1838" t="s">
        <v>5255</v>
      </c>
      <c r="L1838" t="s">
        <v>2046</v>
      </c>
      <c r="M1838" t="s">
        <v>2740</v>
      </c>
      <c r="N1838" t="s">
        <v>2741</v>
      </c>
      <c r="O1838" t="s">
        <v>2740</v>
      </c>
      <c r="P1838" t="s">
        <v>2741</v>
      </c>
      <c r="Q1838" t="s">
        <v>14</v>
      </c>
      <c r="R1838" t="s">
        <v>14</v>
      </c>
      <c r="S1838" t="s">
        <v>14</v>
      </c>
      <c r="T1838" t="s">
        <v>14</v>
      </c>
      <c r="U1838" t="s">
        <v>2052</v>
      </c>
      <c r="V1838" t="s">
        <v>14</v>
      </c>
      <c r="W1838" t="b">
        <v>1</v>
      </c>
      <c r="X1838" t="s">
        <v>1783</v>
      </c>
      <c r="Y1838" t="b">
        <v>0</v>
      </c>
      <c r="Z1838" t="s">
        <v>2053</v>
      </c>
    </row>
    <row r="1839" spans="1:26" x14ac:dyDescent="0.35">
      <c r="A1839" t="s">
        <v>1782</v>
      </c>
      <c r="B1839" t="s">
        <v>5253</v>
      </c>
      <c r="C1839" t="s">
        <v>5251</v>
      </c>
      <c r="D1839" t="s">
        <v>1963</v>
      </c>
      <c r="E1839" t="s">
        <v>2020</v>
      </c>
      <c r="F1839" t="s">
        <v>2021</v>
      </c>
      <c r="G1839" t="s">
        <v>2022</v>
      </c>
      <c r="H1839" t="s">
        <v>2023</v>
      </c>
      <c r="I1839" t="s">
        <v>5258</v>
      </c>
      <c r="J1839" t="s">
        <v>1963</v>
      </c>
      <c r="K1839" t="s">
        <v>5255</v>
      </c>
      <c r="L1839" t="s">
        <v>2046</v>
      </c>
      <c r="M1839" t="s">
        <v>2205</v>
      </c>
      <c r="N1839" t="s">
        <v>2206</v>
      </c>
      <c r="O1839" t="s">
        <v>2205</v>
      </c>
      <c r="P1839" t="s">
        <v>2206</v>
      </c>
      <c r="Q1839" t="s">
        <v>14</v>
      </c>
      <c r="R1839" t="s">
        <v>14</v>
      </c>
      <c r="S1839" t="s">
        <v>14</v>
      </c>
      <c r="T1839" t="s">
        <v>14</v>
      </c>
      <c r="U1839" t="s">
        <v>2052</v>
      </c>
      <c r="V1839" t="s">
        <v>14</v>
      </c>
      <c r="W1839" t="b">
        <v>1</v>
      </c>
      <c r="X1839" t="s">
        <v>1783</v>
      </c>
      <c r="Y1839" t="b">
        <v>0</v>
      </c>
      <c r="Z1839" t="s">
        <v>2053</v>
      </c>
    </row>
    <row r="1840" spans="1:26" x14ac:dyDescent="0.35">
      <c r="A1840" t="s">
        <v>1782</v>
      </c>
      <c r="B1840" t="s">
        <v>5253</v>
      </c>
      <c r="C1840" t="s">
        <v>5251</v>
      </c>
      <c r="D1840" t="s">
        <v>1963</v>
      </c>
      <c r="E1840" t="s">
        <v>2020</v>
      </c>
      <c r="F1840" t="s">
        <v>2021</v>
      </c>
      <c r="G1840" t="s">
        <v>2022</v>
      </c>
      <c r="H1840" t="s">
        <v>2023</v>
      </c>
      <c r="I1840" t="s">
        <v>5259</v>
      </c>
      <c r="J1840" t="s">
        <v>1963</v>
      </c>
      <c r="K1840" t="s">
        <v>5255</v>
      </c>
      <c r="L1840" t="s">
        <v>2046</v>
      </c>
      <c r="M1840" t="s">
        <v>3720</v>
      </c>
      <c r="N1840" t="s">
        <v>3721</v>
      </c>
      <c r="O1840" t="s">
        <v>3722</v>
      </c>
      <c r="P1840" t="s">
        <v>3723</v>
      </c>
      <c r="Q1840" t="s">
        <v>14</v>
      </c>
      <c r="R1840" t="s">
        <v>14</v>
      </c>
      <c r="S1840" t="s">
        <v>5260</v>
      </c>
      <c r="T1840" t="s">
        <v>5261</v>
      </c>
      <c r="U1840" t="s">
        <v>2233</v>
      </c>
      <c r="V1840" t="s">
        <v>14</v>
      </c>
      <c r="W1840" t="b">
        <v>1</v>
      </c>
      <c r="X1840" t="s">
        <v>1783</v>
      </c>
      <c r="Y1840" t="b">
        <v>0</v>
      </c>
      <c r="Z1840" t="s">
        <v>2053</v>
      </c>
    </row>
    <row r="1841" spans="1:26" x14ac:dyDescent="0.35">
      <c r="A1841" t="s">
        <v>1782</v>
      </c>
      <c r="B1841" t="s">
        <v>5253</v>
      </c>
      <c r="C1841" t="s">
        <v>5251</v>
      </c>
      <c r="D1841" t="s">
        <v>1963</v>
      </c>
      <c r="E1841" t="s">
        <v>2020</v>
      </c>
      <c r="F1841" t="s">
        <v>2021</v>
      </c>
      <c r="G1841" t="s">
        <v>2022</v>
      </c>
      <c r="H1841" t="s">
        <v>2023</v>
      </c>
      <c r="I1841" t="s">
        <v>5262</v>
      </c>
      <c r="J1841" t="s">
        <v>1963</v>
      </c>
      <c r="K1841" t="s">
        <v>5255</v>
      </c>
      <c r="L1841" t="s">
        <v>2046</v>
      </c>
      <c r="M1841" t="s">
        <v>2740</v>
      </c>
      <c r="N1841" t="s">
        <v>2741</v>
      </c>
      <c r="O1841" t="s">
        <v>2740</v>
      </c>
      <c r="P1841" t="s">
        <v>2741</v>
      </c>
      <c r="Q1841" t="s">
        <v>14</v>
      </c>
      <c r="R1841" t="s">
        <v>14</v>
      </c>
      <c r="S1841" t="s">
        <v>14</v>
      </c>
      <c r="T1841" t="s">
        <v>14</v>
      </c>
      <c r="U1841" t="s">
        <v>2052</v>
      </c>
      <c r="V1841" t="s">
        <v>14</v>
      </c>
      <c r="W1841" t="b">
        <v>1</v>
      </c>
      <c r="X1841" t="s">
        <v>1783</v>
      </c>
      <c r="Y1841" t="b">
        <v>0</v>
      </c>
      <c r="Z1841" t="s">
        <v>2053</v>
      </c>
    </row>
    <row r="1842" spans="1:26" x14ac:dyDescent="0.35">
      <c r="A1842" t="s">
        <v>1782</v>
      </c>
      <c r="B1842" t="s">
        <v>5253</v>
      </c>
      <c r="C1842" t="s">
        <v>5251</v>
      </c>
      <c r="D1842" t="s">
        <v>1963</v>
      </c>
      <c r="E1842" t="s">
        <v>2020</v>
      </c>
      <c r="F1842" t="s">
        <v>2021</v>
      </c>
      <c r="G1842" t="s">
        <v>2022</v>
      </c>
      <c r="H1842" t="s">
        <v>2023</v>
      </c>
      <c r="I1842" t="s">
        <v>5263</v>
      </c>
      <c r="J1842" t="s">
        <v>1963</v>
      </c>
      <c r="K1842" t="s">
        <v>5255</v>
      </c>
      <c r="L1842" t="s">
        <v>2046</v>
      </c>
      <c r="M1842" t="s">
        <v>2377</v>
      </c>
      <c r="N1842" t="s">
        <v>2378</v>
      </c>
      <c r="O1842" t="s">
        <v>2740</v>
      </c>
      <c r="P1842" t="s">
        <v>2741</v>
      </c>
      <c r="Q1842" t="s">
        <v>14</v>
      </c>
      <c r="R1842" t="s">
        <v>14</v>
      </c>
      <c r="S1842" t="s">
        <v>14</v>
      </c>
      <c r="T1842" t="s">
        <v>14</v>
      </c>
      <c r="U1842" t="s">
        <v>2052</v>
      </c>
      <c r="V1842" t="s">
        <v>14</v>
      </c>
      <c r="W1842" t="b">
        <v>1</v>
      </c>
      <c r="X1842" t="s">
        <v>1783</v>
      </c>
      <c r="Y1842" t="b">
        <v>0</v>
      </c>
      <c r="Z1842" t="s">
        <v>2053</v>
      </c>
    </row>
    <row r="1843" spans="1:26" x14ac:dyDescent="0.35">
      <c r="A1843" t="s">
        <v>1782</v>
      </c>
      <c r="B1843" t="s">
        <v>5253</v>
      </c>
      <c r="C1843" t="s">
        <v>5251</v>
      </c>
      <c r="D1843" t="s">
        <v>1963</v>
      </c>
      <c r="E1843" t="s">
        <v>2020</v>
      </c>
      <c r="F1843" t="s">
        <v>2021</v>
      </c>
      <c r="G1843" t="s">
        <v>2022</v>
      </c>
      <c r="H1843" t="s">
        <v>2023</v>
      </c>
      <c r="I1843" t="s">
        <v>5264</v>
      </c>
      <c r="J1843" t="s">
        <v>1963</v>
      </c>
      <c r="K1843" t="s">
        <v>5255</v>
      </c>
      <c r="L1843" t="s">
        <v>2046</v>
      </c>
      <c r="M1843" t="s">
        <v>2377</v>
      </c>
      <c r="N1843" t="s">
        <v>2378</v>
      </c>
      <c r="O1843" t="s">
        <v>2740</v>
      </c>
      <c r="P1843" t="s">
        <v>2741</v>
      </c>
      <c r="Q1843" t="s">
        <v>14</v>
      </c>
      <c r="R1843" t="s">
        <v>14</v>
      </c>
      <c r="S1843" t="s">
        <v>14</v>
      </c>
      <c r="T1843" t="s">
        <v>14</v>
      </c>
      <c r="U1843" t="s">
        <v>2052</v>
      </c>
      <c r="V1843" t="s">
        <v>14</v>
      </c>
      <c r="W1843" t="b">
        <v>1</v>
      </c>
      <c r="X1843" t="s">
        <v>1783</v>
      </c>
      <c r="Y1843" t="b">
        <v>0</v>
      </c>
      <c r="Z1843" t="s">
        <v>2053</v>
      </c>
    </row>
    <row r="1844" spans="1:26" x14ac:dyDescent="0.35">
      <c r="A1844" t="s">
        <v>1782</v>
      </c>
      <c r="B1844" t="s">
        <v>5253</v>
      </c>
      <c r="C1844" t="s">
        <v>5251</v>
      </c>
      <c r="D1844" t="s">
        <v>1963</v>
      </c>
      <c r="E1844" t="s">
        <v>2020</v>
      </c>
      <c r="F1844" t="s">
        <v>2021</v>
      </c>
      <c r="G1844" t="s">
        <v>2022</v>
      </c>
      <c r="H1844" t="s">
        <v>2023</v>
      </c>
      <c r="I1844" t="s">
        <v>5265</v>
      </c>
      <c r="J1844" t="s">
        <v>1963</v>
      </c>
      <c r="K1844" t="s">
        <v>5255</v>
      </c>
      <c r="L1844" t="s">
        <v>2046</v>
      </c>
      <c r="M1844" t="s">
        <v>14</v>
      </c>
      <c r="N1844" t="s">
        <v>14</v>
      </c>
      <c r="O1844" t="s">
        <v>2740</v>
      </c>
      <c r="P1844" t="s">
        <v>2741</v>
      </c>
      <c r="Q1844" t="s">
        <v>14</v>
      </c>
      <c r="R1844" t="s">
        <v>14</v>
      </c>
      <c r="S1844" t="s">
        <v>14</v>
      </c>
      <c r="T1844" t="s">
        <v>14</v>
      </c>
      <c r="U1844" t="s">
        <v>2233</v>
      </c>
      <c r="V1844" t="s">
        <v>14</v>
      </c>
      <c r="W1844" t="b">
        <v>1</v>
      </c>
      <c r="X1844" t="s">
        <v>1783</v>
      </c>
      <c r="Y1844" t="b">
        <v>0</v>
      </c>
      <c r="Z1844" t="s">
        <v>2053</v>
      </c>
    </row>
    <row r="1845" spans="1:26" x14ac:dyDescent="0.35">
      <c r="A1845" t="s">
        <v>1782</v>
      </c>
      <c r="B1845" t="s">
        <v>5253</v>
      </c>
      <c r="C1845" t="s">
        <v>5251</v>
      </c>
      <c r="D1845" t="s">
        <v>1963</v>
      </c>
      <c r="E1845" t="s">
        <v>2020</v>
      </c>
      <c r="F1845" t="s">
        <v>2021</v>
      </c>
      <c r="G1845" t="s">
        <v>2022</v>
      </c>
      <c r="H1845" t="s">
        <v>2023</v>
      </c>
      <c r="I1845" t="s">
        <v>5266</v>
      </c>
      <c r="J1845" t="s">
        <v>1963</v>
      </c>
      <c r="K1845" t="s">
        <v>5255</v>
      </c>
      <c r="L1845" t="s">
        <v>2046</v>
      </c>
      <c r="M1845" t="s">
        <v>2377</v>
      </c>
      <c r="N1845" t="s">
        <v>2378</v>
      </c>
      <c r="O1845" t="s">
        <v>2740</v>
      </c>
      <c r="P1845" t="s">
        <v>2741</v>
      </c>
      <c r="Q1845" t="s">
        <v>14</v>
      </c>
      <c r="R1845" t="s">
        <v>14</v>
      </c>
      <c r="S1845" t="s">
        <v>14</v>
      </c>
      <c r="T1845" t="s">
        <v>14</v>
      </c>
      <c r="U1845" t="s">
        <v>2052</v>
      </c>
      <c r="V1845" t="s">
        <v>14</v>
      </c>
      <c r="W1845" t="b">
        <v>1</v>
      </c>
      <c r="X1845" t="s">
        <v>1783</v>
      </c>
      <c r="Y1845" t="b">
        <v>0</v>
      </c>
      <c r="Z1845" t="s">
        <v>2053</v>
      </c>
    </row>
    <row r="1846" spans="1:26" x14ac:dyDescent="0.35">
      <c r="A1846" t="s">
        <v>1782</v>
      </c>
      <c r="B1846" t="s">
        <v>5253</v>
      </c>
      <c r="C1846" t="s">
        <v>5251</v>
      </c>
      <c r="D1846" t="s">
        <v>1963</v>
      </c>
      <c r="E1846" t="s">
        <v>2020</v>
      </c>
      <c r="F1846" t="s">
        <v>2021</v>
      </c>
      <c r="G1846" t="s">
        <v>2022</v>
      </c>
      <c r="H1846" t="s">
        <v>2023</v>
      </c>
      <c r="I1846" t="s">
        <v>5267</v>
      </c>
      <c r="J1846" t="s">
        <v>1963</v>
      </c>
      <c r="K1846" t="s">
        <v>5255</v>
      </c>
      <c r="L1846" t="s">
        <v>2046</v>
      </c>
      <c r="M1846" t="s">
        <v>14</v>
      </c>
      <c r="N1846" t="s">
        <v>14</v>
      </c>
      <c r="O1846" t="s">
        <v>2740</v>
      </c>
      <c r="P1846" t="s">
        <v>2741</v>
      </c>
      <c r="Q1846" t="s">
        <v>14</v>
      </c>
      <c r="R1846" t="s">
        <v>14</v>
      </c>
      <c r="S1846" t="s">
        <v>14</v>
      </c>
      <c r="T1846" t="s">
        <v>14</v>
      </c>
      <c r="U1846" t="s">
        <v>2052</v>
      </c>
      <c r="V1846" t="s">
        <v>14</v>
      </c>
      <c r="W1846" t="b">
        <v>1</v>
      </c>
      <c r="X1846" t="s">
        <v>1783</v>
      </c>
      <c r="Y1846" t="b">
        <v>0</v>
      </c>
      <c r="Z1846" t="s">
        <v>2053</v>
      </c>
    </row>
    <row r="1847" spans="1:26" x14ac:dyDescent="0.35">
      <c r="A1847" t="s">
        <v>1782</v>
      </c>
      <c r="B1847" t="s">
        <v>5253</v>
      </c>
      <c r="C1847" t="s">
        <v>5251</v>
      </c>
      <c r="D1847" t="s">
        <v>1963</v>
      </c>
      <c r="E1847" t="s">
        <v>2020</v>
      </c>
      <c r="F1847" t="s">
        <v>2021</v>
      </c>
      <c r="G1847" t="s">
        <v>2022</v>
      </c>
      <c r="H1847" t="s">
        <v>2023</v>
      </c>
      <c r="I1847" t="s">
        <v>5268</v>
      </c>
      <c r="J1847" t="s">
        <v>1963</v>
      </c>
      <c r="K1847" t="s">
        <v>5255</v>
      </c>
      <c r="L1847" t="s">
        <v>2046</v>
      </c>
      <c r="M1847" t="s">
        <v>2377</v>
      </c>
      <c r="N1847" t="s">
        <v>2378</v>
      </c>
      <c r="O1847" t="s">
        <v>2740</v>
      </c>
      <c r="P1847" t="s">
        <v>2741</v>
      </c>
      <c r="Q1847" t="s">
        <v>14</v>
      </c>
      <c r="R1847" t="s">
        <v>14</v>
      </c>
      <c r="S1847" t="s">
        <v>14</v>
      </c>
      <c r="T1847" t="s">
        <v>14</v>
      </c>
      <c r="U1847" t="s">
        <v>2052</v>
      </c>
      <c r="V1847" t="s">
        <v>14</v>
      </c>
      <c r="W1847" t="b">
        <v>1</v>
      </c>
      <c r="X1847" t="s">
        <v>1783</v>
      </c>
      <c r="Y1847" t="b">
        <v>0</v>
      </c>
      <c r="Z1847" t="s">
        <v>2053</v>
      </c>
    </row>
    <row r="1848" spans="1:26" x14ac:dyDescent="0.35">
      <c r="A1848" t="s">
        <v>1782</v>
      </c>
      <c r="B1848" t="s">
        <v>5253</v>
      </c>
      <c r="C1848" t="s">
        <v>5251</v>
      </c>
      <c r="D1848" t="s">
        <v>1963</v>
      </c>
      <c r="E1848" t="s">
        <v>2020</v>
      </c>
      <c r="F1848" t="s">
        <v>2021</v>
      </c>
      <c r="G1848" t="s">
        <v>2022</v>
      </c>
      <c r="H1848" t="s">
        <v>2023</v>
      </c>
      <c r="I1848" t="s">
        <v>5269</v>
      </c>
      <c r="J1848" t="s">
        <v>1963</v>
      </c>
      <c r="K1848" t="s">
        <v>5255</v>
      </c>
      <c r="L1848" t="s">
        <v>2046</v>
      </c>
      <c r="M1848" t="s">
        <v>14</v>
      </c>
      <c r="N1848" t="s">
        <v>14</v>
      </c>
      <c r="O1848" t="s">
        <v>2740</v>
      </c>
      <c r="P1848" t="s">
        <v>2741</v>
      </c>
      <c r="Q1848" t="s">
        <v>14</v>
      </c>
      <c r="R1848" t="s">
        <v>14</v>
      </c>
      <c r="S1848" t="s">
        <v>14</v>
      </c>
      <c r="T1848" t="s">
        <v>14</v>
      </c>
      <c r="U1848" t="s">
        <v>2052</v>
      </c>
      <c r="V1848" t="s">
        <v>14</v>
      </c>
      <c r="W1848" t="b">
        <v>1</v>
      </c>
      <c r="X1848" t="s">
        <v>1783</v>
      </c>
      <c r="Y1848" t="b">
        <v>0</v>
      </c>
      <c r="Z1848" t="s">
        <v>2053</v>
      </c>
    </row>
    <row r="1849" spans="1:26" x14ac:dyDescent="0.35">
      <c r="A1849" t="s">
        <v>1782</v>
      </c>
      <c r="B1849" t="s">
        <v>5253</v>
      </c>
      <c r="C1849" t="s">
        <v>5251</v>
      </c>
      <c r="D1849" t="s">
        <v>1963</v>
      </c>
      <c r="E1849" t="s">
        <v>2020</v>
      </c>
      <c r="F1849" t="s">
        <v>2021</v>
      </c>
      <c r="G1849" t="s">
        <v>2022</v>
      </c>
      <c r="H1849" t="s">
        <v>2023</v>
      </c>
      <c r="I1849" t="s">
        <v>2299</v>
      </c>
      <c r="J1849" t="s">
        <v>1963</v>
      </c>
      <c r="K1849" t="s">
        <v>5255</v>
      </c>
      <c r="L1849" t="s">
        <v>2046</v>
      </c>
      <c r="M1849" t="s">
        <v>2300</v>
      </c>
      <c r="N1849" t="s">
        <v>2301</v>
      </c>
      <c r="O1849" t="s">
        <v>2292</v>
      </c>
      <c r="P1849" t="s">
        <v>2293</v>
      </c>
      <c r="Q1849" t="s">
        <v>14</v>
      </c>
      <c r="R1849" t="s">
        <v>14</v>
      </c>
      <c r="S1849" t="s">
        <v>14</v>
      </c>
      <c r="T1849" t="s">
        <v>14</v>
      </c>
      <c r="U1849" t="s">
        <v>2052</v>
      </c>
      <c r="V1849" t="s">
        <v>14</v>
      </c>
      <c r="W1849" t="b">
        <v>1</v>
      </c>
      <c r="X1849" t="s">
        <v>1783</v>
      </c>
      <c r="Y1849" t="b">
        <v>0</v>
      </c>
      <c r="Z1849" t="s">
        <v>2053</v>
      </c>
    </row>
    <row r="1850" spans="1:26" x14ac:dyDescent="0.35">
      <c r="A1850" t="s">
        <v>1782</v>
      </c>
      <c r="B1850" t="s">
        <v>5253</v>
      </c>
      <c r="C1850" t="s">
        <v>5251</v>
      </c>
      <c r="D1850" t="s">
        <v>1963</v>
      </c>
      <c r="E1850" t="s">
        <v>2020</v>
      </c>
      <c r="F1850" t="s">
        <v>2021</v>
      </c>
      <c r="G1850" t="s">
        <v>2022</v>
      </c>
      <c r="H1850" t="s">
        <v>2023</v>
      </c>
      <c r="I1850" t="s">
        <v>5270</v>
      </c>
      <c r="J1850" t="s">
        <v>1963</v>
      </c>
      <c r="K1850" t="s">
        <v>5255</v>
      </c>
      <c r="L1850" t="s">
        <v>2046</v>
      </c>
      <c r="M1850" t="s">
        <v>14</v>
      </c>
      <c r="N1850" t="s">
        <v>14</v>
      </c>
      <c r="O1850" t="s">
        <v>2740</v>
      </c>
      <c r="P1850" t="s">
        <v>2741</v>
      </c>
      <c r="Q1850" t="s">
        <v>14</v>
      </c>
      <c r="R1850" t="s">
        <v>14</v>
      </c>
      <c r="S1850" t="s">
        <v>14</v>
      </c>
      <c r="T1850" t="s">
        <v>14</v>
      </c>
      <c r="U1850" t="s">
        <v>2052</v>
      </c>
      <c r="V1850" t="s">
        <v>14</v>
      </c>
      <c r="W1850" t="b">
        <v>1</v>
      </c>
      <c r="X1850" t="s">
        <v>1783</v>
      </c>
      <c r="Y1850" t="b">
        <v>0</v>
      </c>
      <c r="Z1850" t="s">
        <v>2053</v>
      </c>
    </row>
    <row r="1851" spans="1:26" x14ac:dyDescent="0.35">
      <c r="A1851" t="s">
        <v>1782</v>
      </c>
      <c r="B1851" t="s">
        <v>5253</v>
      </c>
      <c r="C1851" t="s">
        <v>5251</v>
      </c>
      <c r="D1851" t="s">
        <v>1963</v>
      </c>
      <c r="E1851" t="s">
        <v>2020</v>
      </c>
      <c r="F1851" t="s">
        <v>2021</v>
      </c>
      <c r="G1851" t="s">
        <v>2022</v>
      </c>
      <c r="H1851" t="s">
        <v>2023</v>
      </c>
      <c r="I1851" t="s">
        <v>5271</v>
      </c>
      <c r="J1851" t="s">
        <v>1963</v>
      </c>
      <c r="K1851" t="s">
        <v>5255</v>
      </c>
      <c r="L1851" t="s">
        <v>2046</v>
      </c>
      <c r="M1851" t="s">
        <v>2740</v>
      </c>
      <c r="N1851" t="s">
        <v>2741</v>
      </c>
      <c r="O1851" t="s">
        <v>2740</v>
      </c>
      <c r="P1851" t="s">
        <v>2741</v>
      </c>
      <c r="Q1851" t="s">
        <v>14</v>
      </c>
      <c r="R1851" t="s">
        <v>14</v>
      </c>
      <c r="S1851" t="s">
        <v>14</v>
      </c>
      <c r="T1851" t="s">
        <v>14</v>
      </c>
      <c r="U1851" t="s">
        <v>2052</v>
      </c>
      <c r="V1851" t="s">
        <v>14</v>
      </c>
      <c r="W1851" t="b">
        <v>1</v>
      </c>
      <c r="X1851" t="s">
        <v>1783</v>
      </c>
      <c r="Y1851" t="b">
        <v>0</v>
      </c>
      <c r="Z1851" t="s">
        <v>2053</v>
      </c>
    </row>
    <row r="1852" spans="1:26" x14ac:dyDescent="0.35">
      <c r="A1852" t="s">
        <v>1782</v>
      </c>
      <c r="B1852" t="s">
        <v>5253</v>
      </c>
      <c r="C1852" t="s">
        <v>5251</v>
      </c>
      <c r="D1852" t="s">
        <v>1963</v>
      </c>
      <c r="E1852" t="s">
        <v>2020</v>
      </c>
      <c r="F1852" t="s">
        <v>2021</v>
      </c>
      <c r="G1852" t="s">
        <v>2022</v>
      </c>
      <c r="H1852" t="s">
        <v>2023</v>
      </c>
      <c r="I1852" t="s">
        <v>5272</v>
      </c>
      <c r="J1852" t="s">
        <v>1963</v>
      </c>
      <c r="K1852" t="s">
        <v>5255</v>
      </c>
      <c r="L1852" t="s">
        <v>2046</v>
      </c>
      <c r="M1852" t="s">
        <v>2740</v>
      </c>
      <c r="N1852" t="s">
        <v>2741</v>
      </c>
      <c r="O1852" t="s">
        <v>2740</v>
      </c>
      <c r="P1852" t="s">
        <v>2741</v>
      </c>
      <c r="Q1852" t="s">
        <v>14</v>
      </c>
      <c r="R1852" t="s">
        <v>14</v>
      </c>
      <c r="S1852" t="s">
        <v>14</v>
      </c>
      <c r="T1852" t="s">
        <v>14</v>
      </c>
      <c r="U1852" t="s">
        <v>2233</v>
      </c>
      <c r="V1852" t="s">
        <v>14</v>
      </c>
      <c r="W1852" t="b">
        <v>1</v>
      </c>
      <c r="X1852" t="s">
        <v>1783</v>
      </c>
      <c r="Y1852" t="b">
        <v>0</v>
      </c>
      <c r="Z1852" t="s">
        <v>2053</v>
      </c>
    </row>
    <row r="1853" spans="1:26" x14ac:dyDescent="0.35">
      <c r="A1853" t="s">
        <v>1782</v>
      </c>
      <c r="B1853" t="s">
        <v>5253</v>
      </c>
      <c r="C1853" t="s">
        <v>5251</v>
      </c>
      <c r="D1853" t="s">
        <v>1963</v>
      </c>
      <c r="E1853" t="s">
        <v>2020</v>
      </c>
      <c r="F1853" t="s">
        <v>2021</v>
      </c>
      <c r="G1853" t="s">
        <v>2022</v>
      </c>
      <c r="H1853" t="s">
        <v>2023</v>
      </c>
      <c r="I1853" t="s">
        <v>5273</v>
      </c>
      <c r="J1853" t="s">
        <v>1963</v>
      </c>
      <c r="K1853" t="s">
        <v>5255</v>
      </c>
      <c r="L1853" t="s">
        <v>2046</v>
      </c>
      <c r="M1853" t="s">
        <v>2377</v>
      </c>
      <c r="N1853" t="s">
        <v>2378</v>
      </c>
      <c r="O1853" t="s">
        <v>2740</v>
      </c>
      <c r="P1853" t="s">
        <v>2741</v>
      </c>
      <c r="Q1853" t="s">
        <v>14</v>
      </c>
      <c r="R1853" t="s">
        <v>14</v>
      </c>
      <c r="S1853" t="s">
        <v>14</v>
      </c>
      <c r="T1853" t="s">
        <v>14</v>
      </c>
      <c r="U1853" t="s">
        <v>2052</v>
      </c>
      <c r="V1853" t="s">
        <v>14</v>
      </c>
      <c r="W1853" t="b">
        <v>1</v>
      </c>
      <c r="X1853" t="s">
        <v>1783</v>
      </c>
      <c r="Y1853" t="b">
        <v>0</v>
      </c>
      <c r="Z1853" t="s">
        <v>2053</v>
      </c>
    </row>
    <row r="1854" spans="1:26" x14ac:dyDescent="0.35">
      <c r="A1854" t="s">
        <v>1782</v>
      </c>
      <c r="B1854" t="s">
        <v>5253</v>
      </c>
      <c r="C1854" t="s">
        <v>5251</v>
      </c>
      <c r="D1854" t="s">
        <v>1963</v>
      </c>
      <c r="E1854" t="s">
        <v>2020</v>
      </c>
      <c r="F1854" t="s">
        <v>2021</v>
      </c>
      <c r="G1854" t="s">
        <v>2022</v>
      </c>
      <c r="H1854" t="s">
        <v>2023</v>
      </c>
      <c r="I1854" t="s">
        <v>2207</v>
      </c>
      <c r="J1854" t="s">
        <v>1963</v>
      </c>
      <c r="K1854" t="s">
        <v>5255</v>
      </c>
      <c r="L1854" t="s">
        <v>2046</v>
      </c>
      <c r="M1854" t="s">
        <v>2205</v>
      </c>
      <c r="N1854" t="s">
        <v>2206</v>
      </c>
      <c r="O1854" t="s">
        <v>2205</v>
      </c>
      <c r="P1854" t="s">
        <v>2206</v>
      </c>
      <c r="Q1854" t="s">
        <v>14</v>
      </c>
      <c r="R1854" t="s">
        <v>14</v>
      </c>
      <c r="S1854" t="s">
        <v>14</v>
      </c>
      <c r="T1854" t="s">
        <v>14</v>
      </c>
      <c r="U1854" t="s">
        <v>2052</v>
      </c>
      <c r="V1854" t="s">
        <v>14</v>
      </c>
      <c r="W1854" t="b">
        <v>1</v>
      </c>
      <c r="X1854" t="s">
        <v>1783</v>
      </c>
      <c r="Y1854" t="b">
        <v>0</v>
      </c>
      <c r="Z1854" t="s">
        <v>2053</v>
      </c>
    </row>
    <row r="1855" spans="1:26" x14ac:dyDescent="0.35">
      <c r="A1855" t="s">
        <v>1782</v>
      </c>
      <c r="B1855" t="s">
        <v>5253</v>
      </c>
      <c r="C1855" t="s">
        <v>5251</v>
      </c>
      <c r="D1855" t="s">
        <v>1963</v>
      </c>
      <c r="E1855" t="s">
        <v>2020</v>
      </c>
      <c r="F1855" t="s">
        <v>2021</v>
      </c>
      <c r="G1855" t="s">
        <v>2022</v>
      </c>
      <c r="H1855" t="s">
        <v>2023</v>
      </c>
      <c r="I1855" t="s">
        <v>5274</v>
      </c>
      <c r="J1855" t="s">
        <v>1963</v>
      </c>
      <c r="K1855" t="s">
        <v>5255</v>
      </c>
      <c r="L1855" t="s">
        <v>2046</v>
      </c>
      <c r="M1855" t="s">
        <v>14</v>
      </c>
      <c r="N1855" t="s">
        <v>14</v>
      </c>
      <c r="O1855" t="s">
        <v>2740</v>
      </c>
      <c r="P1855" t="s">
        <v>2741</v>
      </c>
      <c r="Q1855" t="s">
        <v>14</v>
      </c>
      <c r="R1855" t="s">
        <v>14</v>
      </c>
      <c r="S1855" t="s">
        <v>14</v>
      </c>
      <c r="T1855" t="s">
        <v>14</v>
      </c>
      <c r="U1855" t="s">
        <v>2052</v>
      </c>
      <c r="V1855" t="s">
        <v>14</v>
      </c>
      <c r="W1855" t="b">
        <v>1</v>
      </c>
      <c r="X1855" t="s">
        <v>1783</v>
      </c>
      <c r="Y1855" t="b">
        <v>0</v>
      </c>
      <c r="Z1855" t="s">
        <v>2053</v>
      </c>
    </row>
    <row r="1856" spans="1:26" x14ac:dyDescent="0.35">
      <c r="A1856" t="s">
        <v>1782</v>
      </c>
      <c r="B1856" t="s">
        <v>5253</v>
      </c>
      <c r="C1856" t="s">
        <v>5251</v>
      </c>
      <c r="D1856" t="s">
        <v>1963</v>
      </c>
      <c r="E1856" t="s">
        <v>2020</v>
      </c>
      <c r="F1856" t="s">
        <v>2021</v>
      </c>
      <c r="G1856" t="s">
        <v>2022</v>
      </c>
      <c r="H1856" t="s">
        <v>2023</v>
      </c>
      <c r="I1856" t="s">
        <v>5275</v>
      </c>
      <c r="J1856" t="s">
        <v>1963</v>
      </c>
      <c r="K1856" t="s">
        <v>5255</v>
      </c>
      <c r="L1856" t="s">
        <v>2046</v>
      </c>
      <c r="M1856" t="s">
        <v>2377</v>
      </c>
      <c r="N1856" t="s">
        <v>2378</v>
      </c>
      <c r="O1856" t="s">
        <v>2740</v>
      </c>
      <c r="P1856" t="s">
        <v>2741</v>
      </c>
      <c r="Q1856" t="s">
        <v>14</v>
      </c>
      <c r="R1856" t="s">
        <v>14</v>
      </c>
      <c r="S1856" t="s">
        <v>14</v>
      </c>
      <c r="T1856" t="s">
        <v>14</v>
      </c>
      <c r="U1856" t="s">
        <v>2052</v>
      </c>
      <c r="V1856" t="s">
        <v>14</v>
      </c>
      <c r="W1856" t="b">
        <v>1</v>
      </c>
      <c r="X1856" t="s">
        <v>1783</v>
      </c>
      <c r="Y1856" t="b">
        <v>0</v>
      </c>
      <c r="Z1856" t="s">
        <v>2053</v>
      </c>
    </row>
    <row r="1857" spans="1:26" x14ac:dyDescent="0.35">
      <c r="A1857" t="s">
        <v>1782</v>
      </c>
      <c r="B1857" t="s">
        <v>5253</v>
      </c>
      <c r="C1857" t="s">
        <v>5251</v>
      </c>
      <c r="D1857" t="s">
        <v>1963</v>
      </c>
      <c r="E1857" t="s">
        <v>2020</v>
      </c>
      <c r="F1857" t="s">
        <v>2021</v>
      </c>
      <c r="G1857" t="s">
        <v>2022</v>
      </c>
      <c r="H1857" t="s">
        <v>2023</v>
      </c>
      <c r="I1857" t="s">
        <v>2665</v>
      </c>
      <c r="J1857" t="s">
        <v>1963</v>
      </c>
      <c r="K1857" t="s">
        <v>5255</v>
      </c>
      <c r="L1857" t="s">
        <v>2046</v>
      </c>
      <c r="M1857" t="s">
        <v>2222</v>
      </c>
      <c r="N1857" t="s">
        <v>2223</v>
      </c>
      <c r="O1857" t="s">
        <v>2222</v>
      </c>
      <c r="P1857" t="s">
        <v>2223</v>
      </c>
      <c r="Q1857" t="s">
        <v>14</v>
      </c>
      <c r="R1857" t="s">
        <v>14</v>
      </c>
      <c r="S1857" t="s">
        <v>14</v>
      </c>
      <c r="T1857" t="s">
        <v>14</v>
      </c>
      <c r="U1857" t="s">
        <v>2052</v>
      </c>
      <c r="V1857" t="s">
        <v>14</v>
      </c>
      <c r="W1857" t="b">
        <v>1</v>
      </c>
      <c r="X1857" t="s">
        <v>1783</v>
      </c>
      <c r="Y1857" t="b">
        <v>0</v>
      </c>
      <c r="Z1857" t="s">
        <v>2053</v>
      </c>
    </row>
    <row r="1858" spans="1:26" x14ac:dyDescent="0.35">
      <c r="A1858" t="s">
        <v>1782</v>
      </c>
      <c r="B1858" t="s">
        <v>5253</v>
      </c>
      <c r="C1858" t="s">
        <v>5251</v>
      </c>
      <c r="D1858" t="s">
        <v>1963</v>
      </c>
      <c r="E1858" t="s">
        <v>2020</v>
      </c>
      <c r="F1858" t="s">
        <v>2021</v>
      </c>
      <c r="G1858" t="s">
        <v>2022</v>
      </c>
      <c r="H1858" t="s">
        <v>2023</v>
      </c>
      <c r="I1858" t="s">
        <v>1756</v>
      </c>
      <c r="J1858" t="s">
        <v>1963</v>
      </c>
      <c r="K1858" t="s">
        <v>5255</v>
      </c>
      <c r="L1858" t="s">
        <v>2046</v>
      </c>
      <c r="M1858" t="s">
        <v>2250</v>
      </c>
      <c r="N1858" t="s">
        <v>2251</v>
      </c>
      <c r="O1858" t="s">
        <v>2047</v>
      </c>
      <c r="P1858" t="s">
        <v>2048</v>
      </c>
      <c r="Q1858" t="s">
        <v>2252</v>
      </c>
      <c r="R1858" t="s">
        <v>14</v>
      </c>
      <c r="S1858" t="s">
        <v>2253</v>
      </c>
      <c r="T1858" t="s">
        <v>2254</v>
      </c>
      <c r="U1858" t="s">
        <v>2052</v>
      </c>
      <c r="V1858" t="s">
        <v>14</v>
      </c>
      <c r="W1858" t="b">
        <v>1</v>
      </c>
      <c r="X1858" t="s">
        <v>1783</v>
      </c>
      <c r="Y1858" t="b">
        <v>0</v>
      </c>
      <c r="Z1858" t="s">
        <v>2081</v>
      </c>
    </row>
    <row r="1859" spans="1:26" x14ac:dyDescent="0.35">
      <c r="A1859" t="s">
        <v>1782</v>
      </c>
      <c r="B1859" t="s">
        <v>5253</v>
      </c>
      <c r="C1859" t="s">
        <v>5251</v>
      </c>
      <c r="D1859" t="s">
        <v>1963</v>
      </c>
      <c r="E1859" t="s">
        <v>2020</v>
      </c>
      <c r="F1859" t="s">
        <v>2021</v>
      </c>
      <c r="G1859" t="s">
        <v>2022</v>
      </c>
      <c r="H1859" t="s">
        <v>2023</v>
      </c>
      <c r="I1859" t="s">
        <v>2238</v>
      </c>
      <c r="J1859" t="s">
        <v>1963</v>
      </c>
      <c r="K1859" t="s">
        <v>5255</v>
      </c>
      <c r="L1859" t="s">
        <v>2046</v>
      </c>
      <c r="M1859" t="s">
        <v>2205</v>
      </c>
      <c r="N1859" t="s">
        <v>2206</v>
      </c>
      <c r="O1859" t="s">
        <v>2205</v>
      </c>
      <c r="P1859" t="s">
        <v>2206</v>
      </c>
      <c r="Q1859" t="s">
        <v>14</v>
      </c>
      <c r="R1859" t="s">
        <v>14</v>
      </c>
      <c r="S1859" t="s">
        <v>14</v>
      </c>
      <c r="T1859" t="s">
        <v>14</v>
      </c>
      <c r="U1859" t="s">
        <v>2052</v>
      </c>
      <c r="V1859" t="s">
        <v>14</v>
      </c>
      <c r="W1859" t="b">
        <v>1</v>
      </c>
      <c r="X1859" t="s">
        <v>1783</v>
      </c>
      <c r="Y1859" t="b">
        <v>0</v>
      </c>
      <c r="Z1859" t="s">
        <v>2053</v>
      </c>
    </row>
    <row r="1860" spans="1:26" x14ac:dyDescent="0.35">
      <c r="A1860" t="s">
        <v>1782</v>
      </c>
      <c r="B1860" t="s">
        <v>5253</v>
      </c>
      <c r="C1860" t="s">
        <v>5251</v>
      </c>
      <c r="D1860" t="s">
        <v>1963</v>
      </c>
      <c r="E1860" t="s">
        <v>2020</v>
      </c>
      <c r="F1860" t="s">
        <v>2021</v>
      </c>
      <c r="G1860" t="s">
        <v>2022</v>
      </c>
      <c r="H1860" t="s">
        <v>2023</v>
      </c>
      <c r="I1860" t="s">
        <v>2225</v>
      </c>
      <c r="J1860" t="s">
        <v>1963</v>
      </c>
      <c r="K1860" t="s">
        <v>5255</v>
      </c>
      <c r="L1860" t="s">
        <v>2046</v>
      </c>
      <c r="M1860" t="s">
        <v>2226</v>
      </c>
      <c r="N1860" t="s">
        <v>2227</v>
      </c>
      <c r="O1860" t="s">
        <v>2205</v>
      </c>
      <c r="P1860" t="s">
        <v>2206</v>
      </c>
      <c r="Q1860" t="s">
        <v>14</v>
      </c>
      <c r="R1860" t="s">
        <v>14</v>
      </c>
      <c r="S1860" t="s">
        <v>14</v>
      </c>
      <c r="T1860" t="s">
        <v>14</v>
      </c>
      <c r="U1860" t="s">
        <v>2052</v>
      </c>
      <c r="V1860" t="s">
        <v>14</v>
      </c>
      <c r="W1860" t="b">
        <v>1</v>
      </c>
      <c r="X1860" t="s">
        <v>1783</v>
      </c>
      <c r="Y1860" t="b">
        <v>0</v>
      </c>
      <c r="Z1860" t="s">
        <v>2053</v>
      </c>
    </row>
    <row r="1861" spans="1:26" x14ac:dyDescent="0.35">
      <c r="A1861" t="s">
        <v>1782</v>
      </c>
      <c r="B1861" t="s">
        <v>5253</v>
      </c>
      <c r="C1861" t="s">
        <v>5251</v>
      </c>
      <c r="D1861" t="s">
        <v>1963</v>
      </c>
      <c r="E1861" t="s">
        <v>2020</v>
      </c>
      <c r="F1861" t="s">
        <v>2021</v>
      </c>
      <c r="G1861" t="s">
        <v>2022</v>
      </c>
      <c r="H1861" t="s">
        <v>2023</v>
      </c>
      <c r="I1861" t="s">
        <v>5276</v>
      </c>
      <c r="J1861" t="s">
        <v>1963</v>
      </c>
      <c r="K1861" t="s">
        <v>5255</v>
      </c>
      <c r="L1861" t="s">
        <v>2046</v>
      </c>
      <c r="M1861" t="s">
        <v>2377</v>
      </c>
      <c r="N1861" t="s">
        <v>2378</v>
      </c>
      <c r="O1861" t="s">
        <v>2740</v>
      </c>
      <c r="P1861" t="s">
        <v>2741</v>
      </c>
      <c r="Q1861" t="s">
        <v>14</v>
      </c>
      <c r="R1861" t="s">
        <v>14</v>
      </c>
      <c r="S1861" t="s">
        <v>14</v>
      </c>
      <c r="T1861" t="s">
        <v>14</v>
      </c>
      <c r="U1861" t="s">
        <v>2052</v>
      </c>
      <c r="V1861" t="s">
        <v>14</v>
      </c>
      <c r="W1861" t="b">
        <v>1</v>
      </c>
      <c r="X1861" t="s">
        <v>1783</v>
      </c>
      <c r="Y1861" t="b">
        <v>0</v>
      </c>
      <c r="Z1861" t="s">
        <v>2053</v>
      </c>
    </row>
    <row r="1862" spans="1:26" x14ac:dyDescent="0.35">
      <c r="A1862" t="s">
        <v>1782</v>
      </c>
      <c r="B1862" t="s">
        <v>5253</v>
      </c>
      <c r="C1862" t="s">
        <v>5251</v>
      </c>
      <c r="D1862" t="s">
        <v>1963</v>
      </c>
      <c r="E1862" t="s">
        <v>2020</v>
      </c>
      <c r="F1862" t="s">
        <v>2021</v>
      </c>
      <c r="G1862" t="s">
        <v>2022</v>
      </c>
      <c r="H1862" t="s">
        <v>2023</v>
      </c>
      <c r="I1862" t="s">
        <v>5277</v>
      </c>
      <c r="J1862" t="s">
        <v>1963</v>
      </c>
      <c r="K1862" t="s">
        <v>5255</v>
      </c>
      <c r="L1862" t="s">
        <v>2046</v>
      </c>
      <c r="M1862" t="s">
        <v>2205</v>
      </c>
      <c r="N1862" t="s">
        <v>2206</v>
      </c>
      <c r="O1862" t="s">
        <v>2205</v>
      </c>
      <c r="P1862" t="s">
        <v>2206</v>
      </c>
      <c r="Q1862" t="s">
        <v>14</v>
      </c>
      <c r="R1862" t="s">
        <v>14</v>
      </c>
      <c r="S1862" t="s">
        <v>14</v>
      </c>
      <c r="T1862" t="s">
        <v>14</v>
      </c>
      <c r="U1862" t="s">
        <v>2052</v>
      </c>
      <c r="V1862" t="s">
        <v>14</v>
      </c>
      <c r="W1862" t="b">
        <v>1</v>
      </c>
      <c r="X1862" t="s">
        <v>1783</v>
      </c>
      <c r="Y1862" t="b">
        <v>0</v>
      </c>
      <c r="Z1862" t="s">
        <v>2053</v>
      </c>
    </row>
    <row r="1863" spans="1:26" x14ac:dyDescent="0.35">
      <c r="A1863" t="s">
        <v>1782</v>
      </c>
      <c r="B1863" t="s">
        <v>5253</v>
      </c>
      <c r="C1863" t="s">
        <v>5251</v>
      </c>
      <c r="D1863" t="s">
        <v>1963</v>
      </c>
      <c r="E1863" t="s">
        <v>2020</v>
      </c>
      <c r="F1863" t="s">
        <v>2021</v>
      </c>
      <c r="G1863" t="s">
        <v>2022</v>
      </c>
      <c r="H1863" t="s">
        <v>2023</v>
      </c>
      <c r="I1863" t="s">
        <v>5278</v>
      </c>
      <c r="J1863" t="s">
        <v>1963</v>
      </c>
      <c r="K1863" t="s">
        <v>5255</v>
      </c>
      <c r="L1863" t="s">
        <v>2046</v>
      </c>
      <c r="M1863" t="s">
        <v>14</v>
      </c>
      <c r="N1863" t="s">
        <v>14</v>
      </c>
      <c r="O1863" t="s">
        <v>2740</v>
      </c>
      <c r="P1863" t="s">
        <v>2741</v>
      </c>
      <c r="Q1863" t="s">
        <v>14</v>
      </c>
      <c r="R1863" t="s">
        <v>14</v>
      </c>
      <c r="S1863" t="s">
        <v>14</v>
      </c>
      <c r="T1863" t="s">
        <v>14</v>
      </c>
      <c r="U1863" t="s">
        <v>2233</v>
      </c>
      <c r="V1863" t="s">
        <v>14</v>
      </c>
      <c r="W1863" t="b">
        <v>1</v>
      </c>
      <c r="X1863" t="s">
        <v>1783</v>
      </c>
      <c r="Y1863" t="b">
        <v>0</v>
      </c>
      <c r="Z1863" t="s">
        <v>2053</v>
      </c>
    </row>
    <row r="1864" spans="1:26" x14ac:dyDescent="0.35">
      <c r="A1864" t="s">
        <v>1784</v>
      </c>
      <c r="B1864" t="s">
        <v>5279</v>
      </c>
      <c r="C1864" t="s">
        <v>5251</v>
      </c>
      <c r="D1864" t="s">
        <v>1963</v>
      </c>
      <c r="E1864" t="s">
        <v>2020</v>
      </c>
      <c r="F1864" t="s">
        <v>2021</v>
      </c>
      <c r="G1864" t="s">
        <v>2022</v>
      </c>
      <c r="H1864" t="s">
        <v>2023</v>
      </c>
      <c r="I1864" t="s">
        <v>2241</v>
      </c>
      <c r="J1864" t="s">
        <v>1963</v>
      </c>
      <c r="K1864" t="s">
        <v>5280</v>
      </c>
      <c r="L1864" t="s">
        <v>2046</v>
      </c>
      <c r="M1864" t="s">
        <v>2243</v>
      </c>
      <c r="N1864" t="s">
        <v>2244</v>
      </c>
      <c r="O1864" t="s">
        <v>2214</v>
      </c>
      <c r="P1864" t="s">
        <v>2215</v>
      </c>
      <c r="Q1864" t="s">
        <v>2245</v>
      </c>
      <c r="R1864" t="s">
        <v>14</v>
      </c>
      <c r="S1864" t="s">
        <v>2205</v>
      </c>
      <c r="T1864" t="s">
        <v>2206</v>
      </c>
      <c r="U1864" t="s">
        <v>2052</v>
      </c>
      <c r="V1864" t="s">
        <v>14</v>
      </c>
      <c r="W1864" t="b">
        <v>1</v>
      </c>
      <c r="X1864" t="s">
        <v>1785</v>
      </c>
      <c r="Y1864" t="b">
        <v>0</v>
      </c>
      <c r="Z1864" t="s">
        <v>2053</v>
      </c>
    </row>
    <row r="1865" spans="1:26" x14ac:dyDescent="0.35">
      <c r="A1865" t="s">
        <v>1786</v>
      </c>
      <c r="B1865" t="s">
        <v>5281</v>
      </c>
      <c r="C1865" t="s">
        <v>5251</v>
      </c>
      <c r="D1865" t="s">
        <v>1963</v>
      </c>
      <c r="E1865" t="s">
        <v>2020</v>
      </c>
      <c r="F1865" t="s">
        <v>2021</v>
      </c>
      <c r="G1865" t="s">
        <v>2022</v>
      </c>
      <c r="H1865" t="s">
        <v>2023</v>
      </c>
      <c r="I1865" t="s">
        <v>1426</v>
      </c>
      <c r="J1865" t="s">
        <v>1963</v>
      </c>
      <c r="K1865" t="s">
        <v>5282</v>
      </c>
      <c r="L1865" t="s">
        <v>2046</v>
      </c>
      <c r="M1865" t="s">
        <v>2058</v>
      </c>
      <c r="N1865" t="s">
        <v>2059</v>
      </c>
      <c r="O1865" t="s">
        <v>2060</v>
      </c>
      <c r="P1865" t="s">
        <v>2061</v>
      </c>
      <c r="Q1865" t="s">
        <v>2062</v>
      </c>
      <c r="R1865" t="s">
        <v>14</v>
      </c>
      <c r="S1865" t="s">
        <v>2063</v>
      </c>
      <c r="T1865" t="s">
        <v>2064</v>
      </c>
      <c r="U1865" t="s">
        <v>2052</v>
      </c>
      <c r="V1865" t="s">
        <v>14</v>
      </c>
      <c r="W1865" t="b">
        <v>1</v>
      </c>
      <c r="X1865" t="s">
        <v>1787</v>
      </c>
      <c r="Y1865" t="b">
        <v>0</v>
      </c>
      <c r="Z1865" t="s">
        <v>2053</v>
      </c>
    </row>
    <row r="1866" spans="1:26" x14ac:dyDescent="0.35">
      <c r="A1866" t="s">
        <v>1788</v>
      </c>
      <c r="B1866" t="s">
        <v>5283</v>
      </c>
      <c r="C1866" t="s">
        <v>5251</v>
      </c>
      <c r="D1866" t="s">
        <v>1963</v>
      </c>
      <c r="E1866" t="s">
        <v>2020</v>
      </c>
      <c r="F1866" t="s">
        <v>2021</v>
      </c>
      <c r="G1866" t="s">
        <v>2022</v>
      </c>
      <c r="H1866" t="s">
        <v>2023</v>
      </c>
      <c r="I1866" t="s">
        <v>1426</v>
      </c>
      <c r="J1866" t="s">
        <v>1963</v>
      </c>
      <c r="K1866" t="s">
        <v>5284</v>
      </c>
      <c r="L1866" t="s">
        <v>2046</v>
      </c>
      <c r="M1866" t="s">
        <v>2058</v>
      </c>
      <c r="N1866" t="s">
        <v>2059</v>
      </c>
      <c r="O1866" t="s">
        <v>2060</v>
      </c>
      <c r="P1866" t="s">
        <v>2061</v>
      </c>
      <c r="Q1866" t="s">
        <v>2062</v>
      </c>
      <c r="R1866" t="s">
        <v>14</v>
      </c>
      <c r="S1866" t="s">
        <v>2063</v>
      </c>
      <c r="T1866" t="s">
        <v>2064</v>
      </c>
      <c r="U1866" t="s">
        <v>2052</v>
      </c>
      <c r="V1866" t="s">
        <v>14</v>
      </c>
      <c r="W1866" t="b">
        <v>1</v>
      </c>
      <c r="X1866" t="s">
        <v>1789</v>
      </c>
      <c r="Y1866" t="b">
        <v>0</v>
      </c>
      <c r="Z1866" t="s">
        <v>2053</v>
      </c>
    </row>
    <row r="1867" spans="1:26" x14ac:dyDescent="0.35">
      <c r="A1867" t="s">
        <v>1790</v>
      </c>
      <c r="B1867" t="s">
        <v>5285</v>
      </c>
      <c r="C1867" t="s">
        <v>5251</v>
      </c>
      <c r="D1867" t="s">
        <v>1963</v>
      </c>
      <c r="E1867" t="s">
        <v>2020</v>
      </c>
      <c r="F1867" t="s">
        <v>2021</v>
      </c>
      <c r="G1867" t="s">
        <v>2022</v>
      </c>
      <c r="H1867" t="s">
        <v>2023</v>
      </c>
      <c r="I1867" t="s">
        <v>1426</v>
      </c>
      <c r="J1867" t="s">
        <v>1963</v>
      </c>
      <c r="K1867" t="s">
        <v>5286</v>
      </c>
      <c r="L1867" t="s">
        <v>2046</v>
      </c>
      <c r="M1867" t="s">
        <v>2058</v>
      </c>
      <c r="N1867" t="s">
        <v>2059</v>
      </c>
      <c r="O1867" t="s">
        <v>2060</v>
      </c>
      <c r="P1867" t="s">
        <v>2061</v>
      </c>
      <c r="Q1867" t="s">
        <v>2062</v>
      </c>
      <c r="R1867" t="s">
        <v>14</v>
      </c>
      <c r="S1867" t="s">
        <v>2063</v>
      </c>
      <c r="T1867" t="s">
        <v>2064</v>
      </c>
      <c r="U1867" t="s">
        <v>2052</v>
      </c>
      <c r="V1867" t="s">
        <v>14</v>
      </c>
      <c r="W1867" t="b">
        <v>1</v>
      </c>
      <c r="X1867" t="s">
        <v>1791</v>
      </c>
      <c r="Y1867" t="b">
        <v>0</v>
      </c>
      <c r="Z1867" t="s">
        <v>2053</v>
      </c>
    </row>
    <row r="1868" spans="1:26" x14ac:dyDescent="0.35">
      <c r="A1868" t="s">
        <v>1792</v>
      </c>
      <c r="B1868" t="s">
        <v>5287</v>
      </c>
      <c r="C1868" t="s">
        <v>5251</v>
      </c>
      <c r="D1868" t="s">
        <v>1963</v>
      </c>
      <c r="E1868" t="s">
        <v>2020</v>
      </c>
      <c r="F1868" t="s">
        <v>2055</v>
      </c>
      <c r="G1868" t="s">
        <v>2056</v>
      </c>
      <c r="H1868" t="s">
        <v>2023</v>
      </c>
      <c r="I1868" t="s">
        <v>1426</v>
      </c>
      <c r="J1868" t="s">
        <v>1963</v>
      </c>
      <c r="K1868" t="s">
        <v>5288</v>
      </c>
      <c r="L1868" t="s">
        <v>2046</v>
      </c>
      <c r="M1868" t="s">
        <v>2058</v>
      </c>
      <c r="N1868" t="s">
        <v>2059</v>
      </c>
      <c r="O1868" t="s">
        <v>2060</v>
      </c>
      <c r="P1868" t="s">
        <v>2061</v>
      </c>
      <c r="Q1868" t="s">
        <v>2062</v>
      </c>
      <c r="R1868" t="s">
        <v>14</v>
      </c>
      <c r="S1868" t="s">
        <v>2063</v>
      </c>
      <c r="T1868" t="s">
        <v>2064</v>
      </c>
      <c r="U1868" t="s">
        <v>2052</v>
      </c>
      <c r="V1868" t="s">
        <v>14</v>
      </c>
      <c r="W1868" t="b">
        <v>1</v>
      </c>
      <c r="X1868" t="s">
        <v>1793</v>
      </c>
      <c r="Y1868" t="b">
        <v>0</v>
      </c>
      <c r="Z1868" t="s">
        <v>2053</v>
      </c>
    </row>
    <row r="1869" spans="1:26" x14ac:dyDescent="0.35">
      <c r="A1869" t="s">
        <v>1792</v>
      </c>
      <c r="B1869" t="s">
        <v>5287</v>
      </c>
      <c r="C1869" t="s">
        <v>5251</v>
      </c>
      <c r="D1869" t="s">
        <v>1963</v>
      </c>
      <c r="E1869" t="s">
        <v>2020</v>
      </c>
      <c r="F1869" t="s">
        <v>2055</v>
      </c>
      <c r="G1869" t="s">
        <v>2056</v>
      </c>
      <c r="H1869" t="s">
        <v>2023</v>
      </c>
      <c r="I1869" t="s">
        <v>2132</v>
      </c>
      <c r="J1869" t="s">
        <v>1963</v>
      </c>
      <c r="K1869" t="s">
        <v>5288</v>
      </c>
      <c r="L1869" t="s">
        <v>2046</v>
      </c>
      <c r="M1869" t="s">
        <v>2058</v>
      </c>
      <c r="N1869" t="s">
        <v>2059</v>
      </c>
      <c r="O1869" t="s">
        <v>2060</v>
      </c>
      <c r="P1869" t="s">
        <v>2061</v>
      </c>
      <c r="Q1869" t="s">
        <v>2062</v>
      </c>
      <c r="R1869" t="s">
        <v>14</v>
      </c>
      <c r="S1869" t="s">
        <v>2134</v>
      </c>
      <c r="T1869" t="s">
        <v>2135</v>
      </c>
      <c r="U1869" t="s">
        <v>2052</v>
      </c>
      <c r="V1869" t="s">
        <v>14</v>
      </c>
      <c r="W1869" t="b">
        <v>1</v>
      </c>
      <c r="X1869" t="s">
        <v>1793</v>
      </c>
      <c r="Y1869" t="b">
        <v>0</v>
      </c>
      <c r="Z1869" t="s">
        <v>2053</v>
      </c>
    </row>
    <row r="1870" spans="1:26" x14ac:dyDescent="0.35">
      <c r="A1870" t="s">
        <v>1794</v>
      </c>
      <c r="B1870" t="s">
        <v>5289</v>
      </c>
      <c r="C1870" t="s">
        <v>5251</v>
      </c>
      <c r="D1870" t="s">
        <v>1963</v>
      </c>
      <c r="E1870" t="s">
        <v>2020</v>
      </c>
      <c r="F1870" t="s">
        <v>2055</v>
      </c>
      <c r="G1870" t="s">
        <v>2056</v>
      </c>
      <c r="H1870" t="s">
        <v>2023</v>
      </c>
      <c r="I1870" t="s">
        <v>1426</v>
      </c>
      <c r="J1870" t="s">
        <v>1963</v>
      </c>
      <c r="K1870" t="s">
        <v>5290</v>
      </c>
      <c r="L1870" t="s">
        <v>2046</v>
      </c>
      <c r="M1870" t="s">
        <v>2058</v>
      </c>
      <c r="N1870" t="s">
        <v>2059</v>
      </c>
      <c r="O1870" t="s">
        <v>2060</v>
      </c>
      <c r="P1870" t="s">
        <v>2061</v>
      </c>
      <c r="Q1870" t="s">
        <v>2062</v>
      </c>
      <c r="R1870" t="s">
        <v>14</v>
      </c>
      <c r="S1870" t="s">
        <v>2063</v>
      </c>
      <c r="T1870" t="s">
        <v>2064</v>
      </c>
      <c r="U1870" t="s">
        <v>2052</v>
      </c>
      <c r="V1870" t="s">
        <v>14</v>
      </c>
      <c r="W1870" t="b">
        <v>1</v>
      </c>
      <c r="X1870" t="s">
        <v>1795</v>
      </c>
      <c r="Y1870" t="b">
        <v>0</v>
      </c>
      <c r="Z1870" t="s">
        <v>2053</v>
      </c>
    </row>
    <row r="1871" spans="1:26" x14ac:dyDescent="0.35">
      <c r="A1871" t="s">
        <v>1796</v>
      </c>
      <c r="B1871" t="s">
        <v>5291</v>
      </c>
      <c r="C1871" t="s">
        <v>5251</v>
      </c>
      <c r="D1871" t="s">
        <v>1963</v>
      </c>
      <c r="E1871" t="s">
        <v>2020</v>
      </c>
      <c r="F1871" t="s">
        <v>2021</v>
      </c>
      <c r="G1871" t="s">
        <v>2022</v>
      </c>
      <c r="H1871" t="s">
        <v>2023</v>
      </c>
      <c r="I1871" t="s">
        <v>5292</v>
      </c>
      <c r="J1871" t="s">
        <v>1963</v>
      </c>
      <c r="K1871" t="s">
        <v>5293</v>
      </c>
      <c r="L1871" t="s">
        <v>2046</v>
      </c>
      <c r="M1871" t="s">
        <v>2377</v>
      </c>
      <c r="N1871" t="s">
        <v>2378</v>
      </c>
      <c r="O1871" t="s">
        <v>2740</v>
      </c>
      <c r="P1871" t="s">
        <v>2741</v>
      </c>
      <c r="Q1871" t="s">
        <v>14</v>
      </c>
      <c r="R1871" t="s">
        <v>14</v>
      </c>
      <c r="S1871" t="s">
        <v>14</v>
      </c>
      <c r="T1871" t="s">
        <v>14</v>
      </c>
      <c r="U1871" t="s">
        <v>2052</v>
      </c>
      <c r="V1871" t="s">
        <v>14</v>
      </c>
      <c r="W1871" t="b">
        <v>1</v>
      </c>
      <c r="X1871" t="s">
        <v>1797</v>
      </c>
      <c r="Y1871" t="b">
        <v>0</v>
      </c>
      <c r="Z1871" t="s">
        <v>2053</v>
      </c>
    </row>
    <row r="1872" spans="1:26" x14ac:dyDescent="0.35">
      <c r="A1872" t="s">
        <v>1796</v>
      </c>
      <c r="B1872" t="s">
        <v>5291</v>
      </c>
      <c r="C1872" t="s">
        <v>5251</v>
      </c>
      <c r="D1872" t="s">
        <v>1963</v>
      </c>
      <c r="E1872" t="s">
        <v>2020</v>
      </c>
      <c r="F1872" t="s">
        <v>2021</v>
      </c>
      <c r="G1872" t="s">
        <v>2022</v>
      </c>
      <c r="H1872" t="s">
        <v>2023</v>
      </c>
      <c r="I1872" t="s">
        <v>1829</v>
      </c>
      <c r="J1872" t="s">
        <v>1963</v>
      </c>
      <c r="K1872" t="s">
        <v>5293</v>
      </c>
      <c r="L1872" t="s">
        <v>2046</v>
      </c>
      <c r="M1872" t="s">
        <v>14</v>
      </c>
      <c r="N1872" t="s">
        <v>14</v>
      </c>
      <c r="O1872" t="s">
        <v>2111</v>
      </c>
      <c r="P1872" t="s">
        <v>2112</v>
      </c>
      <c r="Q1872" t="s">
        <v>14</v>
      </c>
      <c r="R1872" t="s">
        <v>14</v>
      </c>
      <c r="S1872" t="s">
        <v>14</v>
      </c>
      <c r="T1872" t="s">
        <v>14</v>
      </c>
      <c r="U1872" t="s">
        <v>2052</v>
      </c>
      <c r="V1872" t="s">
        <v>14</v>
      </c>
      <c r="W1872" t="b">
        <v>1</v>
      </c>
      <c r="X1872" t="s">
        <v>1797</v>
      </c>
      <c r="Y1872" t="b">
        <v>0</v>
      </c>
      <c r="Z1872" t="s">
        <v>2053</v>
      </c>
    </row>
    <row r="1873" spans="1:26" x14ac:dyDescent="0.35">
      <c r="A1873" t="s">
        <v>1796</v>
      </c>
      <c r="B1873" t="s">
        <v>5291</v>
      </c>
      <c r="C1873" t="s">
        <v>5251</v>
      </c>
      <c r="D1873" t="s">
        <v>1963</v>
      </c>
      <c r="E1873" t="s">
        <v>2020</v>
      </c>
      <c r="F1873" t="s">
        <v>2021</v>
      </c>
      <c r="G1873" t="s">
        <v>2022</v>
      </c>
      <c r="H1873" t="s">
        <v>2023</v>
      </c>
      <c r="I1873" t="s">
        <v>5294</v>
      </c>
      <c r="J1873" t="s">
        <v>1963</v>
      </c>
      <c r="K1873" t="s">
        <v>5293</v>
      </c>
      <c r="L1873" t="s">
        <v>2046</v>
      </c>
      <c r="M1873" t="s">
        <v>2740</v>
      </c>
      <c r="N1873" t="s">
        <v>2741</v>
      </c>
      <c r="O1873" t="s">
        <v>2740</v>
      </c>
      <c r="P1873" t="s">
        <v>2741</v>
      </c>
      <c r="Q1873" t="s">
        <v>14</v>
      </c>
      <c r="R1873" t="s">
        <v>14</v>
      </c>
      <c r="S1873" t="s">
        <v>14</v>
      </c>
      <c r="T1873" t="s">
        <v>14</v>
      </c>
      <c r="U1873" t="s">
        <v>2052</v>
      </c>
      <c r="V1873" t="s">
        <v>14</v>
      </c>
      <c r="W1873" t="b">
        <v>1</v>
      </c>
      <c r="X1873" t="s">
        <v>1797</v>
      </c>
      <c r="Y1873" t="b">
        <v>0</v>
      </c>
      <c r="Z1873" t="s">
        <v>2053</v>
      </c>
    </row>
    <row r="1874" spans="1:26" x14ac:dyDescent="0.35">
      <c r="A1874" t="s">
        <v>1796</v>
      </c>
      <c r="B1874" t="s">
        <v>5291</v>
      </c>
      <c r="C1874" t="s">
        <v>5251</v>
      </c>
      <c r="D1874" t="s">
        <v>1963</v>
      </c>
      <c r="E1874" t="s">
        <v>2020</v>
      </c>
      <c r="F1874" t="s">
        <v>2021</v>
      </c>
      <c r="G1874" t="s">
        <v>2022</v>
      </c>
      <c r="H1874" t="s">
        <v>2023</v>
      </c>
      <c r="I1874" t="s">
        <v>5295</v>
      </c>
      <c r="J1874" t="s">
        <v>1963</v>
      </c>
      <c r="K1874" t="s">
        <v>5293</v>
      </c>
      <c r="L1874" t="s">
        <v>2046</v>
      </c>
      <c r="M1874" t="s">
        <v>14</v>
      </c>
      <c r="N1874" t="s">
        <v>14</v>
      </c>
      <c r="O1874" t="s">
        <v>2740</v>
      </c>
      <c r="P1874" t="s">
        <v>2741</v>
      </c>
      <c r="Q1874" t="s">
        <v>14</v>
      </c>
      <c r="R1874" t="s">
        <v>14</v>
      </c>
      <c r="S1874" t="s">
        <v>14</v>
      </c>
      <c r="T1874" t="s">
        <v>14</v>
      </c>
      <c r="U1874" t="s">
        <v>2052</v>
      </c>
      <c r="V1874" t="s">
        <v>14</v>
      </c>
      <c r="W1874" t="b">
        <v>1</v>
      </c>
      <c r="X1874" t="s">
        <v>1797</v>
      </c>
      <c r="Y1874" t="b">
        <v>0</v>
      </c>
      <c r="Z1874" t="s">
        <v>2053</v>
      </c>
    </row>
    <row r="1875" spans="1:26" x14ac:dyDescent="0.35">
      <c r="A1875" t="s">
        <v>1796</v>
      </c>
      <c r="B1875" t="s">
        <v>5291</v>
      </c>
      <c r="C1875" t="s">
        <v>5251</v>
      </c>
      <c r="D1875" t="s">
        <v>1963</v>
      </c>
      <c r="E1875" t="s">
        <v>2020</v>
      </c>
      <c r="F1875" t="s">
        <v>2021</v>
      </c>
      <c r="G1875" t="s">
        <v>2022</v>
      </c>
      <c r="H1875" t="s">
        <v>2023</v>
      </c>
      <c r="I1875" t="s">
        <v>5296</v>
      </c>
      <c r="J1875" t="s">
        <v>1963</v>
      </c>
      <c r="K1875" t="s">
        <v>5293</v>
      </c>
      <c r="L1875" t="s">
        <v>2046</v>
      </c>
      <c r="M1875" t="s">
        <v>2377</v>
      </c>
      <c r="N1875" t="s">
        <v>2378</v>
      </c>
      <c r="O1875" t="s">
        <v>2740</v>
      </c>
      <c r="P1875" t="s">
        <v>2741</v>
      </c>
      <c r="Q1875" t="s">
        <v>14</v>
      </c>
      <c r="R1875" t="s">
        <v>14</v>
      </c>
      <c r="S1875" t="s">
        <v>14</v>
      </c>
      <c r="T1875" t="s">
        <v>14</v>
      </c>
      <c r="U1875" t="s">
        <v>2052</v>
      </c>
      <c r="V1875" t="s">
        <v>14</v>
      </c>
      <c r="W1875" t="b">
        <v>1</v>
      </c>
      <c r="X1875" t="s">
        <v>1797</v>
      </c>
      <c r="Y1875" t="b">
        <v>0</v>
      </c>
      <c r="Z1875" t="s">
        <v>2053</v>
      </c>
    </row>
    <row r="1876" spans="1:26" x14ac:dyDescent="0.35">
      <c r="A1876" t="s">
        <v>1796</v>
      </c>
      <c r="B1876" t="s">
        <v>5291</v>
      </c>
      <c r="C1876" t="s">
        <v>5251</v>
      </c>
      <c r="D1876" t="s">
        <v>1963</v>
      </c>
      <c r="E1876" t="s">
        <v>2020</v>
      </c>
      <c r="F1876" t="s">
        <v>2021</v>
      </c>
      <c r="G1876" t="s">
        <v>2022</v>
      </c>
      <c r="H1876" t="s">
        <v>2023</v>
      </c>
      <c r="I1876" t="s">
        <v>5297</v>
      </c>
      <c r="J1876" t="s">
        <v>1963</v>
      </c>
      <c r="K1876" t="s">
        <v>5293</v>
      </c>
      <c r="L1876" t="s">
        <v>2046</v>
      </c>
      <c r="M1876" t="s">
        <v>14</v>
      </c>
      <c r="N1876" t="s">
        <v>14</v>
      </c>
      <c r="O1876" t="s">
        <v>2740</v>
      </c>
      <c r="P1876" t="s">
        <v>2741</v>
      </c>
      <c r="Q1876" t="s">
        <v>14</v>
      </c>
      <c r="R1876" t="s">
        <v>14</v>
      </c>
      <c r="S1876" t="s">
        <v>14</v>
      </c>
      <c r="T1876" t="s">
        <v>14</v>
      </c>
      <c r="U1876" t="s">
        <v>2052</v>
      </c>
      <c r="V1876" t="s">
        <v>14</v>
      </c>
      <c r="W1876" t="b">
        <v>1</v>
      </c>
      <c r="X1876" t="s">
        <v>1797</v>
      </c>
      <c r="Y1876" t="b">
        <v>0</v>
      </c>
      <c r="Z1876" t="s">
        <v>2053</v>
      </c>
    </row>
    <row r="1877" spans="1:26" x14ac:dyDescent="0.35">
      <c r="A1877" t="s">
        <v>1796</v>
      </c>
      <c r="B1877" t="s">
        <v>5291</v>
      </c>
      <c r="C1877" t="s">
        <v>5251</v>
      </c>
      <c r="D1877" t="s">
        <v>1963</v>
      </c>
      <c r="E1877" t="s">
        <v>2020</v>
      </c>
      <c r="F1877" t="s">
        <v>2021</v>
      </c>
      <c r="G1877" t="s">
        <v>2022</v>
      </c>
      <c r="H1877" t="s">
        <v>2023</v>
      </c>
      <c r="I1877" t="s">
        <v>5298</v>
      </c>
      <c r="J1877" t="s">
        <v>1963</v>
      </c>
      <c r="K1877" t="s">
        <v>5293</v>
      </c>
      <c r="L1877" t="s">
        <v>2046</v>
      </c>
      <c r="M1877" t="s">
        <v>2740</v>
      </c>
      <c r="N1877" t="s">
        <v>2741</v>
      </c>
      <c r="O1877" t="s">
        <v>2740</v>
      </c>
      <c r="P1877" t="s">
        <v>2741</v>
      </c>
      <c r="Q1877" t="s">
        <v>14</v>
      </c>
      <c r="R1877" t="s">
        <v>14</v>
      </c>
      <c r="S1877" t="s">
        <v>14</v>
      </c>
      <c r="T1877" t="s">
        <v>14</v>
      </c>
      <c r="U1877" t="s">
        <v>2052</v>
      </c>
      <c r="V1877" t="s">
        <v>14</v>
      </c>
      <c r="W1877" t="b">
        <v>1</v>
      </c>
      <c r="X1877" t="s">
        <v>1797</v>
      </c>
      <c r="Y1877" t="b">
        <v>0</v>
      </c>
      <c r="Z1877" t="s">
        <v>2053</v>
      </c>
    </row>
    <row r="1878" spans="1:26" x14ac:dyDescent="0.35">
      <c r="A1878" t="s">
        <v>1796</v>
      </c>
      <c r="B1878" t="s">
        <v>5291</v>
      </c>
      <c r="C1878" t="s">
        <v>5251</v>
      </c>
      <c r="D1878" t="s">
        <v>1963</v>
      </c>
      <c r="E1878" t="s">
        <v>2020</v>
      </c>
      <c r="F1878" t="s">
        <v>2021</v>
      </c>
      <c r="G1878" t="s">
        <v>2022</v>
      </c>
      <c r="H1878" t="s">
        <v>2023</v>
      </c>
      <c r="I1878" t="s">
        <v>5299</v>
      </c>
      <c r="J1878" t="s">
        <v>1963</v>
      </c>
      <c r="K1878" t="s">
        <v>5293</v>
      </c>
      <c r="L1878" t="s">
        <v>2046</v>
      </c>
      <c r="M1878" t="s">
        <v>14</v>
      </c>
      <c r="N1878" t="s">
        <v>14</v>
      </c>
      <c r="O1878" t="s">
        <v>2740</v>
      </c>
      <c r="P1878" t="s">
        <v>2741</v>
      </c>
      <c r="Q1878" t="s">
        <v>14</v>
      </c>
      <c r="R1878" t="s">
        <v>14</v>
      </c>
      <c r="S1878" t="s">
        <v>14</v>
      </c>
      <c r="T1878" t="s">
        <v>14</v>
      </c>
      <c r="U1878" t="s">
        <v>2052</v>
      </c>
      <c r="V1878" t="s">
        <v>14</v>
      </c>
      <c r="W1878" t="b">
        <v>1</v>
      </c>
      <c r="X1878" t="s">
        <v>1797</v>
      </c>
      <c r="Y1878" t="b">
        <v>0</v>
      </c>
      <c r="Z1878" t="s">
        <v>2053</v>
      </c>
    </row>
    <row r="1879" spans="1:26" x14ac:dyDescent="0.35">
      <c r="A1879" t="s">
        <v>1796</v>
      </c>
      <c r="B1879" t="s">
        <v>5291</v>
      </c>
      <c r="C1879" t="s">
        <v>5251</v>
      </c>
      <c r="D1879" t="s">
        <v>1963</v>
      </c>
      <c r="E1879" t="s">
        <v>2020</v>
      </c>
      <c r="F1879" t="s">
        <v>2021</v>
      </c>
      <c r="G1879" t="s">
        <v>2022</v>
      </c>
      <c r="H1879" t="s">
        <v>2023</v>
      </c>
      <c r="I1879" t="s">
        <v>5300</v>
      </c>
      <c r="J1879" t="s">
        <v>1963</v>
      </c>
      <c r="K1879" t="s">
        <v>5293</v>
      </c>
      <c r="L1879" t="s">
        <v>2046</v>
      </c>
      <c r="M1879" t="s">
        <v>14</v>
      </c>
      <c r="N1879" t="s">
        <v>14</v>
      </c>
      <c r="O1879" t="s">
        <v>2740</v>
      </c>
      <c r="P1879" t="s">
        <v>2741</v>
      </c>
      <c r="Q1879" t="s">
        <v>14</v>
      </c>
      <c r="R1879" t="s">
        <v>14</v>
      </c>
      <c r="S1879" t="s">
        <v>14</v>
      </c>
      <c r="T1879" t="s">
        <v>14</v>
      </c>
      <c r="U1879" t="s">
        <v>2052</v>
      </c>
      <c r="V1879" t="s">
        <v>14</v>
      </c>
      <c r="W1879" t="b">
        <v>1</v>
      </c>
      <c r="X1879" t="s">
        <v>1797</v>
      </c>
      <c r="Y1879" t="b">
        <v>0</v>
      </c>
      <c r="Z1879" t="s">
        <v>2053</v>
      </c>
    </row>
    <row r="1880" spans="1:26" x14ac:dyDescent="0.35">
      <c r="A1880" t="s">
        <v>1796</v>
      </c>
      <c r="B1880" t="s">
        <v>5291</v>
      </c>
      <c r="C1880" t="s">
        <v>5251</v>
      </c>
      <c r="D1880" t="s">
        <v>1963</v>
      </c>
      <c r="E1880" t="s">
        <v>2020</v>
      </c>
      <c r="F1880" t="s">
        <v>2021</v>
      </c>
      <c r="G1880" t="s">
        <v>2022</v>
      </c>
      <c r="H1880" t="s">
        <v>2023</v>
      </c>
      <c r="I1880" t="s">
        <v>5301</v>
      </c>
      <c r="J1880" t="s">
        <v>1963</v>
      </c>
      <c r="K1880" t="s">
        <v>5293</v>
      </c>
      <c r="L1880" t="s">
        <v>2046</v>
      </c>
      <c r="M1880" t="s">
        <v>2377</v>
      </c>
      <c r="N1880" t="s">
        <v>2378</v>
      </c>
      <c r="O1880" t="s">
        <v>2740</v>
      </c>
      <c r="P1880" t="s">
        <v>2741</v>
      </c>
      <c r="Q1880" t="s">
        <v>14</v>
      </c>
      <c r="R1880" t="s">
        <v>14</v>
      </c>
      <c r="S1880" t="s">
        <v>14</v>
      </c>
      <c r="T1880" t="s">
        <v>14</v>
      </c>
      <c r="U1880" t="s">
        <v>2052</v>
      </c>
      <c r="V1880" t="s">
        <v>14</v>
      </c>
      <c r="W1880" t="b">
        <v>1</v>
      </c>
      <c r="X1880" t="s">
        <v>1797</v>
      </c>
      <c r="Y1880" t="b">
        <v>0</v>
      </c>
      <c r="Z1880" t="s">
        <v>2053</v>
      </c>
    </row>
    <row r="1881" spans="1:26" x14ac:dyDescent="0.35">
      <c r="A1881" t="s">
        <v>1796</v>
      </c>
      <c r="B1881" t="s">
        <v>5291</v>
      </c>
      <c r="C1881" t="s">
        <v>5251</v>
      </c>
      <c r="D1881" t="s">
        <v>1963</v>
      </c>
      <c r="E1881" t="s">
        <v>2020</v>
      </c>
      <c r="F1881" t="s">
        <v>2021</v>
      </c>
      <c r="G1881" t="s">
        <v>2022</v>
      </c>
      <c r="H1881" t="s">
        <v>2023</v>
      </c>
      <c r="I1881" t="s">
        <v>5302</v>
      </c>
      <c r="J1881" t="s">
        <v>1963</v>
      </c>
      <c r="K1881" t="s">
        <v>5293</v>
      </c>
      <c r="L1881" t="s">
        <v>2046</v>
      </c>
      <c r="M1881" t="s">
        <v>2377</v>
      </c>
      <c r="N1881" t="s">
        <v>2378</v>
      </c>
      <c r="O1881" t="s">
        <v>2740</v>
      </c>
      <c r="P1881" t="s">
        <v>2741</v>
      </c>
      <c r="Q1881" t="s">
        <v>14</v>
      </c>
      <c r="R1881" t="s">
        <v>14</v>
      </c>
      <c r="S1881" t="s">
        <v>14</v>
      </c>
      <c r="T1881" t="s">
        <v>14</v>
      </c>
      <c r="U1881" t="s">
        <v>2052</v>
      </c>
      <c r="V1881" t="s">
        <v>14</v>
      </c>
      <c r="W1881" t="b">
        <v>1</v>
      </c>
      <c r="X1881" t="s">
        <v>1797</v>
      </c>
      <c r="Y1881" t="b">
        <v>0</v>
      </c>
      <c r="Z1881" t="s">
        <v>2053</v>
      </c>
    </row>
    <row r="1882" spans="1:26" x14ac:dyDescent="0.35">
      <c r="A1882" t="s">
        <v>1796</v>
      </c>
      <c r="B1882" t="s">
        <v>5291</v>
      </c>
      <c r="C1882" t="s">
        <v>5251</v>
      </c>
      <c r="D1882" t="s">
        <v>1963</v>
      </c>
      <c r="E1882" t="s">
        <v>2020</v>
      </c>
      <c r="F1882" t="s">
        <v>2021</v>
      </c>
      <c r="G1882" t="s">
        <v>2022</v>
      </c>
      <c r="H1882" t="s">
        <v>2023</v>
      </c>
      <c r="I1882" t="s">
        <v>5303</v>
      </c>
      <c r="J1882" t="s">
        <v>1963</v>
      </c>
      <c r="K1882" t="s">
        <v>5293</v>
      </c>
      <c r="L1882" t="s">
        <v>2046</v>
      </c>
      <c r="M1882" t="s">
        <v>2205</v>
      </c>
      <c r="N1882" t="s">
        <v>2206</v>
      </c>
      <c r="O1882" t="s">
        <v>2205</v>
      </c>
      <c r="P1882" t="s">
        <v>2206</v>
      </c>
      <c r="Q1882" t="s">
        <v>14</v>
      </c>
      <c r="R1882" t="s">
        <v>14</v>
      </c>
      <c r="S1882" t="s">
        <v>14</v>
      </c>
      <c r="T1882" t="s">
        <v>14</v>
      </c>
      <c r="U1882" t="s">
        <v>2052</v>
      </c>
      <c r="V1882" t="s">
        <v>14</v>
      </c>
      <c r="W1882" t="b">
        <v>1</v>
      </c>
      <c r="X1882" t="s">
        <v>1797</v>
      </c>
      <c r="Y1882" t="b">
        <v>0</v>
      </c>
      <c r="Z1882" t="s">
        <v>2053</v>
      </c>
    </row>
    <row r="1883" spans="1:26" x14ac:dyDescent="0.35">
      <c r="A1883" t="s">
        <v>1796</v>
      </c>
      <c r="B1883" t="s">
        <v>5291</v>
      </c>
      <c r="C1883" t="s">
        <v>5251</v>
      </c>
      <c r="D1883" t="s">
        <v>1963</v>
      </c>
      <c r="E1883" t="s">
        <v>2020</v>
      </c>
      <c r="F1883" t="s">
        <v>2021</v>
      </c>
      <c r="G1883" t="s">
        <v>2022</v>
      </c>
      <c r="H1883" t="s">
        <v>2023</v>
      </c>
      <c r="I1883" t="s">
        <v>5304</v>
      </c>
      <c r="J1883" t="s">
        <v>1963</v>
      </c>
      <c r="K1883" t="s">
        <v>5293</v>
      </c>
      <c r="L1883" t="s">
        <v>2046</v>
      </c>
      <c r="M1883" t="s">
        <v>14</v>
      </c>
      <c r="N1883" t="s">
        <v>14</v>
      </c>
      <c r="O1883" t="s">
        <v>2740</v>
      </c>
      <c r="P1883" t="s">
        <v>2741</v>
      </c>
      <c r="Q1883" t="s">
        <v>14</v>
      </c>
      <c r="R1883" t="s">
        <v>14</v>
      </c>
      <c r="S1883" t="s">
        <v>14</v>
      </c>
      <c r="T1883" t="s">
        <v>14</v>
      </c>
      <c r="U1883" t="s">
        <v>2052</v>
      </c>
      <c r="V1883" t="s">
        <v>14</v>
      </c>
      <c r="W1883" t="b">
        <v>1</v>
      </c>
      <c r="X1883" t="s">
        <v>1797</v>
      </c>
      <c r="Y1883" t="b">
        <v>0</v>
      </c>
      <c r="Z1883" t="s">
        <v>2053</v>
      </c>
    </row>
    <row r="1884" spans="1:26" x14ac:dyDescent="0.35">
      <c r="A1884" t="s">
        <v>1796</v>
      </c>
      <c r="B1884" t="s">
        <v>5291</v>
      </c>
      <c r="C1884" t="s">
        <v>5251</v>
      </c>
      <c r="D1884" t="s">
        <v>1963</v>
      </c>
      <c r="E1884" t="s">
        <v>2020</v>
      </c>
      <c r="F1884" t="s">
        <v>2021</v>
      </c>
      <c r="G1884" t="s">
        <v>2022</v>
      </c>
      <c r="H1884" t="s">
        <v>2023</v>
      </c>
      <c r="I1884" t="s">
        <v>5305</v>
      </c>
      <c r="J1884" t="s">
        <v>1963</v>
      </c>
      <c r="K1884" t="s">
        <v>5293</v>
      </c>
      <c r="L1884" t="s">
        <v>2046</v>
      </c>
      <c r="M1884" t="s">
        <v>2377</v>
      </c>
      <c r="N1884" t="s">
        <v>2378</v>
      </c>
      <c r="O1884" t="s">
        <v>2740</v>
      </c>
      <c r="P1884" t="s">
        <v>2741</v>
      </c>
      <c r="Q1884" t="s">
        <v>14</v>
      </c>
      <c r="R1884" t="s">
        <v>14</v>
      </c>
      <c r="S1884" t="s">
        <v>14</v>
      </c>
      <c r="T1884" t="s">
        <v>14</v>
      </c>
      <c r="U1884" t="s">
        <v>2052</v>
      </c>
      <c r="V1884" t="s">
        <v>14</v>
      </c>
      <c r="W1884" t="b">
        <v>1</v>
      </c>
      <c r="X1884" t="s">
        <v>1797</v>
      </c>
      <c r="Y1884" t="b">
        <v>0</v>
      </c>
      <c r="Z1884" t="s">
        <v>2053</v>
      </c>
    </row>
    <row r="1885" spans="1:26" x14ac:dyDescent="0.35">
      <c r="A1885" t="s">
        <v>1796</v>
      </c>
      <c r="B1885" t="s">
        <v>5291</v>
      </c>
      <c r="C1885" t="s">
        <v>5251</v>
      </c>
      <c r="D1885" t="s">
        <v>1963</v>
      </c>
      <c r="E1885" t="s">
        <v>2020</v>
      </c>
      <c r="F1885" t="s">
        <v>2021</v>
      </c>
      <c r="G1885" t="s">
        <v>2022</v>
      </c>
      <c r="H1885" t="s">
        <v>2023</v>
      </c>
      <c r="I1885" t="s">
        <v>5306</v>
      </c>
      <c r="J1885" t="s">
        <v>1963</v>
      </c>
      <c r="K1885" t="s">
        <v>5293</v>
      </c>
      <c r="L1885" t="s">
        <v>2046</v>
      </c>
      <c r="M1885" t="s">
        <v>2377</v>
      </c>
      <c r="N1885" t="s">
        <v>2378</v>
      </c>
      <c r="O1885" t="s">
        <v>2740</v>
      </c>
      <c r="P1885" t="s">
        <v>2741</v>
      </c>
      <c r="Q1885" t="s">
        <v>14</v>
      </c>
      <c r="R1885" t="s">
        <v>14</v>
      </c>
      <c r="S1885" t="s">
        <v>14</v>
      </c>
      <c r="T1885" t="s">
        <v>14</v>
      </c>
      <c r="U1885" t="s">
        <v>2052</v>
      </c>
      <c r="V1885" t="s">
        <v>14</v>
      </c>
      <c r="W1885" t="b">
        <v>1</v>
      </c>
      <c r="X1885" t="s">
        <v>1797</v>
      </c>
      <c r="Y1885" t="b">
        <v>0</v>
      </c>
      <c r="Z1885" t="s">
        <v>2053</v>
      </c>
    </row>
    <row r="1886" spans="1:26" x14ac:dyDescent="0.35">
      <c r="A1886" t="s">
        <v>1796</v>
      </c>
      <c r="B1886" t="s">
        <v>5291</v>
      </c>
      <c r="C1886" t="s">
        <v>5251</v>
      </c>
      <c r="D1886" t="s">
        <v>1963</v>
      </c>
      <c r="E1886" t="s">
        <v>2020</v>
      </c>
      <c r="F1886" t="s">
        <v>2021</v>
      </c>
      <c r="G1886" t="s">
        <v>2022</v>
      </c>
      <c r="H1886" t="s">
        <v>2023</v>
      </c>
      <c r="I1886" t="s">
        <v>5307</v>
      </c>
      <c r="J1886" t="s">
        <v>1963</v>
      </c>
      <c r="K1886" t="s">
        <v>5293</v>
      </c>
      <c r="L1886" t="s">
        <v>2046</v>
      </c>
      <c r="M1886" t="s">
        <v>14</v>
      </c>
      <c r="N1886" t="s">
        <v>14</v>
      </c>
      <c r="O1886" t="s">
        <v>2740</v>
      </c>
      <c r="P1886" t="s">
        <v>2741</v>
      </c>
      <c r="Q1886" t="s">
        <v>14</v>
      </c>
      <c r="R1886" t="s">
        <v>14</v>
      </c>
      <c r="S1886" t="s">
        <v>14</v>
      </c>
      <c r="T1886" t="s">
        <v>14</v>
      </c>
      <c r="U1886" t="s">
        <v>2052</v>
      </c>
      <c r="V1886" t="s">
        <v>14</v>
      </c>
      <c r="W1886" t="b">
        <v>1</v>
      </c>
      <c r="X1886" t="s">
        <v>1797</v>
      </c>
      <c r="Y1886" t="b">
        <v>0</v>
      </c>
      <c r="Z1886" t="s">
        <v>2053</v>
      </c>
    </row>
    <row r="1887" spans="1:26" x14ac:dyDescent="0.35">
      <c r="A1887" t="s">
        <v>1796</v>
      </c>
      <c r="B1887" t="s">
        <v>5291</v>
      </c>
      <c r="C1887" t="s">
        <v>5251</v>
      </c>
      <c r="D1887" t="s">
        <v>1963</v>
      </c>
      <c r="E1887" t="s">
        <v>2020</v>
      </c>
      <c r="F1887" t="s">
        <v>2021</v>
      </c>
      <c r="G1887" t="s">
        <v>2022</v>
      </c>
      <c r="H1887" t="s">
        <v>2023</v>
      </c>
      <c r="I1887" t="s">
        <v>5308</v>
      </c>
      <c r="J1887" t="s">
        <v>1963</v>
      </c>
      <c r="K1887" t="s">
        <v>5293</v>
      </c>
      <c r="L1887" t="s">
        <v>2046</v>
      </c>
      <c r="M1887" t="s">
        <v>2377</v>
      </c>
      <c r="N1887" t="s">
        <v>2378</v>
      </c>
      <c r="O1887" t="s">
        <v>2740</v>
      </c>
      <c r="P1887" t="s">
        <v>2741</v>
      </c>
      <c r="Q1887" t="s">
        <v>14</v>
      </c>
      <c r="R1887" t="s">
        <v>14</v>
      </c>
      <c r="S1887" t="s">
        <v>14</v>
      </c>
      <c r="T1887" t="s">
        <v>14</v>
      </c>
      <c r="U1887" t="s">
        <v>2052</v>
      </c>
      <c r="V1887" t="s">
        <v>14</v>
      </c>
      <c r="W1887" t="b">
        <v>1</v>
      </c>
      <c r="X1887" t="s">
        <v>1797</v>
      </c>
      <c r="Y1887" t="b">
        <v>0</v>
      </c>
      <c r="Z1887" t="s">
        <v>2053</v>
      </c>
    </row>
    <row r="1888" spans="1:26" x14ac:dyDescent="0.35">
      <c r="A1888" t="s">
        <v>1870</v>
      </c>
      <c r="B1888" t="s">
        <v>5309</v>
      </c>
      <c r="C1888" t="s">
        <v>3922</v>
      </c>
      <c r="D1888" t="s">
        <v>1963</v>
      </c>
      <c r="E1888" t="s">
        <v>2020</v>
      </c>
      <c r="F1888" t="s">
        <v>2021</v>
      </c>
      <c r="G1888" t="s">
        <v>2022</v>
      </c>
      <c r="H1888" t="s">
        <v>2023</v>
      </c>
      <c r="I1888" t="s">
        <v>1801</v>
      </c>
      <c r="J1888" t="s">
        <v>1963</v>
      </c>
      <c r="K1888" t="s">
        <v>5310</v>
      </c>
      <c r="L1888" t="s">
        <v>2025</v>
      </c>
      <c r="M1888" t="s">
        <v>2026</v>
      </c>
      <c r="N1888" t="s">
        <v>2027</v>
      </c>
      <c r="O1888" t="s">
        <v>2028</v>
      </c>
      <c r="P1888" t="s">
        <v>2029</v>
      </c>
      <c r="Q1888" t="s">
        <v>3679</v>
      </c>
      <c r="R1888" t="s">
        <v>14</v>
      </c>
      <c r="S1888" t="s">
        <v>3680</v>
      </c>
      <c r="T1888" t="s">
        <v>3681</v>
      </c>
      <c r="U1888" t="s">
        <v>2030</v>
      </c>
      <c r="V1888" t="s">
        <v>14</v>
      </c>
      <c r="W1888" t="b">
        <v>1</v>
      </c>
      <c r="X1888" t="s">
        <v>5311</v>
      </c>
      <c r="Y1888" t="b">
        <v>0</v>
      </c>
      <c r="Z1888" t="s">
        <v>2053</v>
      </c>
    </row>
    <row r="1889" spans="1:26" x14ac:dyDescent="0.35">
      <c r="A1889" t="s">
        <v>1871</v>
      </c>
      <c r="B1889" t="s">
        <v>5312</v>
      </c>
      <c r="C1889" t="s">
        <v>3922</v>
      </c>
      <c r="D1889" t="s">
        <v>1963</v>
      </c>
      <c r="E1889" t="s">
        <v>2020</v>
      </c>
      <c r="F1889" t="s">
        <v>2021</v>
      </c>
      <c r="G1889" t="s">
        <v>2022</v>
      </c>
      <c r="H1889" t="s">
        <v>2023</v>
      </c>
      <c r="I1889" t="s">
        <v>2369</v>
      </c>
      <c r="J1889" t="s">
        <v>1963</v>
      </c>
      <c r="K1889" t="s">
        <v>5313</v>
      </c>
      <c r="L1889" t="s">
        <v>2025</v>
      </c>
      <c r="M1889" t="s">
        <v>2371</v>
      </c>
      <c r="N1889" t="s">
        <v>2372</v>
      </c>
      <c r="O1889" t="s">
        <v>2362</v>
      </c>
      <c r="P1889" t="s">
        <v>2363</v>
      </c>
      <c r="Q1889" t="s">
        <v>2364</v>
      </c>
      <c r="R1889" t="s">
        <v>14</v>
      </c>
      <c r="S1889" t="s">
        <v>2365</v>
      </c>
      <c r="T1889" t="s">
        <v>2366</v>
      </c>
      <c r="U1889" t="s">
        <v>2171</v>
      </c>
      <c r="V1889" t="s">
        <v>14</v>
      </c>
      <c r="W1889" t="b">
        <v>1</v>
      </c>
      <c r="X1889" t="s">
        <v>5314</v>
      </c>
      <c r="Y1889" t="b">
        <v>0</v>
      </c>
      <c r="Z1889" t="s">
        <v>2032</v>
      </c>
    </row>
    <row r="1890" spans="1:26" x14ac:dyDescent="0.35">
      <c r="A1890" t="s">
        <v>1872</v>
      </c>
      <c r="B1890" t="s">
        <v>5315</v>
      </c>
      <c r="C1890" t="s">
        <v>2335</v>
      </c>
      <c r="D1890" t="s">
        <v>1963</v>
      </c>
      <c r="E1890" t="s">
        <v>2020</v>
      </c>
      <c r="F1890" t="s">
        <v>2021</v>
      </c>
      <c r="G1890" t="s">
        <v>2022</v>
      </c>
      <c r="H1890" t="s">
        <v>2023</v>
      </c>
      <c r="I1890" t="s">
        <v>1426</v>
      </c>
      <c r="J1890" t="s">
        <v>1963</v>
      </c>
      <c r="K1890" t="s">
        <v>5316</v>
      </c>
      <c r="L1890" t="s">
        <v>2025</v>
      </c>
      <c r="M1890" t="s">
        <v>2058</v>
      </c>
      <c r="N1890" t="s">
        <v>2059</v>
      </c>
      <c r="O1890" t="s">
        <v>2060</v>
      </c>
      <c r="P1890" t="s">
        <v>2061</v>
      </c>
      <c r="Q1890" t="s">
        <v>2062</v>
      </c>
      <c r="R1890" t="s">
        <v>14</v>
      </c>
      <c r="S1890" t="s">
        <v>2063</v>
      </c>
      <c r="T1890" t="s">
        <v>2064</v>
      </c>
      <c r="U1890" t="s">
        <v>2052</v>
      </c>
      <c r="V1890" t="s">
        <v>14</v>
      </c>
      <c r="W1890" t="b">
        <v>1</v>
      </c>
      <c r="X1890" t="s">
        <v>1873</v>
      </c>
      <c r="Y1890" t="b">
        <v>0</v>
      </c>
      <c r="Z1890" t="s">
        <v>2053</v>
      </c>
    </row>
    <row r="1891" spans="1:26" x14ac:dyDescent="0.35">
      <c r="A1891" t="s">
        <v>1874</v>
      </c>
      <c r="B1891" t="s">
        <v>5317</v>
      </c>
      <c r="C1891" t="s">
        <v>3922</v>
      </c>
      <c r="D1891" t="s">
        <v>1963</v>
      </c>
      <c r="E1891" t="s">
        <v>2020</v>
      </c>
      <c r="F1891" t="s">
        <v>2248</v>
      </c>
      <c r="G1891" t="s">
        <v>2162</v>
      </c>
      <c r="H1891" t="s">
        <v>2023</v>
      </c>
      <c r="I1891" t="s">
        <v>5318</v>
      </c>
      <c r="J1891" t="s">
        <v>1963</v>
      </c>
      <c r="K1891" t="s">
        <v>5319</v>
      </c>
      <c r="L1891" t="s">
        <v>2025</v>
      </c>
      <c r="M1891" t="s">
        <v>5320</v>
      </c>
      <c r="N1891" t="s">
        <v>5321</v>
      </c>
      <c r="O1891" t="s">
        <v>3536</v>
      </c>
      <c r="P1891" t="s">
        <v>3537</v>
      </c>
      <c r="Q1891" t="s">
        <v>3566</v>
      </c>
      <c r="R1891" t="s">
        <v>14</v>
      </c>
      <c r="S1891" t="s">
        <v>5322</v>
      </c>
      <c r="T1891" t="s">
        <v>5323</v>
      </c>
      <c r="U1891" t="s">
        <v>3015</v>
      </c>
      <c r="V1891" t="s">
        <v>14</v>
      </c>
      <c r="W1891" t="b">
        <v>1</v>
      </c>
      <c r="X1891" t="s">
        <v>1875</v>
      </c>
      <c r="Y1891" t="b">
        <v>0</v>
      </c>
      <c r="Z1891" t="s">
        <v>2032</v>
      </c>
    </row>
    <row r="1892" spans="1:26" x14ac:dyDescent="0.35">
      <c r="A1892" t="s">
        <v>1876</v>
      </c>
      <c r="B1892" t="s">
        <v>5324</v>
      </c>
      <c r="C1892" t="s">
        <v>3922</v>
      </c>
      <c r="D1892" t="s">
        <v>1963</v>
      </c>
      <c r="E1892" t="s">
        <v>2020</v>
      </c>
      <c r="F1892" t="s">
        <v>2248</v>
      </c>
      <c r="G1892" t="s">
        <v>2162</v>
      </c>
      <c r="H1892" t="s">
        <v>2023</v>
      </c>
      <c r="I1892" t="s">
        <v>5318</v>
      </c>
      <c r="J1892" t="s">
        <v>1963</v>
      </c>
      <c r="K1892" t="s">
        <v>5325</v>
      </c>
      <c r="L1892" t="s">
        <v>2025</v>
      </c>
      <c r="M1892" t="s">
        <v>5320</v>
      </c>
      <c r="N1892" t="s">
        <v>5321</v>
      </c>
      <c r="O1892" t="s">
        <v>3536</v>
      </c>
      <c r="P1892" t="s">
        <v>3537</v>
      </c>
      <c r="Q1892" t="s">
        <v>3566</v>
      </c>
      <c r="R1892" t="s">
        <v>14</v>
      </c>
      <c r="S1892" t="s">
        <v>5322</v>
      </c>
      <c r="T1892" t="s">
        <v>5323</v>
      </c>
      <c r="U1892" t="s">
        <v>3015</v>
      </c>
      <c r="V1892" t="s">
        <v>14</v>
      </c>
      <c r="W1892" t="b">
        <v>1</v>
      </c>
      <c r="X1892" t="s">
        <v>1877</v>
      </c>
      <c r="Y1892" t="b">
        <v>0</v>
      </c>
      <c r="Z1892" t="s">
        <v>2032</v>
      </c>
    </row>
    <row r="1893" spans="1:26" x14ac:dyDescent="0.35">
      <c r="A1893" t="s">
        <v>1878</v>
      </c>
      <c r="B1893" t="s">
        <v>5326</v>
      </c>
      <c r="C1893" t="s">
        <v>3922</v>
      </c>
      <c r="D1893" t="s">
        <v>1963</v>
      </c>
      <c r="E1893" t="s">
        <v>2020</v>
      </c>
      <c r="F1893" t="s">
        <v>2021</v>
      </c>
      <c r="G1893" t="s">
        <v>2022</v>
      </c>
      <c r="H1893" t="s">
        <v>2023</v>
      </c>
      <c r="I1893" t="s">
        <v>3469</v>
      </c>
      <c r="J1893" t="s">
        <v>1963</v>
      </c>
      <c r="K1893" t="s">
        <v>5327</v>
      </c>
      <c r="L1893" t="s">
        <v>2025</v>
      </c>
      <c r="M1893" t="s">
        <v>2243</v>
      </c>
      <c r="N1893" t="s">
        <v>2244</v>
      </c>
      <c r="O1893" t="s">
        <v>2214</v>
      </c>
      <c r="P1893" t="s">
        <v>2215</v>
      </c>
      <c r="Q1893" t="s">
        <v>2295</v>
      </c>
      <c r="R1893" t="s">
        <v>14</v>
      </c>
      <c r="S1893" t="s">
        <v>2307</v>
      </c>
      <c r="T1893" t="s">
        <v>2308</v>
      </c>
      <c r="U1893" t="s">
        <v>2052</v>
      </c>
      <c r="V1893" t="s">
        <v>14</v>
      </c>
      <c r="W1893" t="b">
        <v>1</v>
      </c>
      <c r="X1893" t="s">
        <v>5328</v>
      </c>
      <c r="Y1893" t="b">
        <v>0</v>
      </c>
      <c r="Z1893" t="s">
        <v>2053</v>
      </c>
    </row>
    <row r="1894" spans="1:26" x14ac:dyDescent="0.35">
      <c r="A1894" t="s">
        <v>1879</v>
      </c>
      <c r="B1894" t="s">
        <v>5329</v>
      </c>
      <c r="C1894" t="s">
        <v>3922</v>
      </c>
      <c r="D1894" t="s">
        <v>1963</v>
      </c>
      <c r="E1894" t="s">
        <v>2020</v>
      </c>
      <c r="F1894" t="s">
        <v>2021</v>
      </c>
      <c r="G1894" t="s">
        <v>2022</v>
      </c>
      <c r="H1894" t="s">
        <v>2023</v>
      </c>
      <c r="I1894" t="s">
        <v>3469</v>
      </c>
      <c r="J1894" t="s">
        <v>1963</v>
      </c>
      <c r="K1894" t="s">
        <v>5330</v>
      </c>
      <c r="L1894" t="s">
        <v>2025</v>
      </c>
      <c r="M1894" t="s">
        <v>2243</v>
      </c>
      <c r="N1894" t="s">
        <v>2244</v>
      </c>
      <c r="O1894" t="s">
        <v>2214</v>
      </c>
      <c r="P1894" t="s">
        <v>2215</v>
      </c>
      <c r="Q1894" t="s">
        <v>2295</v>
      </c>
      <c r="R1894" t="s">
        <v>14</v>
      </c>
      <c r="S1894" t="s">
        <v>2307</v>
      </c>
      <c r="T1894" t="s">
        <v>2308</v>
      </c>
      <c r="U1894" t="s">
        <v>2052</v>
      </c>
      <c r="V1894" t="s">
        <v>14</v>
      </c>
      <c r="W1894" t="b">
        <v>1</v>
      </c>
      <c r="X1894" t="s">
        <v>5331</v>
      </c>
      <c r="Y1894" t="b">
        <v>0</v>
      </c>
      <c r="Z1894" t="s">
        <v>2053</v>
      </c>
    </row>
    <row r="1895" spans="1:26" x14ac:dyDescent="0.35">
      <c r="A1895" t="s">
        <v>1880</v>
      </c>
      <c r="B1895" t="s">
        <v>5332</v>
      </c>
      <c r="C1895" t="s">
        <v>3922</v>
      </c>
      <c r="D1895" t="s">
        <v>1963</v>
      </c>
      <c r="E1895" t="s">
        <v>2020</v>
      </c>
      <c r="F1895" t="s">
        <v>2021</v>
      </c>
      <c r="G1895" t="s">
        <v>2022</v>
      </c>
      <c r="H1895" t="s">
        <v>2023</v>
      </c>
      <c r="I1895" t="s">
        <v>3469</v>
      </c>
      <c r="J1895" t="s">
        <v>1963</v>
      </c>
      <c r="K1895" t="s">
        <v>5333</v>
      </c>
      <c r="L1895" t="s">
        <v>2025</v>
      </c>
      <c r="M1895" t="s">
        <v>2243</v>
      </c>
      <c r="N1895" t="s">
        <v>2244</v>
      </c>
      <c r="O1895" t="s">
        <v>2214</v>
      </c>
      <c r="P1895" t="s">
        <v>2215</v>
      </c>
      <c r="Q1895" t="s">
        <v>2295</v>
      </c>
      <c r="R1895" t="s">
        <v>14</v>
      </c>
      <c r="S1895" t="s">
        <v>2307</v>
      </c>
      <c r="T1895" t="s">
        <v>2308</v>
      </c>
      <c r="U1895" t="s">
        <v>2052</v>
      </c>
      <c r="V1895" t="s">
        <v>14</v>
      </c>
      <c r="W1895" t="b">
        <v>1</v>
      </c>
      <c r="X1895" t="s">
        <v>5334</v>
      </c>
      <c r="Y1895" t="b">
        <v>0</v>
      </c>
      <c r="Z1895" t="s">
        <v>2053</v>
      </c>
    </row>
    <row r="1896" spans="1:26" x14ac:dyDescent="0.35">
      <c r="A1896" t="s">
        <v>1881</v>
      </c>
      <c r="B1896" t="s">
        <v>5335</v>
      </c>
      <c r="C1896" t="s">
        <v>3922</v>
      </c>
      <c r="D1896" t="s">
        <v>1963</v>
      </c>
      <c r="E1896" t="s">
        <v>2020</v>
      </c>
      <c r="F1896" t="s">
        <v>2021</v>
      </c>
      <c r="G1896" t="s">
        <v>2022</v>
      </c>
      <c r="H1896" t="s">
        <v>2023</v>
      </c>
      <c r="I1896" t="s">
        <v>4081</v>
      </c>
      <c r="J1896" t="s">
        <v>1963</v>
      </c>
      <c r="K1896" t="s">
        <v>5336</v>
      </c>
      <c r="L1896" t="s">
        <v>2025</v>
      </c>
      <c r="M1896" t="s">
        <v>2338</v>
      </c>
      <c r="N1896" t="s">
        <v>2339</v>
      </c>
      <c r="O1896" t="s">
        <v>2340</v>
      </c>
      <c r="P1896" t="s">
        <v>2341</v>
      </c>
      <c r="Q1896" t="s">
        <v>14</v>
      </c>
      <c r="R1896" t="s">
        <v>14</v>
      </c>
      <c r="S1896" t="s">
        <v>2436</v>
      </c>
      <c r="T1896" t="s">
        <v>2437</v>
      </c>
      <c r="U1896" t="s">
        <v>2171</v>
      </c>
      <c r="V1896" t="s">
        <v>14</v>
      </c>
      <c r="W1896" t="b">
        <v>1</v>
      </c>
      <c r="X1896" t="s">
        <v>5337</v>
      </c>
      <c r="Y1896" t="b">
        <v>0</v>
      </c>
      <c r="Z1896" t="s">
        <v>2053</v>
      </c>
    </row>
    <row r="1897" spans="1:26" x14ac:dyDescent="0.35">
      <c r="A1897" t="s">
        <v>1882</v>
      </c>
      <c r="B1897" t="s">
        <v>5338</v>
      </c>
      <c r="C1897" t="s">
        <v>3922</v>
      </c>
      <c r="D1897" t="s">
        <v>1963</v>
      </c>
      <c r="E1897" t="s">
        <v>2020</v>
      </c>
      <c r="F1897" t="s">
        <v>2021</v>
      </c>
      <c r="G1897" t="s">
        <v>2022</v>
      </c>
      <c r="H1897" t="s">
        <v>2023</v>
      </c>
      <c r="I1897" t="s">
        <v>1801</v>
      </c>
      <c r="J1897" t="s">
        <v>1963</v>
      </c>
      <c r="K1897" t="s">
        <v>5339</v>
      </c>
      <c r="L1897" t="s">
        <v>2025</v>
      </c>
      <c r="M1897" t="s">
        <v>2026</v>
      </c>
      <c r="N1897" t="s">
        <v>2027</v>
      </c>
      <c r="O1897" t="s">
        <v>2028</v>
      </c>
      <c r="P1897" t="s">
        <v>2029</v>
      </c>
      <c r="Q1897" t="s">
        <v>3679</v>
      </c>
      <c r="R1897" t="s">
        <v>14</v>
      </c>
      <c r="S1897" t="s">
        <v>3680</v>
      </c>
      <c r="T1897" t="s">
        <v>3681</v>
      </c>
      <c r="U1897" t="s">
        <v>2030</v>
      </c>
      <c r="V1897" t="s">
        <v>14</v>
      </c>
      <c r="W1897" t="b">
        <v>1</v>
      </c>
      <c r="X1897" t="s">
        <v>5340</v>
      </c>
      <c r="Y1897" t="b">
        <v>0</v>
      </c>
      <c r="Z1897" t="s">
        <v>2053</v>
      </c>
    </row>
    <row r="1898" spans="1:26" x14ac:dyDescent="0.35">
      <c r="A1898" t="s">
        <v>1883</v>
      </c>
      <c r="B1898" t="s">
        <v>5341</v>
      </c>
      <c r="C1898" t="s">
        <v>2335</v>
      </c>
      <c r="D1898" t="s">
        <v>1963</v>
      </c>
      <c r="E1898" t="s">
        <v>2020</v>
      </c>
      <c r="F1898" t="s">
        <v>2021</v>
      </c>
      <c r="G1898" t="s">
        <v>2022</v>
      </c>
      <c r="H1898" t="s">
        <v>2023</v>
      </c>
      <c r="I1898" t="s">
        <v>1426</v>
      </c>
      <c r="J1898" t="s">
        <v>1963</v>
      </c>
      <c r="K1898" t="s">
        <v>5342</v>
      </c>
      <c r="L1898" t="s">
        <v>2025</v>
      </c>
      <c r="M1898" t="s">
        <v>2058</v>
      </c>
      <c r="N1898" t="s">
        <v>2059</v>
      </c>
      <c r="O1898" t="s">
        <v>2060</v>
      </c>
      <c r="P1898" t="s">
        <v>2061</v>
      </c>
      <c r="Q1898" t="s">
        <v>2062</v>
      </c>
      <c r="R1898" t="s">
        <v>14</v>
      </c>
      <c r="S1898" t="s">
        <v>2063</v>
      </c>
      <c r="T1898" t="s">
        <v>2064</v>
      </c>
      <c r="U1898" t="s">
        <v>2052</v>
      </c>
      <c r="V1898" t="s">
        <v>14</v>
      </c>
      <c r="W1898" t="b">
        <v>1</v>
      </c>
      <c r="X1898" t="s">
        <v>1884</v>
      </c>
      <c r="Y1898" t="b">
        <v>0</v>
      </c>
      <c r="Z1898" t="s">
        <v>2053</v>
      </c>
    </row>
    <row r="1899" spans="1:26" x14ac:dyDescent="0.35">
      <c r="A1899" t="s">
        <v>1799</v>
      </c>
      <c r="B1899" t="s">
        <v>5343</v>
      </c>
      <c r="C1899" t="s">
        <v>3922</v>
      </c>
      <c r="D1899" t="s">
        <v>1963</v>
      </c>
      <c r="E1899" t="s">
        <v>2020</v>
      </c>
      <c r="F1899" t="s">
        <v>2021</v>
      </c>
      <c r="G1899" t="s">
        <v>2022</v>
      </c>
      <c r="H1899" t="s">
        <v>2023</v>
      </c>
      <c r="I1899" t="s">
        <v>25</v>
      </c>
      <c r="J1899" t="s">
        <v>1963</v>
      </c>
      <c r="K1899" t="s">
        <v>5344</v>
      </c>
      <c r="L1899" t="s">
        <v>2025</v>
      </c>
      <c r="M1899" t="s">
        <v>2073</v>
      </c>
      <c r="N1899" t="s">
        <v>2074</v>
      </c>
      <c r="O1899" t="s">
        <v>2075</v>
      </c>
      <c r="P1899" t="s">
        <v>2076</v>
      </c>
      <c r="Q1899" t="s">
        <v>2077</v>
      </c>
      <c r="R1899" t="s">
        <v>14</v>
      </c>
      <c r="S1899" t="s">
        <v>2078</v>
      </c>
      <c r="T1899" t="s">
        <v>2079</v>
      </c>
      <c r="U1899" t="s">
        <v>2080</v>
      </c>
      <c r="V1899" t="s">
        <v>14</v>
      </c>
      <c r="W1899" t="b">
        <v>1</v>
      </c>
      <c r="X1899" t="s">
        <v>5345</v>
      </c>
      <c r="Y1899" t="b">
        <v>0</v>
      </c>
      <c r="Z1899" t="s">
        <v>2081</v>
      </c>
    </row>
    <row r="1900" spans="1:26" x14ac:dyDescent="0.35">
      <c r="A1900" t="s">
        <v>1800</v>
      </c>
      <c r="B1900" t="s">
        <v>5346</v>
      </c>
      <c r="C1900" t="s">
        <v>3922</v>
      </c>
      <c r="D1900" t="s">
        <v>1963</v>
      </c>
      <c r="E1900" t="s">
        <v>2020</v>
      </c>
      <c r="F1900" t="s">
        <v>2021</v>
      </c>
      <c r="G1900" t="s">
        <v>2022</v>
      </c>
      <c r="H1900" t="s">
        <v>2023</v>
      </c>
      <c r="I1900" t="s">
        <v>25</v>
      </c>
      <c r="J1900" t="s">
        <v>1963</v>
      </c>
      <c r="K1900" t="s">
        <v>5347</v>
      </c>
      <c r="L1900" t="s">
        <v>2025</v>
      </c>
      <c r="M1900" t="s">
        <v>2073</v>
      </c>
      <c r="N1900" t="s">
        <v>2074</v>
      </c>
      <c r="O1900" t="s">
        <v>2075</v>
      </c>
      <c r="P1900" t="s">
        <v>2076</v>
      </c>
      <c r="Q1900" t="s">
        <v>2077</v>
      </c>
      <c r="R1900" t="s">
        <v>14</v>
      </c>
      <c r="S1900" t="s">
        <v>2078</v>
      </c>
      <c r="T1900" t="s">
        <v>2079</v>
      </c>
      <c r="U1900" t="s">
        <v>2080</v>
      </c>
      <c r="V1900" t="s">
        <v>14</v>
      </c>
      <c r="W1900" t="b">
        <v>1</v>
      </c>
      <c r="X1900" t="s">
        <v>5348</v>
      </c>
      <c r="Y1900" t="b">
        <v>0</v>
      </c>
      <c r="Z1900" t="s">
        <v>2081</v>
      </c>
    </row>
    <row r="1901" spans="1:26" x14ac:dyDescent="0.35">
      <c r="A1901" t="s">
        <v>1853</v>
      </c>
      <c r="B1901" t="s">
        <v>5349</v>
      </c>
      <c r="C1901" t="s">
        <v>3922</v>
      </c>
      <c r="D1901" t="s">
        <v>1963</v>
      </c>
      <c r="E1901" t="s">
        <v>2020</v>
      </c>
      <c r="F1901" t="s">
        <v>5350</v>
      </c>
      <c r="G1901" t="s">
        <v>2910</v>
      </c>
      <c r="H1901" t="s">
        <v>2023</v>
      </c>
      <c r="I1901" t="s">
        <v>2369</v>
      </c>
      <c r="J1901" t="s">
        <v>1963</v>
      </c>
      <c r="K1901" t="s">
        <v>5351</v>
      </c>
      <c r="L1901" t="s">
        <v>2025</v>
      </c>
      <c r="M1901" t="s">
        <v>2371</v>
      </c>
      <c r="N1901" t="s">
        <v>2372</v>
      </c>
      <c r="O1901" t="s">
        <v>2362</v>
      </c>
      <c r="P1901" t="s">
        <v>2363</v>
      </c>
      <c r="Q1901" t="s">
        <v>2364</v>
      </c>
      <c r="R1901" t="s">
        <v>14</v>
      </c>
      <c r="S1901" t="s">
        <v>2365</v>
      </c>
      <c r="T1901" t="s">
        <v>2366</v>
      </c>
      <c r="U1901" t="s">
        <v>2171</v>
      </c>
      <c r="V1901" t="s">
        <v>14</v>
      </c>
      <c r="W1901" t="b">
        <v>1</v>
      </c>
      <c r="X1901" t="s">
        <v>5352</v>
      </c>
      <c r="Y1901" t="b">
        <v>0</v>
      </c>
      <c r="Z1901" t="s">
        <v>2032</v>
      </c>
    </row>
    <row r="1902" spans="1:26" x14ac:dyDescent="0.35">
      <c r="A1902" t="s">
        <v>1854</v>
      </c>
      <c r="B1902" t="s">
        <v>5353</v>
      </c>
      <c r="C1902" t="s">
        <v>2335</v>
      </c>
      <c r="D1902" t="s">
        <v>1963</v>
      </c>
      <c r="E1902" t="s">
        <v>2020</v>
      </c>
      <c r="F1902" t="s">
        <v>2909</v>
      </c>
      <c r="G1902" t="s">
        <v>2910</v>
      </c>
      <c r="H1902" t="s">
        <v>2023</v>
      </c>
      <c r="I1902" t="s">
        <v>2369</v>
      </c>
      <c r="J1902" t="s">
        <v>1963</v>
      </c>
      <c r="K1902" t="s">
        <v>5354</v>
      </c>
      <c r="L1902" t="s">
        <v>2025</v>
      </c>
      <c r="M1902" t="s">
        <v>2371</v>
      </c>
      <c r="N1902" t="s">
        <v>2372</v>
      </c>
      <c r="O1902" t="s">
        <v>2362</v>
      </c>
      <c r="P1902" t="s">
        <v>2363</v>
      </c>
      <c r="Q1902" t="s">
        <v>2364</v>
      </c>
      <c r="R1902" t="s">
        <v>14</v>
      </c>
      <c r="S1902" t="s">
        <v>2365</v>
      </c>
      <c r="T1902" t="s">
        <v>2366</v>
      </c>
      <c r="U1902" t="s">
        <v>2171</v>
      </c>
      <c r="V1902" t="s">
        <v>14</v>
      </c>
      <c r="W1902" t="b">
        <v>1</v>
      </c>
      <c r="X1902" t="s">
        <v>5355</v>
      </c>
      <c r="Y1902" t="b">
        <v>0</v>
      </c>
      <c r="Z1902" t="s">
        <v>2032</v>
      </c>
    </row>
    <row r="1903" spans="1:26" x14ac:dyDescent="0.35">
      <c r="A1903" t="s">
        <v>21</v>
      </c>
      <c r="B1903" t="s">
        <v>5356</v>
      </c>
      <c r="C1903" t="s">
        <v>5357</v>
      </c>
      <c r="D1903" t="s">
        <v>1963</v>
      </c>
      <c r="E1903" t="s">
        <v>2020</v>
      </c>
      <c r="F1903" t="s">
        <v>2021</v>
      </c>
      <c r="G1903" t="s">
        <v>2022</v>
      </c>
      <c r="H1903" t="s">
        <v>2023</v>
      </c>
      <c r="I1903" t="s">
        <v>1426</v>
      </c>
      <c r="J1903" t="s">
        <v>1963</v>
      </c>
      <c r="K1903" t="s">
        <v>5358</v>
      </c>
      <c r="L1903" t="s">
        <v>2025</v>
      </c>
      <c r="M1903" t="s">
        <v>2058</v>
      </c>
      <c r="N1903" t="s">
        <v>2059</v>
      </c>
      <c r="O1903" t="s">
        <v>2060</v>
      </c>
      <c r="P1903" t="s">
        <v>2061</v>
      </c>
      <c r="Q1903" t="s">
        <v>2062</v>
      </c>
      <c r="R1903" t="s">
        <v>14</v>
      </c>
      <c r="S1903" t="s">
        <v>2063</v>
      </c>
      <c r="T1903" t="s">
        <v>2064</v>
      </c>
      <c r="U1903" t="s">
        <v>2052</v>
      </c>
      <c r="V1903" t="s">
        <v>14</v>
      </c>
      <c r="W1903" t="b">
        <v>1</v>
      </c>
      <c r="X1903" t="s">
        <v>22</v>
      </c>
      <c r="Y1903" t="b">
        <v>0</v>
      </c>
      <c r="Z1903" t="s">
        <v>2053</v>
      </c>
    </row>
    <row r="1904" spans="1:26" x14ac:dyDescent="0.35">
      <c r="A1904" t="s">
        <v>21</v>
      </c>
      <c r="B1904" t="s">
        <v>5356</v>
      </c>
      <c r="C1904" t="s">
        <v>5357</v>
      </c>
      <c r="D1904" t="s">
        <v>1963</v>
      </c>
      <c r="E1904" t="s">
        <v>2020</v>
      </c>
      <c r="F1904" t="s">
        <v>2021</v>
      </c>
      <c r="G1904" t="s">
        <v>2022</v>
      </c>
      <c r="H1904" t="s">
        <v>2023</v>
      </c>
      <c r="I1904" t="s">
        <v>1426</v>
      </c>
      <c r="J1904" t="s">
        <v>1963</v>
      </c>
      <c r="K1904" t="s">
        <v>5358</v>
      </c>
      <c r="L1904" t="s">
        <v>2025</v>
      </c>
      <c r="M1904" t="s">
        <v>2058</v>
      </c>
      <c r="N1904" t="s">
        <v>2059</v>
      </c>
      <c r="O1904" t="s">
        <v>2060</v>
      </c>
      <c r="P1904" t="s">
        <v>2061</v>
      </c>
      <c r="Q1904" t="s">
        <v>2062</v>
      </c>
      <c r="R1904" t="s">
        <v>14</v>
      </c>
      <c r="S1904" t="s">
        <v>2063</v>
      </c>
      <c r="T1904" t="s">
        <v>2064</v>
      </c>
      <c r="U1904" t="s">
        <v>2052</v>
      </c>
      <c r="V1904" t="s">
        <v>14</v>
      </c>
      <c r="W1904" t="b">
        <v>1</v>
      </c>
      <c r="X1904" t="s">
        <v>22</v>
      </c>
      <c r="Y1904" t="b">
        <v>0</v>
      </c>
      <c r="Z1904" t="s">
        <v>2053</v>
      </c>
    </row>
    <row r="1905" spans="1:26" x14ac:dyDescent="0.35">
      <c r="A1905" t="s">
        <v>1802</v>
      </c>
      <c r="B1905" t="s">
        <v>5359</v>
      </c>
      <c r="C1905" t="s">
        <v>5357</v>
      </c>
      <c r="D1905" t="s">
        <v>1963</v>
      </c>
      <c r="E1905" t="s">
        <v>2020</v>
      </c>
      <c r="F1905" t="s">
        <v>2055</v>
      </c>
      <c r="G1905" t="s">
        <v>2056</v>
      </c>
      <c r="H1905" t="s">
        <v>2023</v>
      </c>
      <c r="I1905" t="s">
        <v>5360</v>
      </c>
      <c r="J1905" t="s">
        <v>1963</v>
      </c>
      <c r="K1905" t="s">
        <v>5361</v>
      </c>
      <c r="L1905" t="s">
        <v>2025</v>
      </c>
      <c r="M1905" t="s">
        <v>5362</v>
      </c>
      <c r="N1905" t="s">
        <v>5363</v>
      </c>
      <c r="O1905" t="s">
        <v>5364</v>
      </c>
      <c r="P1905" t="s">
        <v>5365</v>
      </c>
      <c r="Q1905" t="s">
        <v>5366</v>
      </c>
      <c r="R1905" t="s">
        <v>14</v>
      </c>
      <c r="S1905" t="s">
        <v>2050</v>
      </c>
      <c r="T1905" t="s">
        <v>2051</v>
      </c>
      <c r="U1905" t="s">
        <v>2233</v>
      </c>
      <c r="V1905" t="s">
        <v>14</v>
      </c>
      <c r="W1905" t="b">
        <v>1</v>
      </c>
      <c r="X1905" t="s">
        <v>1803</v>
      </c>
      <c r="Y1905" t="b">
        <v>0</v>
      </c>
      <c r="Z1905" t="s">
        <v>2053</v>
      </c>
    </row>
    <row r="1906" spans="1:26" x14ac:dyDescent="0.35">
      <c r="A1906" t="s">
        <v>1802</v>
      </c>
      <c r="B1906" t="s">
        <v>5359</v>
      </c>
      <c r="C1906" t="s">
        <v>5357</v>
      </c>
      <c r="D1906" t="s">
        <v>1963</v>
      </c>
      <c r="E1906" t="s">
        <v>2020</v>
      </c>
      <c r="F1906" t="s">
        <v>2055</v>
      </c>
      <c r="G1906" t="s">
        <v>2056</v>
      </c>
      <c r="H1906" t="s">
        <v>2023</v>
      </c>
      <c r="I1906" t="s">
        <v>5367</v>
      </c>
      <c r="J1906" t="s">
        <v>1963</v>
      </c>
      <c r="K1906" t="s">
        <v>5361</v>
      </c>
      <c r="L1906" t="s">
        <v>2025</v>
      </c>
      <c r="M1906" t="s">
        <v>2243</v>
      </c>
      <c r="N1906" t="s">
        <v>2244</v>
      </c>
      <c r="O1906" t="s">
        <v>2214</v>
      </c>
      <c r="P1906" t="s">
        <v>2215</v>
      </c>
      <c r="Q1906" t="s">
        <v>14</v>
      </c>
      <c r="R1906" t="s">
        <v>14</v>
      </c>
      <c r="S1906" t="s">
        <v>14</v>
      </c>
      <c r="T1906" t="s">
        <v>14</v>
      </c>
      <c r="U1906" t="s">
        <v>2052</v>
      </c>
      <c r="V1906" t="s">
        <v>14</v>
      </c>
      <c r="W1906" t="b">
        <v>1</v>
      </c>
      <c r="X1906" t="s">
        <v>1803</v>
      </c>
      <c r="Y1906" t="b">
        <v>0</v>
      </c>
      <c r="Z1906" t="s">
        <v>2053</v>
      </c>
    </row>
    <row r="1907" spans="1:26" x14ac:dyDescent="0.35">
      <c r="A1907" t="s">
        <v>5368</v>
      </c>
      <c r="B1907" t="s">
        <v>5369</v>
      </c>
      <c r="C1907" t="s">
        <v>5357</v>
      </c>
      <c r="D1907" t="s">
        <v>1963</v>
      </c>
      <c r="E1907" t="s">
        <v>2020</v>
      </c>
      <c r="F1907" t="s">
        <v>2055</v>
      </c>
      <c r="G1907" t="s">
        <v>2056</v>
      </c>
      <c r="H1907" t="s">
        <v>2023</v>
      </c>
      <c r="I1907" t="s">
        <v>1426</v>
      </c>
      <c r="J1907" t="s">
        <v>1963</v>
      </c>
      <c r="K1907" t="s">
        <v>5370</v>
      </c>
      <c r="L1907" t="s">
        <v>2046</v>
      </c>
      <c r="M1907" t="s">
        <v>2058</v>
      </c>
      <c r="N1907" t="s">
        <v>2059</v>
      </c>
      <c r="O1907" t="s">
        <v>2060</v>
      </c>
      <c r="P1907" t="s">
        <v>2061</v>
      </c>
      <c r="Q1907" t="s">
        <v>2062</v>
      </c>
      <c r="R1907" t="s">
        <v>14</v>
      </c>
      <c r="S1907" t="s">
        <v>2063</v>
      </c>
      <c r="T1907" t="s">
        <v>2064</v>
      </c>
      <c r="U1907" t="s">
        <v>2052</v>
      </c>
      <c r="V1907" t="s">
        <v>14</v>
      </c>
      <c r="W1907" t="b">
        <v>1</v>
      </c>
      <c r="X1907" t="s">
        <v>5371</v>
      </c>
      <c r="Y1907" t="b">
        <v>0</v>
      </c>
      <c r="Z1907" t="s">
        <v>2053</v>
      </c>
    </row>
    <row r="1908" spans="1:26" x14ac:dyDescent="0.35">
      <c r="A1908" t="s">
        <v>5372</v>
      </c>
      <c r="B1908" t="s">
        <v>5373</v>
      </c>
      <c r="C1908" t="s">
        <v>5357</v>
      </c>
      <c r="D1908" t="s">
        <v>1963</v>
      </c>
      <c r="E1908" t="s">
        <v>2020</v>
      </c>
      <c r="F1908" t="s">
        <v>2055</v>
      </c>
      <c r="G1908" t="s">
        <v>2056</v>
      </c>
      <c r="H1908" t="s">
        <v>2023</v>
      </c>
      <c r="I1908" t="s">
        <v>1426</v>
      </c>
      <c r="J1908" t="s">
        <v>1963</v>
      </c>
      <c r="K1908" t="s">
        <v>5374</v>
      </c>
      <c r="L1908" t="s">
        <v>2046</v>
      </c>
      <c r="M1908" t="s">
        <v>2058</v>
      </c>
      <c r="N1908" t="s">
        <v>2059</v>
      </c>
      <c r="O1908" t="s">
        <v>2060</v>
      </c>
      <c r="P1908" t="s">
        <v>2061</v>
      </c>
      <c r="Q1908" t="s">
        <v>2062</v>
      </c>
      <c r="R1908" t="s">
        <v>14</v>
      </c>
      <c r="S1908" t="s">
        <v>2063</v>
      </c>
      <c r="T1908" t="s">
        <v>2064</v>
      </c>
      <c r="U1908" t="s">
        <v>2052</v>
      </c>
      <c r="V1908" t="s">
        <v>14</v>
      </c>
      <c r="W1908" t="b">
        <v>1</v>
      </c>
      <c r="X1908" t="s">
        <v>5375</v>
      </c>
      <c r="Y1908" t="b">
        <v>0</v>
      </c>
      <c r="Z1908" t="s">
        <v>2053</v>
      </c>
    </row>
    <row r="1909" spans="1:26" x14ac:dyDescent="0.35">
      <c r="A1909" t="s">
        <v>5372</v>
      </c>
      <c r="B1909" t="s">
        <v>5373</v>
      </c>
      <c r="C1909" t="s">
        <v>5357</v>
      </c>
      <c r="D1909" t="s">
        <v>1963</v>
      </c>
      <c r="E1909" t="s">
        <v>2020</v>
      </c>
      <c r="F1909" t="s">
        <v>2055</v>
      </c>
      <c r="G1909" t="s">
        <v>2056</v>
      </c>
      <c r="H1909" t="s">
        <v>2023</v>
      </c>
      <c r="I1909" t="s">
        <v>2132</v>
      </c>
      <c r="J1909" t="s">
        <v>1963</v>
      </c>
      <c r="K1909" t="s">
        <v>5374</v>
      </c>
      <c r="L1909" t="s">
        <v>2046</v>
      </c>
      <c r="M1909" t="s">
        <v>2058</v>
      </c>
      <c r="N1909" t="s">
        <v>2059</v>
      </c>
      <c r="O1909" t="s">
        <v>2060</v>
      </c>
      <c r="P1909" t="s">
        <v>2061</v>
      </c>
      <c r="Q1909" t="s">
        <v>2062</v>
      </c>
      <c r="R1909" t="s">
        <v>14</v>
      </c>
      <c r="S1909" t="s">
        <v>2134</v>
      </c>
      <c r="T1909" t="s">
        <v>2135</v>
      </c>
      <c r="U1909" t="s">
        <v>2052</v>
      </c>
      <c r="V1909" t="s">
        <v>14</v>
      </c>
      <c r="W1909" t="b">
        <v>1</v>
      </c>
      <c r="X1909" t="s">
        <v>5375</v>
      </c>
      <c r="Y1909" t="b">
        <v>0</v>
      </c>
      <c r="Z1909" t="s">
        <v>2053</v>
      </c>
    </row>
    <row r="1910" spans="1:26" x14ac:dyDescent="0.35">
      <c r="A1910" t="s">
        <v>5376</v>
      </c>
      <c r="B1910" t="s">
        <v>5377</v>
      </c>
      <c r="C1910" t="s">
        <v>5357</v>
      </c>
      <c r="D1910" t="s">
        <v>1963</v>
      </c>
      <c r="E1910" t="s">
        <v>2020</v>
      </c>
      <c r="F1910" t="s">
        <v>2140</v>
      </c>
      <c r="G1910" t="s">
        <v>2141</v>
      </c>
      <c r="H1910" t="s">
        <v>2023</v>
      </c>
      <c r="I1910" t="s">
        <v>2144</v>
      </c>
      <c r="J1910" t="s">
        <v>1963</v>
      </c>
      <c r="K1910" t="s">
        <v>5378</v>
      </c>
      <c r="L1910" t="s">
        <v>2046</v>
      </c>
      <c r="M1910" t="s">
        <v>2047</v>
      </c>
      <c r="N1910" t="s">
        <v>2048</v>
      </c>
      <c r="O1910" t="s">
        <v>2047</v>
      </c>
      <c r="P1910" t="s">
        <v>2048</v>
      </c>
      <c r="Q1910" t="s">
        <v>2145</v>
      </c>
      <c r="R1910" t="s">
        <v>14</v>
      </c>
      <c r="S1910" t="s">
        <v>2069</v>
      </c>
      <c r="T1910" t="s">
        <v>2070</v>
      </c>
      <c r="U1910" t="s">
        <v>2052</v>
      </c>
      <c r="V1910" t="s">
        <v>14</v>
      </c>
      <c r="W1910" t="b">
        <v>1</v>
      </c>
      <c r="X1910" t="s">
        <v>5379</v>
      </c>
      <c r="Y1910" t="b">
        <v>0</v>
      </c>
      <c r="Z1910" t="s">
        <v>2053</v>
      </c>
    </row>
    <row r="1911" spans="1:26" x14ac:dyDescent="0.35">
      <c r="A1911" t="s">
        <v>5376</v>
      </c>
      <c r="B1911" t="s">
        <v>5377</v>
      </c>
      <c r="C1911" t="s">
        <v>5357</v>
      </c>
      <c r="D1911" t="s">
        <v>1963</v>
      </c>
      <c r="E1911" t="s">
        <v>2020</v>
      </c>
      <c r="F1911" t="s">
        <v>2140</v>
      </c>
      <c r="G1911" t="s">
        <v>2141</v>
      </c>
      <c r="H1911" t="s">
        <v>2023</v>
      </c>
      <c r="I1911" t="s">
        <v>2146</v>
      </c>
      <c r="J1911" t="s">
        <v>1963</v>
      </c>
      <c r="K1911" t="s">
        <v>5378</v>
      </c>
      <c r="L1911" t="s">
        <v>2046</v>
      </c>
      <c r="M1911" t="s">
        <v>14</v>
      </c>
      <c r="N1911" t="s">
        <v>14</v>
      </c>
      <c r="O1911" t="s">
        <v>2147</v>
      </c>
      <c r="P1911" t="s">
        <v>2148</v>
      </c>
      <c r="Q1911" t="s">
        <v>14</v>
      </c>
      <c r="R1911" t="s">
        <v>14</v>
      </c>
      <c r="S1911" t="s">
        <v>14</v>
      </c>
      <c r="T1911" t="s">
        <v>14</v>
      </c>
      <c r="U1911" t="s">
        <v>2052</v>
      </c>
      <c r="V1911" t="s">
        <v>14</v>
      </c>
      <c r="W1911" t="b">
        <v>1</v>
      </c>
      <c r="X1911" t="s">
        <v>5379</v>
      </c>
      <c r="Y1911" t="b">
        <v>0</v>
      </c>
      <c r="Z1911" t="s">
        <v>2053</v>
      </c>
    </row>
    <row r="1912" spans="1:26" x14ac:dyDescent="0.35">
      <c r="A1912" t="s">
        <v>5376</v>
      </c>
      <c r="B1912" t="s">
        <v>5377</v>
      </c>
      <c r="C1912" t="s">
        <v>5357</v>
      </c>
      <c r="D1912" t="s">
        <v>1963</v>
      </c>
      <c r="E1912" t="s">
        <v>2020</v>
      </c>
      <c r="F1912" t="s">
        <v>2140</v>
      </c>
      <c r="G1912" t="s">
        <v>2141</v>
      </c>
      <c r="H1912" t="s">
        <v>2023</v>
      </c>
      <c r="I1912" t="s">
        <v>1806</v>
      </c>
      <c r="J1912" t="s">
        <v>1963</v>
      </c>
      <c r="K1912" t="s">
        <v>5378</v>
      </c>
      <c r="L1912" t="s">
        <v>2046</v>
      </c>
      <c r="M1912" t="s">
        <v>2067</v>
      </c>
      <c r="N1912" t="s">
        <v>2068</v>
      </c>
      <c r="O1912" t="s">
        <v>2047</v>
      </c>
      <c r="P1912" t="s">
        <v>2048</v>
      </c>
      <c r="Q1912" t="s">
        <v>14</v>
      </c>
      <c r="R1912" t="s">
        <v>14</v>
      </c>
      <c r="S1912" t="s">
        <v>2069</v>
      </c>
      <c r="T1912" t="s">
        <v>2070</v>
      </c>
      <c r="U1912" t="s">
        <v>2052</v>
      </c>
      <c r="V1912" t="s">
        <v>14</v>
      </c>
      <c r="W1912" t="b">
        <v>1</v>
      </c>
      <c r="X1912" t="s">
        <v>5379</v>
      </c>
      <c r="Y1912" t="b">
        <v>0</v>
      </c>
      <c r="Z1912" t="s">
        <v>2053</v>
      </c>
    </row>
    <row r="1913" spans="1:26" x14ac:dyDescent="0.35">
      <c r="A1913" t="s">
        <v>1804</v>
      </c>
      <c r="B1913" t="s">
        <v>5380</v>
      </c>
      <c r="C1913" t="s">
        <v>5357</v>
      </c>
      <c r="D1913" t="s">
        <v>1963</v>
      </c>
      <c r="E1913" t="s">
        <v>2020</v>
      </c>
      <c r="F1913" t="s">
        <v>2021</v>
      </c>
      <c r="G1913" t="s">
        <v>2022</v>
      </c>
      <c r="H1913" t="s">
        <v>2023</v>
      </c>
      <c r="I1913" t="s">
        <v>5381</v>
      </c>
      <c r="J1913" t="s">
        <v>1963</v>
      </c>
      <c r="K1913" t="s">
        <v>5382</v>
      </c>
      <c r="L1913" t="s">
        <v>2025</v>
      </c>
      <c r="M1913" t="s">
        <v>2050</v>
      </c>
      <c r="N1913" t="s">
        <v>2051</v>
      </c>
      <c r="O1913" t="s">
        <v>2050</v>
      </c>
      <c r="P1913" t="s">
        <v>2051</v>
      </c>
      <c r="Q1913" t="s">
        <v>2049</v>
      </c>
      <c r="R1913" t="s">
        <v>14</v>
      </c>
      <c r="S1913" t="s">
        <v>2050</v>
      </c>
      <c r="T1913" t="s">
        <v>2051</v>
      </c>
      <c r="U1913" t="s">
        <v>2052</v>
      </c>
      <c r="V1913" t="s">
        <v>14</v>
      </c>
      <c r="W1913" t="b">
        <v>1</v>
      </c>
      <c r="X1913" t="s">
        <v>1805</v>
      </c>
      <c r="Y1913" t="b">
        <v>0</v>
      </c>
      <c r="Z1913" t="s">
        <v>2053</v>
      </c>
    </row>
    <row r="1914" spans="1:26" x14ac:dyDescent="0.35">
      <c r="A1914" t="s">
        <v>1807</v>
      </c>
      <c r="B1914" t="s">
        <v>5383</v>
      </c>
      <c r="C1914" t="s">
        <v>5357</v>
      </c>
      <c r="D1914" t="s">
        <v>1963</v>
      </c>
      <c r="E1914" t="s">
        <v>2020</v>
      </c>
      <c r="F1914" t="s">
        <v>2248</v>
      </c>
      <c r="G1914" t="s">
        <v>2162</v>
      </c>
      <c r="H1914" t="s">
        <v>2023</v>
      </c>
      <c r="I1914" t="s">
        <v>5384</v>
      </c>
      <c r="J1914" t="s">
        <v>1963</v>
      </c>
      <c r="K1914" t="s">
        <v>5385</v>
      </c>
      <c r="L1914" t="s">
        <v>2025</v>
      </c>
      <c r="M1914" t="s">
        <v>5386</v>
      </c>
      <c r="N1914" t="s">
        <v>5387</v>
      </c>
      <c r="O1914" t="s">
        <v>2050</v>
      </c>
      <c r="P1914" t="s">
        <v>2051</v>
      </c>
      <c r="Q1914" t="s">
        <v>2049</v>
      </c>
      <c r="R1914" t="s">
        <v>14</v>
      </c>
      <c r="S1914" t="s">
        <v>2050</v>
      </c>
      <c r="T1914" t="s">
        <v>2051</v>
      </c>
      <c r="U1914" t="s">
        <v>2052</v>
      </c>
      <c r="V1914" t="s">
        <v>14</v>
      </c>
      <c r="W1914" t="b">
        <v>1</v>
      </c>
      <c r="X1914" t="s">
        <v>1808</v>
      </c>
      <c r="Y1914" t="b">
        <v>0</v>
      </c>
      <c r="Z1914" t="s">
        <v>2053</v>
      </c>
    </row>
    <row r="1915" spans="1:26" x14ac:dyDescent="0.35">
      <c r="A1915" t="s">
        <v>1809</v>
      </c>
      <c r="B1915" t="s">
        <v>5388</v>
      </c>
      <c r="C1915" t="s">
        <v>5357</v>
      </c>
      <c r="D1915" t="s">
        <v>1963</v>
      </c>
      <c r="E1915" t="s">
        <v>2020</v>
      </c>
      <c r="F1915" t="s">
        <v>2248</v>
      </c>
      <c r="G1915" t="s">
        <v>2162</v>
      </c>
      <c r="H1915" t="s">
        <v>2023</v>
      </c>
      <c r="I1915" t="s">
        <v>5384</v>
      </c>
      <c r="J1915" t="s">
        <v>1963</v>
      </c>
      <c r="K1915" t="s">
        <v>5389</v>
      </c>
      <c r="L1915" t="s">
        <v>2025</v>
      </c>
      <c r="M1915" t="s">
        <v>5386</v>
      </c>
      <c r="N1915" t="s">
        <v>5387</v>
      </c>
      <c r="O1915" t="s">
        <v>2050</v>
      </c>
      <c r="P1915" t="s">
        <v>2051</v>
      </c>
      <c r="Q1915" t="s">
        <v>2049</v>
      </c>
      <c r="R1915" t="s">
        <v>14</v>
      </c>
      <c r="S1915" t="s">
        <v>2050</v>
      </c>
      <c r="T1915" t="s">
        <v>2051</v>
      </c>
      <c r="U1915" t="s">
        <v>2052</v>
      </c>
      <c r="V1915" t="s">
        <v>14</v>
      </c>
      <c r="W1915" t="b">
        <v>1</v>
      </c>
      <c r="X1915" t="s">
        <v>1810</v>
      </c>
      <c r="Y1915" t="b">
        <v>0</v>
      </c>
      <c r="Z1915" t="s">
        <v>2053</v>
      </c>
    </row>
    <row r="1916" spans="1:26" x14ac:dyDescent="0.35">
      <c r="A1916" t="s">
        <v>1811</v>
      </c>
      <c r="B1916" t="s">
        <v>5390</v>
      </c>
      <c r="C1916" t="s">
        <v>5357</v>
      </c>
      <c r="D1916" t="s">
        <v>1963</v>
      </c>
      <c r="E1916" t="s">
        <v>2020</v>
      </c>
      <c r="F1916" t="s">
        <v>2055</v>
      </c>
      <c r="G1916" t="s">
        <v>2056</v>
      </c>
      <c r="H1916" t="s">
        <v>2023</v>
      </c>
      <c r="I1916" t="s">
        <v>2118</v>
      </c>
      <c r="J1916" t="s">
        <v>1963</v>
      </c>
      <c r="K1916" t="s">
        <v>5391</v>
      </c>
      <c r="L1916" t="s">
        <v>2046</v>
      </c>
      <c r="M1916" t="s">
        <v>2120</v>
      </c>
      <c r="N1916" t="s">
        <v>2121</v>
      </c>
      <c r="O1916" t="s">
        <v>2060</v>
      </c>
      <c r="P1916" t="s">
        <v>2061</v>
      </c>
      <c r="Q1916" t="s">
        <v>2122</v>
      </c>
      <c r="R1916" t="s">
        <v>14</v>
      </c>
      <c r="S1916" t="s">
        <v>2123</v>
      </c>
      <c r="T1916" t="s">
        <v>2124</v>
      </c>
      <c r="U1916" t="s">
        <v>2052</v>
      </c>
      <c r="V1916" t="s">
        <v>14</v>
      </c>
      <c r="W1916" t="b">
        <v>1</v>
      </c>
      <c r="X1916" t="s">
        <v>1812</v>
      </c>
      <c r="Y1916" t="b">
        <v>0</v>
      </c>
      <c r="Z1916" t="s">
        <v>2053</v>
      </c>
    </row>
    <row r="1917" spans="1:26" x14ac:dyDescent="0.35">
      <c r="A1917" t="s">
        <v>1811</v>
      </c>
      <c r="B1917" t="s">
        <v>5390</v>
      </c>
      <c r="C1917" t="s">
        <v>5357</v>
      </c>
      <c r="D1917" t="s">
        <v>1963</v>
      </c>
      <c r="E1917" t="s">
        <v>2020</v>
      </c>
      <c r="F1917" t="s">
        <v>2055</v>
      </c>
      <c r="G1917" t="s">
        <v>2056</v>
      </c>
      <c r="H1917" t="s">
        <v>2023</v>
      </c>
      <c r="I1917" t="s">
        <v>1764</v>
      </c>
      <c r="J1917" t="s">
        <v>1963</v>
      </c>
      <c r="K1917" t="s">
        <v>5391</v>
      </c>
      <c r="L1917" t="s">
        <v>2046</v>
      </c>
      <c r="M1917" t="s">
        <v>2120</v>
      </c>
      <c r="N1917" t="s">
        <v>2121</v>
      </c>
      <c r="O1917" t="s">
        <v>2060</v>
      </c>
      <c r="P1917" t="s">
        <v>2061</v>
      </c>
      <c r="Q1917" t="s">
        <v>2122</v>
      </c>
      <c r="R1917" t="s">
        <v>14</v>
      </c>
      <c r="S1917" t="s">
        <v>2125</v>
      </c>
      <c r="T1917" t="s">
        <v>2126</v>
      </c>
      <c r="U1917" t="s">
        <v>2052</v>
      </c>
      <c r="V1917" t="s">
        <v>14</v>
      </c>
      <c r="W1917" t="b">
        <v>1</v>
      </c>
      <c r="X1917" t="s">
        <v>1812</v>
      </c>
      <c r="Y1917" t="b">
        <v>0</v>
      </c>
      <c r="Z1917" t="s">
        <v>2032</v>
      </c>
    </row>
    <row r="1918" spans="1:26" x14ac:dyDescent="0.35">
      <c r="A1918" t="s">
        <v>1813</v>
      </c>
      <c r="B1918" t="s">
        <v>5392</v>
      </c>
      <c r="C1918" t="s">
        <v>5357</v>
      </c>
      <c r="D1918" t="s">
        <v>1963</v>
      </c>
      <c r="E1918" t="s">
        <v>2020</v>
      </c>
      <c r="F1918" t="s">
        <v>2021</v>
      </c>
      <c r="G1918" t="s">
        <v>2022</v>
      </c>
      <c r="H1918" t="s">
        <v>2023</v>
      </c>
      <c r="I1918" t="s">
        <v>2097</v>
      </c>
      <c r="J1918" t="s">
        <v>1963</v>
      </c>
      <c r="K1918" t="s">
        <v>5393</v>
      </c>
      <c r="L1918" t="s">
        <v>2025</v>
      </c>
      <c r="M1918" t="s">
        <v>2099</v>
      </c>
      <c r="N1918" t="s">
        <v>2100</v>
      </c>
      <c r="O1918" t="s">
        <v>2101</v>
      </c>
      <c r="P1918" t="s">
        <v>2102</v>
      </c>
      <c r="Q1918" t="s">
        <v>2103</v>
      </c>
      <c r="R1918" t="s">
        <v>14</v>
      </c>
      <c r="S1918" t="s">
        <v>2101</v>
      </c>
      <c r="T1918" t="s">
        <v>2102</v>
      </c>
      <c r="U1918" t="s">
        <v>2052</v>
      </c>
      <c r="V1918" t="s">
        <v>14</v>
      </c>
      <c r="W1918" t="b">
        <v>1</v>
      </c>
      <c r="X1918" t="s">
        <v>1814</v>
      </c>
      <c r="Y1918" t="b">
        <v>0</v>
      </c>
      <c r="Z1918" t="s">
        <v>2053</v>
      </c>
    </row>
    <row r="1919" spans="1:26" x14ac:dyDescent="0.35">
      <c r="A1919" t="s">
        <v>1815</v>
      </c>
      <c r="B1919" t="s">
        <v>5394</v>
      </c>
      <c r="C1919" t="s">
        <v>5357</v>
      </c>
      <c r="D1919" t="s">
        <v>1963</v>
      </c>
      <c r="E1919" t="s">
        <v>2020</v>
      </c>
      <c r="F1919" t="s">
        <v>2021</v>
      </c>
      <c r="G1919" t="s">
        <v>2022</v>
      </c>
      <c r="H1919" t="s">
        <v>2023</v>
      </c>
      <c r="I1919" t="s">
        <v>5395</v>
      </c>
      <c r="J1919" t="s">
        <v>1963</v>
      </c>
      <c r="K1919" t="s">
        <v>5396</v>
      </c>
      <c r="L1919" t="s">
        <v>2025</v>
      </c>
      <c r="M1919" t="s">
        <v>5397</v>
      </c>
      <c r="N1919" t="s">
        <v>5398</v>
      </c>
      <c r="O1919" t="s">
        <v>2050</v>
      </c>
      <c r="P1919" t="s">
        <v>2051</v>
      </c>
      <c r="Q1919" t="s">
        <v>2049</v>
      </c>
      <c r="R1919" t="s">
        <v>14</v>
      </c>
      <c r="S1919" t="s">
        <v>3604</v>
      </c>
      <c r="T1919" t="s">
        <v>3605</v>
      </c>
      <c r="U1919" t="s">
        <v>2052</v>
      </c>
      <c r="V1919" t="s">
        <v>14</v>
      </c>
      <c r="W1919" t="b">
        <v>1</v>
      </c>
      <c r="X1919" t="s">
        <v>1816</v>
      </c>
      <c r="Y1919" t="b">
        <v>0</v>
      </c>
      <c r="Z1919" t="s">
        <v>2053</v>
      </c>
    </row>
    <row r="1920" spans="1:26" x14ac:dyDescent="0.35">
      <c r="A1920" t="s">
        <v>5399</v>
      </c>
      <c r="B1920" t="s">
        <v>5400</v>
      </c>
      <c r="C1920" t="s">
        <v>5357</v>
      </c>
      <c r="D1920" t="s">
        <v>1963</v>
      </c>
      <c r="E1920" t="s">
        <v>2020</v>
      </c>
      <c r="F1920" t="s">
        <v>2248</v>
      </c>
      <c r="G1920" t="s">
        <v>2162</v>
      </c>
      <c r="H1920" t="s">
        <v>2023</v>
      </c>
      <c r="I1920" t="s">
        <v>1756</v>
      </c>
      <c r="J1920" t="s">
        <v>1963</v>
      </c>
      <c r="K1920" t="s">
        <v>5401</v>
      </c>
      <c r="L1920" t="s">
        <v>2025</v>
      </c>
      <c r="M1920" t="s">
        <v>2250</v>
      </c>
      <c r="N1920" t="s">
        <v>2251</v>
      </c>
      <c r="O1920" t="s">
        <v>2047</v>
      </c>
      <c r="P1920" t="s">
        <v>2048</v>
      </c>
      <c r="Q1920" t="s">
        <v>2252</v>
      </c>
      <c r="R1920" t="s">
        <v>14</v>
      </c>
      <c r="S1920" t="s">
        <v>2253</v>
      </c>
      <c r="T1920" t="s">
        <v>2254</v>
      </c>
      <c r="U1920" t="s">
        <v>2052</v>
      </c>
      <c r="V1920" t="s">
        <v>14</v>
      </c>
      <c r="W1920" t="b">
        <v>1</v>
      </c>
      <c r="X1920" t="s">
        <v>5402</v>
      </c>
      <c r="Y1920" t="b">
        <v>0</v>
      </c>
      <c r="Z1920" t="s">
        <v>2081</v>
      </c>
    </row>
    <row r="1921" spans="1:26" x14ac:dyDescent="0.35">
      <c r="A1921" t="s">
        <v>1855</v>
      </c>
      <c r="B1921" t="s">
        <v>5403</v>
      </c>
      <c r="C1921" t="s">
        <v>14</v>
      </c>
      <c r="D1921" t="s">
        <v>1963</v>
      </c>
      <c r="E1921" t="s">
        <v>2020</v>
      </c>
      <c r="F1921" t="s">
        <v>2055</v>
      </c>
      <c r="G1921" t="s">
        <v>2056</v>
      </c>
      <c r="H1921" t="s">
        <v>2023</v>
      </c>
      <c r="I1921" t="s">
        <v>25</v>
      </c>
      <c r="J1921" t="s">
        <v>1963</v>
      </c>
      <c r="K1921" t="s">
        <v>5404</v>
      </c>
      <c r="L1921" t="s">
        <v>2025</v>
      </c>
      <c r="M1921" t="s">
        <v>2073</v>
      </c>
      <c r="N1921" t="s">
        <v>2074</v>
      </c>
      <c r="O1921" t="s">
        <v>2075</v>
      </c>
      <c r="P1921" t="s">
        <v>2076</v>
      </c>
      <c r="Q1921" t="s">
        <v>2077</v>
      </c>
      <c r="R1921" t="s">
        <v>14</v>
      </c>
      <c r="S1921" t="s">
        <v>2078</v>
      </c>
      <c r="T1921" t="s">
        <v>2079</v>
      </c>
      <c r="U1921" t="s">
        <v>2080</v>
      </c>
      <c r="V1921" t="s">
        <v>14</v>
      </c>
      <c r="W1921" t="b">
        <v>1</v>
      </c>
      <c r="X1921" t="s">
        <v>5405</v>
      </c>
      <c r="Y1921" t="b">
        <v>0</v>
      </c>
      <c r="Z1921" t="s">
        <v>2081</v>
      </c>
    </row>
    <row r="1922" spans="1:26" x14ac:dyDescent="0.35">
      <c r="A1922" t="s">
        <v>1817</v>
      </c>
      <c r="B1922" t="s">
        <v>5406</v>
      </c>
      <c r="C1922" t="s">
        <v>3149</v>
      </c>
      <c r="D1922" t="s">
        <v>1963</v>
      </c>
      <c r="E1922" t="s">
        <v>2020</v>
      </c>
      <c r="F1922" t="s">
        <v>2055</v>
      </c>
      <c r="G1922" t="s">
        <v>2056</v>
      </c>
      <c r="H1922" t="s">
        <v>2023</v>
      </c>
      <c r="I1922" t="s">
        <v>2118</v>
      </c>
      <c r="J1922" t="s">
        <v>1963</v>
      </c>
      <c r="K1922" t="s">
        <v>5407</v>
      </c>
      <c r="L1922" t="s">
        <v>2046</v>
      </c>
      <c r="M1922" t="s">
        <v>2120</v>
      </c>
      <c r="N1922" t="s">
        <v>2121</v>
      </c>
      <c r="O1922" t="s">
        <v>2060</v>
      </c>
      <c r="P1922" t="s">
        <v>2061</v>
      </c>
      <c r="Q1922" t="s">
        <v>2122</v>
      </c>
      <c r="R1922" t="s">
        <v>14</v>
      </c>
      <c r="S1922" t="s">
        <v>2123</v>
      </c>
      <c r="T1922" t="s">
        <v>2124</v>
      </c>
      <c r="U1922" t="s">
        <v>2052</v>
      </c>
      <c r="V1922" t="s">
        <v>14</v>
      </c>
      <c r="W1922" t="b">
        <v>1</v>
      </c>
      <c r="X1922" t="s">
        <v>1818</v>
      </c>
      <c r="Y1922" t="b">
        <v>0</v>
      </c>
      <c r="Z1922" t="s">
        <v>2053</v>
      </c>
    </row>
    <row r="1923" spans="1:26" x14ac:dyDescent="0.35">
      <c r="A1923" t="s">
        <v>1817</v>
      </c>
      <c r="B1923" t="s">
        <v>5406</v>
      </c>
      <c r="C1923" t="s">
        <v>3149</v>
      </c>
      <c r="D1923" t="s">
        <v>1963</v>
      </c>
      <c r="E1923" t="s">
        <v>2020</v>
      </c>
      <c r="F1923" t="s">
        <v>2055</v>
      </c>
      <c r="G1923" t="s">
        <v>2056</v>
      </c>
      <c r="H1923" t="s">
        <v>2023</v>
      </c>
      <c r="I1923" t="s">
        <v>1764</v>
      </c>
      <c r="J1923" t="s">
        <v>1963</v>
      </c>
      <c r="K1923" t="s">
        <v>5407</v>
      </c>
      <c r="L1923" t="s">
        <v>2046</v>
      </c>
      <c r="M1923" t="s">
        <v>2120</v>
      </c>
      <c r="N1923" t="s">
        <v>2121</v>
      </c>
      <c r="O1923" t="s">
        <v>2060</v>
      </c>
      <c r="P1923" t="s">
        <v>2061</v>
      </c>
      <c r="Q1923" t="s">
        <v>2122</v>
      </c>
      <c r="R1923" t="s">
        <v>14</v>
      </c>
      <c r="S1923" t="s">
        <v>2125</v>
      </c>
      <c r="T1923" t="s">
        <v>2126</v>
      </c>
      <c r="U1923" t="s">
        <v>2052</v>
      </c>
      <c r="V1923" t="s">
        <v>14</v>
      </c>
      <c r="W1923" t="b">
        <v>1</v>
      </c>
      <c r="X1923" t="s">
        <v>1818</v>
      </c>
      <c r="Y1923" t="b">
        <v>0</v>
      </c>
      <c r="Z1923" t="s">
        <v>2032</v>
      </c>
    </row>
    <row r="1924" spans="1:26" x14ac:dyDescent="0.35">
      <c r="A1924" t="s">
        <v>1819</v>
      </c>
      <c r="B1924" t="s">
        <v>5408</v>
      </c>
      <c r="C1924" t="s">
        <v>3149</v>
      </c>
      <c r="D1924" t="s">
        <v>1963</v>
      </c>
      <c r="E1924" t="s">
        <v>2020</v>
      </c>
      <c r="F1924" t="s">
        <v>2055</v>
      </c>
      <c r="G1924" t="s">
        <v>2056</v>
      </c>
      <c r="H1924" t="s">
        <v>2023</v>
      </c>
      <c r="I1924" t="s">
        <v>1426</v>
      </c>
      <c r="J1924" t="s">
        <v>1963</v>
      </c>
      <c r="K1924" t="s">
        <v>5409</v>
      </c>
      <c r="L1924" t="s">
        <v>2046</v>
      </c>
      <c r="M1924" t="s">
        <v>2058</v>
      </c>
      <c r="N1924" t="s">
        <v>2059</v>
      </c>
      <c r="O1924" t="s">
        <v>2060</v>
      </c>
      <c r="P1924" t="s">
        <v>2061</v>
      </c>
      <c r="Q1924" t="s">
        <v>2062</v>
      </c>
      <c r="R1924" t="s">
        <v>14</v>
      </c>
      <c r="S1924" t="s">
        <v>2063</v>
      </c>
      <c r="T1924" t="s">
        <v>2064</v>
      </c>
      <c r="U1924" t="s">
        <v>2052</v>
      </c>
      <c r="V1924" t="s">
        <v>14</v>
      </c>
      <c r="W1924" t="b">
        <v>1</v>
      </c>
      <c r="X1924" t="s">
        <v>1820</v>
      </c>
      <c r="Y1924" t="b">
        <v>0</v>
      </c>
      <c r="Z1924" t="s">
        <v>2053</v>
      </c>
    </row>
    <row r="1925" spans="1:26" x14ac:dyDescent="0.35">
      <c r="A1925" t="s">
        <v>1821</v>
      </c>
      <c r="B1925" t="s">
        <v>5410</v>
      </c>
      <c r="C1925" t="s">
        <v>3149</v>
      </c>
      <c r="D1925" t="s">
        <v>1963</v>
      </c>
      <c r="E1925" t="s">
        <v>2020</v>
      </c>
      <c r="F1925" t="s">
        <v>2055</v>
      </c>
      <c r="G1925" t="s">
        <v>2056</v>
      </c>
      <c r="H1925" t="s">
        <v>2023</v>
      </c>
      <c r="I1925" t="s">
        <v>1426</v>
      </c>
      <c r="J1925" t="s">
        <v>1963</v>
      </c>
      <c r="K1925" t="s">
        <v>5411</v>
      </c>
      <c r="L1925" t="s">
        <v>2046</v>
      </c>
      <c r="M1925" t="s">
        <v>2058</v>
      </c>
      <c r="N1925" t="s">
        <v>2059</v>
      </c>
      <c r="O1925" t="s">
        <v>2060</v>
      </c>
      <c r="P1925" t="s">
        <v>2061</v>
      </c>
      <c r="Q1925" t="s">
        <v>2062</v>
      </c>
      <c r="R1925" t="s">
        <v>14</v>
      </c>
      <c r="S1925" t="s">
        <v>2063</v>
      </c>
      <c r="T1925" t="s">
        <v>2064</v>
      </c>
      <c r="U1925" t="s">
        <v>2052</v>
      </c>
      <c r="V1925" t="s">
        <v>14</v>
      </c>
      <c r="W1925" t="b">
        <v>1</v>
      </c>
      <c r="X1925" t="s">
        <v>1822</v>
      </c>
      <c r="Y1925" t="b">
        <v>0</v>
      </c>
      <c r="Z1925" t="s">
        <v>2053</v>
      </c>
    </row>
    <row r="1926" spans="1:26" x14ac:dyDescent="0.35">
      <c r="A1926" t="s">
        <v>1823</v>
      </c>
      <c r="B1926" t="s">
        <v>5412</v>
      </c>
      <c r="C1926" t="s">
        <v>3149</v>
      </c>
      <c r="D1926" t="s">
        <v>1963</v>
      </c>
      <c r="E1926" t="s">
        <v>2020</v>
      </c>
      <c r="F1926" t="s">
        <v>2055</v>
      </c>
      <c r="G1926" t="s">
        <v>2056</v>
      </c>
      <c r="H1926" t="s">
        <v>2023</v>
      </c>
      <c r="I1926" t="s">
        <v>1426</v>
      </c>
      <c r="J1926" t="s">
        <v>1963</v>
      </c>
      <c r="K1926" t="s">
        <v>5413</v>
      </c>
      <c r="L1926" t="s">
        <v>2046</v>
      </c>
      <c r="M1926" t="s">
        <v>2058</v>
      </c>
      <c r="N1926" t="s">
        <v>2059</v>
      </c>
      <c r="O1926" t="s">
        <v>2060</v>
      </c>
      <c r="P1926" t="s">
        <v>2061</v>
      </c>
      <c r="Q1926" t="s">
        <v>2062</v>
      </c>
      <c r="R1926" t="s">
        <v>14</v>
      </c>
      <c r="S1926" t="s">
        <v>2063</v>
      </c>
      <c r="T1926" t="s">
        <v>2064</v>
      </c>
      <c r="U1926" t="s">
        <v>2052</v>
      </c>
      <c r="V1926" t="s">
        <v>14</v>
      </c>
      <c r="W1926" t="b">
        <v>1</v>
      </c>
      <c r="X1926" t="s">
        <v>1824</v>
      </c>
      <c r="Y1926" t="b">
        <v>0</v>
      </c>
      <c r="Z1926" t="s">
        <v>2053</v>
      </c>
    </row>
    <row r="1927" spans="1:26" x14ac:dyDescent="0.35">
      <c r="A1927" t="s">
        <v>1825</v>
      </c>
      <c r="B1927" t="s">
        <v>5414</v>
      </c>
      <c r="C1927" t="s">
        <v>3149</v>
      </c>
      <c r="D1927" t="s">
        <v>1963</v>
      </c>
      <c r="E1927" t="s">
        <v>2020</v>
      </c>
      <c r="F1927" t="s">
        <v>2055</v>
      </c>
      <c r="G1927" t="s">
        <v>2056</v>
      </c>
      <c r="H1927" t="s">
        <v>2023</v>
      </c>
      <c r="I1927" t="s">
        <v>1426</v>
      </c>
      <c r="J1927" t="s">
        <v>1963</v>
      </c>
      <c r="K1927" t="s">
        <v>5415</v>
      </c>
      <c r="L1927" t="s">
        <v>2046</v>
      </c>
      <c r="M1927" t="s">
        <v>2058</v>
      </c>
      <c r="N1927" t="s">
        <v>2059</v>
      </c>
      <c r="O1927" t="s">
        <v>2060</v>
      </c>
      <c r="P1927" t="s">
        <v>2061</v>
      </c>
      <c r="Q1927" t="s">
        <v>2062</v>
      </c>
      <c r="R1927" t="s">
        <v>14</v>
      </c>
      <c r="S1927" t="s">
        <v>2063</v>
      </c>
      <c r="T1927" t="s">
        <v>2064</v>
      </c>
      <c r="U1927" t="s">
        <v>2052</v>
      </c>
      <c r="V1927" t="s">
        <v>14</v>
      </c>
      <c r="W1927" t="b">
        <v>1</v>
      </c>
      <c r="X1927" t="s">
        <v>1826</v>
      </c>
      <c r="Y1927" t="b">
        <v>0</v>
      </c>
      <c r="Z1927" t="s">
        <v>2053</v>
      </c>
    </row>
    <row r="1928" spans="1:26" x14ac:dyDescent="0.35">
      <c r="A1928" t="s">
        <v>1825</v>
      </c>
      <c r="B1928" t="s">
        <v>5414</v>
      </c>
      <c r="C1928" t="s">
        <v>3149</v>
      </c>
      <c r="D1928" t="s">
        <v>1963</v>
      </c>
      <c r="E1928" t="s">
        <v>2020</v>
      </c>
      <c r="F1928" t="s">
        <v>2055</v>
      </c>
      <c r="G1928" t="s">
        <v>2056</v>
      </c>
      <c r="H1928" t="s">
        <v>2023</v>
      </c>
      <c r="I1928" t="s">
        <v>2132</v>
      </c>
      <c r="J1928" t="s">
        <v>1963</v>
      </c>
      <c r="K1928" t="s">
        <v>5415</v>
      </c>
      <c r="L1928" t="s">
        <v>2046</v>
      </c>
      <c r="M1928" t="s">
        <v>2058</v>
      </c>
      <c r="N1928" t="s">
        <v>2059</v>
      </c>
      <c r="O1928" t="s">
        <v>2060</v>
      </c>
      <c r="P1928" t="s">
        <v>2061</v>
      </c>
      <c r="Q1928" t="s">
        <v>2062</v>
      </c>
      <c r="R1928" t="s">
        <v>14</v>
      </c>
      <c r="S1928" t="s">
        <v>2134</v>
      </c>
      <c r="T1928" t="s">
        <v>2135</v>
      </c>
      <c r="U1928" t="s">
        <v>2052</v>
      </c>
      <c r="V1928" t="s">
        <v>14</v>
      </c>
      <c r="W1928" t="b">
        <v>1</v>
      </c>
      <c r="X1928" t="s">
        <v>1826</v>
      </c>
      <c r="Y1928" t="b">
        <v>0</v>
      </c>
      <c r="Z1928" t="s">
        <v>2053</v>
      </c>
    </row>
    <row r="1929" spans="1:26" x14ac:dyDescent="0.35">
      <c r="A1929" t="s">
        <v>1827</v>
      </c>
      <c r="B1929" t="s">
        <v>5416</v>
      </c>
      <c r="C1929" t="s">
        <v>3149</v>
      </c>
      <c r="D1929" t="s">
        <v>1963</v>
      </c>
      <c r="E1929" t="s">
        <v>2020</v>
      </c>
      <c r="F1929" t="s">
        <v>2055</v>
      </c>
      <c r="G1929" t="s">
        <v>2056</v>
      </c>
      <c r="H1929" t="s">
        <v>2023</v>
      </c>
      <c r="I1929" t="s">
        <v>1426</v>
      </c>
      <c r="J1929" t="s">
        <v>1963</v>
      </c>
      <c r="K1929" t="s">
        <v>5417</v>
      </c>
      <c r="L1929" t="s">
        <v>2046</v>
      </c>
      <c r="M1929" t="s">
        <v>2058</v>
      </c>
      <c r="N1929" t="s">
        <v>2059</v>
      </c>
      <c r="O1929" t="s">
        <v>2060</v>
      </c>
      <c r="P1929" t="s">
        <v>2061</v>
      </c>
      <c r="Q1929" t="s">
        <v>2062</v>
      </c>
      <c r="R1929" t="s">
        <v>14</v>
      </c>
      <c r="S1929" t="s">
        <v>2063</v>
      </c>
      <c r="T1929" t="s">
        <v>2064</v>
      </c>
      <c r="U1929" t="s">
        <v>2052</v>
      </c>
      <c r="V1929" t="s">
        <v>14</v>
      </c>
      <c r="W1929" t="b">
        <v>1</v>
      </c>
      <c r="X1929" t="s">
        <v>1828</v>
      </c>
      <c r="Y1929" t="b">
        <v>0</v>
      </c>
      <c r="Z1929" t="s">
        <v>2053</v>
      </c>
    </row>
    <row r="1930" spans="1:26" x14ac:dyDescent="0.35">
      <c r="A1930" t="s">
        <v>5418</v>
      </c>
      <c r="B1930" t="s">
        <v>5419</v>
      </c>
      <c r="C1930" t="s">
        <v>3149</v>
      </c>
      <c r="D1930" t="s">
        <v>1963</v>
      </c>
      <c r="E1930" t="s">
        <v>2020</v>
      </c>
      <c r="F1930" t="s">
        <v>2140</v>
      </c>
      <c r="G1930" t="s">
        <v>2141</v>
      </c>
      <c r="H1930" t="s">
        <v>2023</v>
      </c>
      <c r="I1930" t="s">
        <v>2144</v>
      </c>
      <c r="J1930" t="s">
        <v>1963</v>
      </c>
      <c r="K1930" t="s">
        <v>5420</v>
      </c>
      <c r="L1930" t="s">
        <v>2046</v>
      </c>
      <c r="M1930" t="s">
        <v>2047</v>
      </c>
      <c r="N1930" t="s">
        <v>2048</v>
      </c>
      <c r="O1930" t="s">
        <v>2047</v>
      </c>
      <c r="P1930" t="s">
        <v>2048</v>
      </c>
      <c r="Q1930" t="s">
        <v>2145</v>
      </c>
      <c r="R1930" t="s">
        <v>14</v>
      </c>
      <c r="S1930" t="s">
        <v>2069</v>
      </c>
      <c r="T1930" t="s">
        <v>2070</v>
      </c>
      <c r="U1930" t="s">
        <v>2052</v>
      </c>
      <c r="V1930" t="s">
        <v>14</v>
      </c>
      <c r="W1930" t="b">
        <v>1</v>
      </c>
      <c r="X1930" t="s">
        <v>5421</v>
      </c>
      <c r="Y1930" t="b">
        <v>0</v>
      </c>
      <c r="Z1930" t="s">
        <v>2053</v>
      </c>
    </row>
    <row r="1931" spans="1:26" x14ac:dyDescent="0.35">
      <c r="A1931" t="s">
        <v>5418</v>
      </c>
      <c r="B1931" t="s">
        <v>5419</v>
      </c>
      <c r="C1931" t="s">
        <v>3149</v>
      </c>
      <c r="D1931" t="s">
        <v>1963</v>
      </c>
      <c r="E1931" t="s">
        <v>2020</v>
      </c>
      <c r="F1931" t="s">
        <v>2140</v>
      </c>
      <c r="G1931" t="s">
        <v>2141</v>
      </c>
      <c r="H1931" t="s">
        <v>2023</v>
      </c>
      <c r="I1931" t="s">
        <v>1806</v>
      </c>
      <c r="J1931" t="s">
        <v>1963</v>
      </c>
      <c r="K1931" t="s">
        <v>5420</v>
      </c>
      <c r="L1931" t="s">
        <v>2046</v>
      </c>
      <c r="M1931" t="s">
        <v>2067</v>
      </c>
      <c r="N1931" t="s">
        <v>2068</v>
      </c>
      <c r="O1931" t="s">
        <v>2047</v>
      </c>
      <c r="P1931" t="s">
        <v>2048</v>
      </c>
      <c r="Q1931" t="s">
        <v>14</v>
      </c>
      <c r="R1931" t="s">
        <v>14</v>
      </c>
      <c r="S1931" t="s">
        <v>2069</v>
      </c>
      <c r="T1931" t="s">
        <v>2070</v>
      </c>
      <c r="U1931" t="s">
        <v>2052</v>
      </c>
      <c r="V1931" t="s">
        <v>14</v>
      </c>
      <c r="W1931" t="b">
        <v>1</v>
      </c>
      <c r="X1931" t="s">
        <v>5421</v>
      </c>
      <c r="Y1931" t="b">
        <v>0</v>
      </c>
      <c r="Z1931" t="s">
        <v>2053</v>
      </c>
    </row>
    <row r="1932" spans="1:26" x14ac:dyDescent="0.35">
      <c r="A1932" t="s">
        <v>5418</v>
      </c>
      <c r="B1932" t="s">
        <v>5419</v>
      </c>
      <c r="C1932" t="s">
        <v>3149</v>
      </c>
      <c r="D1932" t="s">
        <v>1963</v>
      </c>
      <c r="E1932" t="s">
        <v>2020</v>
      </c>
      <c r="F1932" t="s">
        <v>2140</v>
      </c>
      <c r="G1932" t="s">
        <v>2141</v>
      </c>
      <c r="H1932" t="s">
        <v>2023</v>
      </c>
      <c r="I1932" t="s">
        <v>2146</v>
      </c>
      <c r="J1932" t="s">
        <v>1963</v>
      </c>
      <c r="K1932" t="s">
        <v>5420</v>
      </c>
      <c r="L1932" t="s">
        <v>2046</v>
      </c>
      <c r="M1932" t="s">
        <v>14</v>
      </c>
      <c r="N1932" t="s">
        <v>14</v>
      </c>
      <c r="O1932" t="s">
        <v>2147</v>
      </c>
      <c r="P1932" t="s">
        <v>2148</v>
      </c>
      <c r="Q1932" t="s">
        <v>14</v>
      </c>
      <c r="R1932" t="s">
        <v>14</v>
      </c>
      <c r="S1932" t="s">
        <v>14</v>
      </c>
      <c r="T1932" t="s">
        <v>14</v>
      </c>
      <c r="U1932" t="s">
        <v>2052</v>
      </c>
      <c r="V1932" t="s">
        <v>14</v>
      </c>
      <c r="W1932" t="b">
        <v>1</v>
      </c>
      <c r="X1932" t="s">
        <v>5421</v>
      </c>
      <c r="Y1932" t="b">
        <v>0</v>
      </c>
      <c r="Z1932" t="s">
        <v>2053</v>
      </c>
    </row>
    <row r="1933" spans="1:26" x14ac:dyDescent="0.35">
      <c r="A1933" t="s">
        <v>1949</v>
      </c>
      <c r="B1933" t="s">
        <v>5422</v>
      </c>
      <c r="C1933" t="s">
        <v>5423</v>
      </c>
      <c r="D1933" t="s">
        <v>1963</v>
      </c>
      <c r="E1933" t="s">
        <v>2020</v>
      </c>
      <c r="F1933" t="s">
        <v>2021</v>
      </c>
      <c r="G1933" t="s">
        <v>2022</v>
      </c>
      <c r="H1933" t="s">
        <v>2023</v>
      </c>
      <c r="I1933" t="s">
        <v>1852</v>
      </c>
      <c r="J1933" t="s">
        <v>1963</v>
      </c>
      <c r="K1933" t="s">
        <v>5424</v>
      </c>
      <c r="L1933" t="s">
        <v>2025</v>
      </c>
      <c r="M1933" t="s">
        <v>2152</v>
      </c>
      <c r="N1933" t="s">
        <v>2153</v>
      </c>
      <c r="O1933" t="s">
        <v>2152</v>
      </c>
      <c r="P1933" t="s">
        <v>2153</v>
      </c>
      <c r="Q1933" t="s">
        <v>14</v>
      </c>
      <c r="R1933" t="s">
        <v>14</v>
      </c>
      <c r="S1933" t="s">
        <v>14</v>
      </c>
      <c r="T1933" t="s">
        <v>14</v>
      </c>
      <c r="U1933" t="s">
        <v>2030</v>
      </c>
      <c r="V1933" t="s">
        <v>14</v>
      </c>
      <c r="W1933" t="b">
        <v>1</v>
      </c>
      <c r="X1933" t="s">
        <v>5425</v>
      </c>
      <c r="Y1933" t="b">
        <v>0</v>
      </c>
      <c r="Z1933" t="s">
        <v>2081</v>
      </c>
    </row>
    <row r="1934" spans="1:26" x14ac:dyDescent="0.35">
      <c r="A1934" t="s">
        <v>1885</v>
      </c>
      <c r="B1934" t="s">
        <v>5426</v>
      </c>
      <c r="C1934" t="s">
        <v>2335</v>
      </c>
      <c r="D1934" t="s">
        <v>1963</v>
      </c>
      <c r="E1934" t="s">
        <v>2020</v>
      </c>
      <c r="F1934" t="s">
        <v>2021</v>
      </c>
      <c r="G1934" t="s">
        <v>2022</v>
      </c>
      <c r="H1934" t="s">
        <v>2023</v>
      </c>
      <c r="I1934" t="s">
        <v>2381</v>
      </c>
      <c r="J1934" t="s">
        <v>1963</v>
      </c>
      <c r="K1934" t="s">
        <v>5427</v>
      </c>
      <c r="L1934" t="s">
        <v>14</v>
      </c>
      <c r="M1934" t="s">
        <v>2383</v>
      </c>
      <c r="N1934" t="s">
        <v>2384</v>
      </c>
      <c r="O1934" t="s">
        <v>2385</v>
      </c>
      <c r="P1934" t="s">
        <v>2386</v>
      </c>
      <c r="Q1934" t="s">
        <v>2387</v>
      </c>
      <c r="R1934" t="s">
        <v>14</v>
      </c>
      <c r="S1934" t="s">
        <v>2388</v>
      </c>
      <c r="T1934" t="s">
        <v>2389</v>
      </c>
      <c r="U1934" t="s">
        <v>2390</v>
      </c>
      <c r="V1934" t="s">
        <v>14</v>
      </c>
      <c r="W1934" t="b">
        <v>1</v>
      </c>
      <c r="X1934" t="s">
        <v>5428</v>
      </c>
      <c r="Y1934" t="b">
        <v>0</v>
      </c>
      <c r="Z1934" t="s">
        <v>2032</v>
      </c>
    </row>
    <row r="1935" spans="1:26" x14ac:dyDescent="0.35">
      <c r="A1935" t="s">
        <v>1990</v>
      </c>
      <c r="B1935" t="s">
        <v>5429</v>
      </c>
      <c r="C1935" t="s">
        <v>2335</v>
      </c>
      <c r="D1935" t="s">
        <v>1963</v>
      </c>
      <c r="E1935" t="s">
        <v>2020</v>
      </c>
      <c r="F1935" t="s">
        <v>2021</v>
      </c>
      <c r="G1935" t="s">
        <v>2022</v>
      </c>
      <c r="H1935" t="s">
        <v>2023</v>
      </c>
      <c r="I1935" t="s">
        <v>5430</v>
      </c>
      <c r="J1935" t="s">
        <v>1963</v>
      </c>
      <c r="K1935" t="s">
        <v>5431</v>
      </c>
      <c r="L1935" t="s">
        <v>14</v>
      </c>
      <c r="M1935" t="s">
        <v>14</v>
      </c>
      <c r="N1935" t="s">
        <v>14</v>
      </c>
      <c r="O1935" t="s">
        <v>3154</v>
      </c>
      <c r="P1935" t="s">
        <v>3155</v>
      </c>
      <c r="Q1935" t="s">
        <v>14</v>
      </c>
      <c r="R1935" t="s">
        <v>14</v>
      </c>
      <c r="S1935" t="s">
        <v>14</v>
      </c>
      <c r="T1935" t="s">
        <v>14</v>
      </c>
      <c r="U1935" t="s">
        <v>3015</v>
      </c>
      <c r="V1935" t="s">
        <v>14</v>
      </c>
      <c r="W1935" t="b">
        <v>1</v>
      </c>
      <c r="X1935" t="s">
        <v>5432</v>
      </c>
      <c r="Y1935" t="b">
        <v>0</v>
      </c>
      <c r="Z1935" t="s">
        <v>2032</v>
      </c>
    </row>
    <row r="1936" spans="1:26" x14ac:dyDescent="0.35">
      <c r="A1936" t="s">
        <v>1990</v>
      </c>
      <c r="B1936" t="s">
        <v>5429</v>
      </c>
      <c r="C1936" t="s">
        <v>2335</v>
      </c>
      <c r="D1936" t="s">
        <v>1963</v>
      </c>
      <c r="E1936" t="s">
        <v>2020</v>
      </c>
      <c r="F1936" t="s">
        <v>2021</v>
      </c>
      <c r="G1936" t="s">
        <v>2022</v>
      </c>
      <c r="H1936" t="s">
        <v>2023</v>
      </c>
      <c r="I1936" t="s">
        <v>73</v>
      </c>
      <c r="J1936" t="s">
        <v>1963</v>
      </c>
      <c r="K1936" t="s">
        <v>5431</v>
      </c>
      <c r="L1936" t="s">
        <v>14</v>
      </c>
      <c r="M1936" t="s">
        <v>3152</v>
      </c>
      <c r="N1936" t="s">
        <v>3153</v>
      </c>
      <c r="O1936" t="s">
        <v>3154</v>
      </c>
      <c r="P1936" t="s">
        <v>3155</v>
      </c>
      <c r="Q1936" t="s">
        <v>3156</v>
      </c>
      <c r="R1936" t="s">
        <v>14</v>
      </c>
      <c r="S1936" t="s">
        <v>3157</v>
      </c>
      <c r="T1936" t="s">
        <v>3158</v>
      </c>
      <c r="U1936" t="s">
        <v>3015</v>
      </c>
      <c r="V1936" t="s">
        <v>14</v>
      </c>
      <c r="W1936" t="b">
        <v>1</v>
      </c>
      <c r="X1936" t="s">
        <v>5432</v>
      </c>
      <c r="Y1936" t="b">
        <v>1</v>
      </c>
      <c r="Z1936" t="s">
        <v>2032</v>
      </c>
    </row>
    <row r="1937" spans="1:26" x14ac:dyDescent="0.35">
      <c r="A1937" t="s">
        <v>1991</v>
      </c>
      <c r="B1937" t="s">
        <v>5433</v>
      </c>
      <c r="C1937" t="s">
        <v>2335</v>
      </c>
      <c r="D1937" t="s">
        <v>1963</v>
      </c>
      <c r="E1937" t="s">
        <v>2020</v>
      </c>
      <c r="F1937" t="s">
        <v>2021</v>
      </c>
      <c r="G1937" t="s">
        <v>2022</v>
      </c>
      <c r="H1937" t="s">
        <v>2023</v>
      </c>
      <c r="I1937" t="s">
        <v>5430</v>
      </c>
      <c r="J1937" t="s">
        <v>1963</v>
      </c>
      <c r="K1937" t="s">
        <v>5434</v>
      </c>
      <c r="L1937" t="s">
        <v>14</v>
      </c>
      <c r="M1937" t="s">
        <v>14</v>
      </c>
      <c r="N1937" t="s">
        <v>14</v>
      </c>
      <c r="O1937" t="s">
        <v>3154</v>
      </c>
      <c r="P1937" t="s">
        <v>3155</v>
      </c>
      <c r="Q1937" t="s">
        <v>14</v>
      </c>
      <c r="R1937" t="s">
        <v>14</v>
      </c>
      <c r="S1937" t="s">
        <v>14</v>
      </c>
      <c r="T1937" t="s">
        <v>14</v>
      </c>
      <c r="U1937" t="s">
        <v>3015</v>
      </c>
      <c r="V1937" t="s">
        <v>14</v>
      </c>
      <c r="W1937" t="b">
        <v>1</v>
      </c>
      <c r="X1937" t="s">
        <v>5435</v>
      </c>
      <c r="Y1937" t="b">
        <v>0</v>
      </c>
      <c r="Z1937" t="s">
        <v>2032</v>
      </c>
    </row>
    <row r="1938" spans="1:26" x14ac:dyDescent="0.35">
      <c r="A1938" t="s">
        <v>1991</v>
      </c>
      <c r="B1938" t="s">
        <v>5433</v>
      </c>
      <c r="C1938" t="s">
        <v>2335</v>
      </c>
      <c r="D1938" t="s">
        <v>1963</v>
      </c>
      <c r="E1938" t="s">
        <v>2020</v>
      </c>
      <c r="F1938" t="s">
        <v>2021</v>
      </c>
      <c r="G1938" t="s">
        <v>2022</v>
      </c>
      <c r="H1938" t="s">
        <v>2023</v>
      </c>
      <c r="I1938" t="s">
        <v>73</v>
      </c>
      <c r="J1938" t="s">
        <v>1963</v>
      </c>
      <c r="K1938" t="s">
        <v>5434</v>
      </c>
      <c r="L1938" t="s">
        <v>14</v>
      </c>
      <c r="M1938" t="s">
        <v>3152</v>
      </c>
      <c r="N1938" t="s">
        <v>3153</v>
      </c>
      <c r="O1938" t="s">
        <v>3154</v>
      </c>
      <c r="P1938" t="s">
        <v>3155</v>
      </c>
      <c r="Q1938" t="s">
        <v>3156</v>
      </c>
      <c r="R1938" t="s">
        <v>14</v>
      </c>
      <c r="S1938" t="s">
        <v>3157</v>
      </c>
      <c r="T1938" t="s">
        <v>3158</v>
      </c>
      <c r="U1938" t="s">
        <v>3015</v>
      </c>
      <c r="V1938" t="s">
        <v>14</v>
      </c>
      <c r="W1938" t="b">
        <v>1</v>
      </c>
      <c r="X1938" t="s">
        <v>5435</v>
      </c>
      <c r="Y1938" t="b">
        <v>1</v>
      </c>
      <c r="Z1938" t="s">
        <v>2032</v>
      </c>
    </row>
    <row r="1939" spans="1:26" x14ac:dyDescent="0.35">
      <c r="A1939" t="s">
        <v>1977</v>
      </c>
      <c r="B1939" t="s">
        <v>5436</v>
      </c>
      <c r="C1939" t="s">
        <v>2335</v>
      </c>
      <c r="D1939" t="s">
        <v>1963</v>
      </c>
      <c r="E1939" t="s">
        <v>2020</v>
      </c>
      <c r="F1939" t="s">
        <v>2021</v>
      </c>
      <c r="G1939" t="s">
        <v>2022</v>
      </c>
      <c r="H1939" t="s">
        <v>2023</v>
      </c>
      <c r="I1939" t="s">
        <v>5437</v>
      </c>
      <c r="J1939" t="s">
        <v>1963</v>
      </c>
      <c r="K1939" t="s">
        <v>5438</v>
      </c>
      <c r="L1939" t="s">
        <v>2025</v>
      </c>
      <c r="M1939" t="s">
        <v>5439</v>
      </c>
      <c r="N1939" t="s">
        <v>5440</v>
      </c>
      <c r="O1939" t="s">
        <v>3013</v>
      </c>
      <c r="P1939" t="s">
        <v>3014</v>
      </c>
      <c r="Q1939" t="s">
        <v>14</v>
      </c>
      <c r="R1939" t="s">
        <v>14</v>
      </c>
      <c r="S1939" t="s">
        <v>14</v>
      </c>
      <c r="T1939" t="s">
        <v>14</v>
      </c>
      <c r="U1939" t="s">
        <v>3015</v>
      </c>
      <c r="V1939" t="s">
        <v>14</v>
      </c>
      <c r="W1939" t="b">
        <v>1</v>
      </c>
      <c r="X1939" t="s">
        <v>5441</v>
      </c>
      <c r="Y1939" t="b">
        <v>0</v>
      </c>
      <c r="Z1939" t="s">
        <v>2081</v>
      </c>
    </row>
    <row r="1940" spans="1:26" x14ac:dyDescent="0.35">
      <c r="A1940" t="s">
        <v>1886</v>
      </c>
      <c r="B1940" t="s">
        <v>5442</v>
      </c>
      <c r="C1940" t="s">
        <v>2335</v>
      </c>
      <c r="D1940" t="s">
        <v>1963</v>
      </c>
      <c r="E1940" t="s">
        <v>2020</v>
      </c>
      <c r="F1940" t="s">
        <v>2021</v>
      </c>
      <c r="G1940" t="s">
        <v>2022</v>
      </c>
      <c r="H1940" t="s">
        <v>2023</v>
      </c>
      <c r="I1940" t="s">
        <v>2381</v>
      </c>
      <c r="J1940" t="s">
        <v>1963</v>
      </c>
      <c r="K1940" t="s">
        <v>5443</v>
      </c>
      <c r="L1940" t="s">
        <v>14</v>
      </c>
      <c r="M1940" t="s">
        <v>2383</v>
      </c>
      <c r="N1940" t="s">
        <v>2384</v>
      </c>
      <c r="O1940" t="s">
        <v>2385</v>
      </c>
      <c r="P1940" t="s">
        <v>2386</v>
      </c>
      <c r="Q1940" t="s">
        <v>2387</v>
      </c>
      <c r="R1940" t="s">
        <v>14</v>
      </c>
      <c r="S1940" t="s">
        <v>2388</v>
      </c>
      <c r="T1940" t="s">
        <v>2389</v>
      </c>
      <c r="U1940" t="s">
        <v>2390</v>
      </c>
      <c r="V1940" t="s">
        <v>14</v>
      </c>
      <c r="W1940" t="b">
        <v>1</v>
      </c>
      <c r="X1940" t="s">
        <v>5444</v>
      </c>
      <c r="Y1940" t="b">
        <v>0</v>
      </c>
      <c r="Z1940" t="s">
        <v>2032</v>
      </c>
    </row>
    <row r="1941" spans="1:26" x14ac:dyDescent="0.35">
      <c r="A1941" t="s">
        <v>1887</v>
      </c>
      <c r="B1941" t="s">
        <v>5445</v>
      </c>
      <c r="C1941" t="s">
        <v>2335</v>
      </c>
      <c r="D1941" t="s">
        <v>1963</v>
      </c>
      <c r="E1941" t="s">
        <v>2020</v>
      </c>
      <c r="F1941" t="s">
        <v>2021</v>
      </c>
      <c r="G1941" t="s">
        <v>2022</v>
      </c>
      <c r="H1941" t="s">
        <v>2023</v>
      </c>
      <c r="I1941" t="s">
        <v>2381</v>
      </c>
      <c r="J1941" t="s">
        <v>1963</v>
      </c>
      <c r="K1941" t="s">
        <v>5446</v>
      </c>
      <c r="L1941" t="s">
        <v>14</v>
      </c>
      <c r="M1941" t="s">
        <v>2383</v>
      </c>
      <c r="N1941" t="s">
        <v>2384</v>
      </c>
      <c r="O1941" t="s">
        <v>2385</v>
      </c>
      <c r="P1941" t="s">
        <v>2386</v>
      </c>
      <c r="Q1941" t="s">
        <v>2387</v>
      </c>
      <c r="R1941" t="s">
        <v>14</v>
      </c>
      <c r="S1941" t="s">
        <v>2388</v>
      </c>
      <c r="T1941" t="s">
        <v>2389</v>
      </c>
      <c r="U1941" t="s">
        <v>2390</v>
      </c>
      <c r="V1941" t="s">
        <v>14</v>
      </c>
      <c r="W1941" t="b">
        <v>1</v>
      </c>
      <c r="X1941" t="s">
        <v>5447</v>
      </c>
      <c r="Y1941" t="b">
        <v>0</v>
      </c>
      <c r="Z1941" t="s">
        <v>2032</v>
      </c>
    </row>
    <row r="1942" spans="1:26" x14ac:dyDescent="0.35">
      <c r="A1942" t="s">
        <v>1888</v>
      </c>
      <c r="B1942" t="s">
        <v>5448</v>
      </c>
      <c r="C1942" t="s">
        <v>2335</v>
      </c>
      <c r="D1942" t="s">
        <v>1963</v>
      </c>
      <c r="E1942" t="s">
        <v>2020</v>
      </c>
      <c r="F1942" t="s">
        <v>2021</v>
      </c>
      <c r="G1942" t="s">
        <v>2022</v>
      </c>
      <c r="H1942" t="s">
        <v>2023</v>
      </c>
      <c r="I1942" t="s">
        <v>2381</v>
      </c>
      <c r="J1942" t="s">
        <v>1963</v>
      </c>
      <c r="K1942" t="s">
        <v>5449</v>
      </c>
      <c r="L1942" t="s">
        <v>14</v>
      </c>
      <c r="M1942" t="s">
        <v>2383</v>
      </c>
      <c r="N1942" t="s">
        <v>2384</v>
      </c>
      <c r="O1942" t="s">
        <v>2385</v>
      </c>
      <c r="P1942" t="s">
        <v>2386</v>
      </c>
      <c r="Q1942" t="s">
        <v>2387</v>
      </c>
      <c r="R1942" t="s">
        <v>14</v>
      </c>
      <c r="S1942" t="s">
        <v>2388</v>
      </c>
      <c r="T1942" t="s">
        <v>2389</v>
      </c>
      <c r="U1942" t="s">
        <v>2390</v>
      </c>
      <c r="V1942" t="s">
        <v>14</v>
      </c>
      <c r="W1942" t="b">
        <v>1</v>
      </c>
      <c r="X1942" t="s">
        <v>5450</v>
      </c>
      <c r="Y1942" t="b">
        <v>0</v>
      </c>
      <c r="Z1942" t="s">
        <v>2032</v>
      </c>
    </row>
    <row r="1943" spans="1:26" x14ac:dyDescent="0.35">
      <c r="A1943" t="s">
        <v>1889</v>
      </c>
      <c r="B1943" t="s">
        <v>5451</v>
      </c>
      <c r="C1943" t="s">
        <v>2335</v>
      </c>
      <c r="D1943" t="s">
        <v>1963</v>
      </c>
      <c r="E1943" t="s">
        <v>2020</v>
      </c>
      <c r="F1943" t="s">
        <v>2021</v>
      </c>
      <c r="G1943" t="s">
        <v>2022</v>
      </c>
      <c r="H1943" t="s">
        <v>2023</v>
      </c>
      <c r="I1943" t="s">
        <v>2381</v>
      </c>
      <c r="J1943" t="s">
        <v>1963</v>
      </c>
      <c r="K1943" t="s">
        <v>5452</v>
      </c>
      <c r="L1943" t="s">
        <v>14</v>
      </c>
      <c r="M1943" t="s">
        <v>2383</v>
      </c>
      <c r="N1943" t="s">
        <v>2384</v>
      </c>
      <c r="O1943" t="s">
        <v>2385</v>
      </c>
      <c r="P1943" t="s">
        <v>2386</v>
      </c>
      <c r="Q1943" t="s">
        <v>2387</v>
      </c>
      <c r="R1943" t="s">
        <v>14</v>
      </c>
      <c r="S1943" t="s">
        <v>2388</v>
      </c>
      <c r="T1943" t="s">
        <v>2389</v>
      </c>
      <c r="U1943" t="s">
        <v>2390</v>
      </c>
      <c r="V1943" t="s">
        <v>14</v>
      </c>
      <c r="W1943" t="b">
        <v>1</v>
      </c>
      <c r="X1943" t="s">
        <v>5453</v>
      </c>
      <c r="Y1943" t="b">
        <v>0</v>
      </c>
      <c r="Z1943" t="s">
        <v>2032</v>
      </c>
    </row>
    <row r="1944" spans="1:26" x14ac:dyDescent="0.35">
      <c r="A1944" t="s">
        <v>1890</v>
      </c>
      <c r="B1944" t="s">
        <v>5454</v>
      </c>
      <c r="C1944" t="s">
        <v>2335</v>
      </c>
      <c r="D1944" t="s">
        <v>1963</v>
      </c>
      <c r="E1944" t="s">
        <v>2020</v>
      </c>
      <c r="F1944" t="s">
        <v>2021</v>
      </c>
      <c r="G1944" t="s">
        <v>2022</v>
      </c>
      <c r="H1944" t="s">
        <v>2023</v>
      </c>
      <c r="I1944" t="s">
        <v>2381</v>
      </c>
      <c r="J1944" t="s">
        <v>1963</v>
      </c>
      <c r="K1944" t="s">
        <v>5455</v>
      </c>
      <c r="L1944" t="s">
        <v>14</v>
      </c>
      <c r="M1944" t="s">
        <v>2383</v>
      </c>
      <c r="N1944" t="s">
        <v>2384</v>
      </c>
      <c r="O1944" t="s">
        <v>2385</v>
      </c>
      <c r="P1944" t="s">
        <v>2386</v>
      </c>
      <c r="Q1944" t="s">
        <v>2387</v>
      </c>
      <c r="R1944" t="s">
        <v>14</v>
      </c>
      <c r="S1944" t="s">
        <v>2388</v>
      </c>
      <c r="T1944" t="s">
        <v>2389</v>
      </c>
      <c r="U1944" t="s">
        <v>2390</v>
      </c>
      <c r="V1944" t="s">
        <v>14</v>
      </c>
      <c r="W1944" t="b">
        <v>1</v>
      </c>
      <c r="X1944" t="s">
        <v>5456</v>
      </c>
      <c r="Y1944" t="b">
        <v>0</v>
      </c>
      <c r="Z1944" t="s">
        <v>2032</v>
      </c>
    </row>
    <row r="1945" spans="1:26" x14ac:dyDescent="0.35">
      <c r="A1945" t="s">
        <v>1891</v>
      </c>
      <c r="B1945" t="s">
        <v>5457</v>
      </c>
      <c r="C1945" t="s">
        <v>2335</v>
      </c>
      <c r="D1945" t="s">
        <v>1963</v>
      </c>
      <c r="E1945" t="s">
        <v>2020</v>
      </c>
      <c r="F1945" t="s">
        <v>2021</v>
      </c>
      <c r="G1945" t="s">
        <v>2022</v>
      </c>
      <c r="H1945" t="s">
        <v>2023</v>
      </c>
      <c r="I1945" t="s">
        <v>2381</v>
      </c>
      <c r="J1945" t="s">
        <v>1963</v>
      </c>
      <c r="K1945" t="s">
        <v>5458</v>
      </c>
      <c r="L1945" t="s">
        <v>14</v>
      </c>
      <c r="M1945" t="s">
        <v>2383</v>
      </c>
      <c r="N1945" t="s">
        <v>2384</v>
      </c>
      <c r="O1945" t="s">
        <v>2385</v>
      </c>
      <c r="P1945" t="s">
        <v>2386</v>
      </c>
      <c r="Q1945" t="s">
        <v>2387</v>
      </c>
      <c r="R1945" t="s">
        <v>14</v>
      </c>
      <c r="S1945" t="s">
        <v>2388</v>
      </c>
      <c r="T1945" t="s">
        <v>2389</v>
      </c>
      <c r="U1945" t="s">
        <v>2390</v>
      </c>
      <c r="V1945" t="s">
        <v>14</v>
      </c>
      <c r="W1945" t="b">
        <v>1</v>
      </c>
      <c r="X1945" t="s">
        <v>5459</v>
      </c>
      <c r="Y1945" t="b">
        <v>0</v>
      </c>
      <c r="Z1945" t="s">
        <v>2032</v>
      </c>
    </row>
    <row r="1946" spans="1:26" x14ac:dyDescent="0.35">
      <c r="A1946" t="s">
        <v>1978</v>
      </c>
      <c r="B1946" t="s">
        <v>5460</v>
      </c>
      <c r="C1946" t="s">
        <v>2335</v>
      </c>
      <c r="D1946" t="s">
        <v>1963</v>
      </c>
      <c r="E1946" t="s">
        <v>2020</v>
      </c>
      <c r="F1946" t="s">
        <v>2021</v>
      </c>
      <c r="G1946" t="s">
        <v>2022</v>
      </c>
      <c r="H1946" t="s">
        <v>2023</v>
      </c>
      <c r="I1946" t="s">
        <v>41</v>
      </c>
      <c r="J1946" t="s">
        <v>1963</v>
      </c>
      <c r="K1946" t="s">
        <v>5461</v>
      </c>
      <c r="L1946" t="s">
        <v>2025</v>
      </c>
      <c r="M1946" t="s">
        <v>2338</v>
      </c>
      <c r="N1946" t="s">
        <v>2339</v>
      </c>
      <c r="O1946" t="s">
        <v>2340</v>
      </c>
      <c r="P1946" t="s">
        <v>2341</v>
      </c>
      <c r="Q1946" t="s">
        <v>14</v>
      </c>
      <c r="R1946" t="s">
        <v>14</v>
      </c>
      <c r="S1946" t="s">
        <v>2342</v>
      </c>
      <c r="T1946" t="s">
        <v>2343</v>
      </c>
      <c r="U1946" t="s">
        <v>2171</v>
      </c>
      <c r="V1946" t="s">
        <v>14</v>
      </c>
      <c r="W1946" t="b">
        <v>1</v>
      </c>
      <c r="X1946" t="s">
        <v>5462</v>
      </c>
      <c r="Y1946" t="b">
        <v>0</v>
      </c>
      <c r="Z1946" t="s">
        <v>2032</v>
      </c>
    </row>
    <row r="1947" spans="1:26" x14ac:dyDescent="0.35">
      <c r="A1947" t="s">
        <v>1979</v>
      </c>
      <c r="B1947" t="s">
        <v>5463</v>
      </c>
      <c r="C1947" t="s">
        <v>2335</v>
      </c>
      <c r="D1947" t="s">
        <v>1963</v>
      </c>
      <c r="E1947" t="s">
        <v>2020</v>
      </c>
      <c r="F1947" t="s">
        <v>2021</v>
      </c>
      <c r="G1947" t="s">
        <v>2022</v>
      </c>
      <c r="H1947" t="s">
        <v>2023</v>
      </c>
      <c r="I1947" t="s">
        <v>41</v>
      </c>
      <c r="J1947" t="s">
        <v>1963</v>
      </c>
      <c r="K1947" t="s">
        <v>5464</v>
      </c>
      <c r="L1947" t="s">
        <v>2025</v>
      </c>
      <c r="M1947" t="s">
        <v>2338</v>
      </c>
      <c r="N1947" t="s">
        <v>2339</v>
      </c>
      <c r="O1947" t="s">
        <v>2340</v>
      </c>
      <c r="P1947" t="s">
        <v>2341</v>
      </c>
      <c r="Q1947" t="s">
        <v>14</v>
      </c>
      <c r="R1947" t="s">
        <v>14</v>
      </c>
      <c r="S1947" t="s">
        <v>2342</v>
      </c>
      <c r="T1947" t="s">
        <v>2343</v>
      </c>
      <c r="U1947" t="s">
        <v>2171</v>
      </c>
      <c r="V1947" t="s">
        <v>14</v>
      </c>
      <c r="W1947" t="b">
        <v>1</v>
      </c>
      <c r="X1947" t="s">
        <v>5465</v>
      </c>
      <c r="Y1947" t="b">
        <v>0</v>
      </c>
      <c r="Z1947" t="s">
        <v>2032</v>
      </c>
    </row>
    <row r="1948" spans="1:26" x14ac:dyDescent="0.35">
      <c r="A1948" t="s">
        <v>1980</v>
      </c>
      <c r="B1948" t="s">
        <v>5466</v>
      </c>
      <c r="C1948" t="s">
        <v>2335</v>
      </c>
      <c r="D1948" t="s">
        <v>1963</v>
      </c>
      <c r="E1948" t="s">
        <v>2020</v>
      </c>
      <c r="F1948" t="s">
        <v>2021</v>
      </c>
      <c r="G1948" t="s">
        <v>2022</v>
      </c>
      <c r="H1948" t="s">
        <v>2023</v>
      </c>
      <c r="I1948" t="s">
        <v>41</v>
      </c>
      <c r="J1948" t="s">
        <v>1963</v>
      </c>
      <c r="K1948" t="s">
        <v>5467</v>
      </c>
      <c r="L1948" t="s">
        <v>2025</v>
      </c>
      <c r="M1948" t="s">
        <v>2338</v>
      </c>
      <c r="N1948" t="s">
        <v>2339</v>
      </c>
      <c r="O1948" t="s">
        <v>2340</v>
      </c>
      <c r="P1948" t="s">
        <v>2341</v>
      </c>
      <c r="Q1948" t="s">
        <v>14</v>
      </c>
      <c r="R1948" t="s">
        <v>14</v>
      </c>
      <c r="S1948" t="s">
        <v>2342</v>
      </c>
      <c r="T1948" t="s">
        <v>2343</v>
      </c>
      <c r="U1948" t="s">
        <v>2171</v>
      </c>
      <c r="V1948" t="s">
        <v>14</v>
      </c>
      <c r="W1948" t="b">
        <v>1</v>
      </c>
      <c r="X1948" t="s">
        <v>5468</v>
      </c>
      <c r="Y1948" t="b">
        <v>0</v>
      </c>
      <c r="Z1948" t="s">
        <v>2032</v>
      </c>
    </row>
    <row r="1949" spans="1:26" x14ac:dyDescent="0.35">
      <c r="A1949" t="s">
        <v>5469</v>
      </c>
      <c r="B1949" t="s">
        <v>996</v>
      </c>
      <c r="C1949" t="s">
        <v>5470</v>
      </c>
      <c r="D1949" t="s">
        <v>1963</v>
      </c>
      <c r="E1949" t="s">
        <v>2020</v>
      </c>
      <c r="F1949" t="s">
        <v>2021</v>
      </c>
      <c r="G1949" t="s">
        <v>2022</v>
      </c>
      <c r="H1949" t="s">
        <v>2023</v>
      </c>
      <c r="I1949" t="s">
        <v>4697</v>
      </c>
      <c r="J1949" t="s">
        <v>1963</v>
      </c>
      <c r="K1949" t="s">
        <v>5471</v>
      </c>
      <c r="L1949" t="s">
        <v>2046</v>
      </c>
      <c r="M1949" t="s">
        <v>4660</v>
      </c>
      <c r="N1949" t="s">
        <v>4661</v>
      </c>
      <c r="O1949" t="s">
        <v>2635</v>
      </c>
      <c r="P1949" t="s">
        <v>2636</v>
      </c>
      <c r="Q1949" t="s">
        <v>4662</v>
      </c>
      <c r="R1949" t="s">
        <v>14</v>
      </c>
      <c r="S1949" t="s">
        <v>4663</v>
      </c>
      <c r="T1949" t="s">
        <v>4664</v>
      </c>
      <c r="U1949" t="s">
        <v>2171</v>
      </c>
      <c r="V1949" t="s">
        <v>14</v>
      </c>
      <c r="W1949" t="b">
        <v>1</v>
      </c>
      <c r="X1949" t="s">
        <v>5472</v>
      </c>
      <c r="Y1949" t="b">
        <v>0</v>
      </c>
      <c r="Z1949" t="s">
        <v>2032</v>
      </c>
    </row>
    <row r="1950" spans="1:26" x14ac:dyDescent="0.35">
      <c r="A1950" t="s">
        <v>5469</v>
      </c>
      <c r="B1950" t="s">
        <v>996</v>
      </c>
      <c r="C1950" t="s">
        <v>5470</v>
      </c>
      <c r="D1950" t="s">
        <v>1963</v>
      </c>
      <c r="E1950" t="s">
        <v>2020</v>
      </c>
      <c r="F1950" t="s">
        <v>2021</v>
      </c>
      <c r="G1950" t="s">
        <v>2022</v>
      </c>
      <c r="H1950" t="s">
        <v>2023</v>
      </c>
      <c r="I1950" t="s">
        <v>4658</v>
      </c>
      <c r="J1950" t="s">
        <v>1963</v>
      </c>
      <c r="K1950" t="s">
        <v>5471</v>
      </c>
      <c r="L1950" t="s">
        <v>2046</v>
      </c>
      <c r="M1950" t="s">
        <v>4660</v>
      </c>
      <c r="N1950" t="s">
        <v>4661</v>
      </c>
      <c r="O1950" t="s">
        <v>2635</v>
      </c>
      <c r="P1950" t="s">
        <v>2636</v>
      </c>
      <c r="Q1950" t="s">
        <v>4662</v>
      </c>
      <c r="R1950" t="s">
        <v>14</v>
      </c>
      <c r="S1950" t="s">
        <v>4663</v>
      </c>
      <c r="T1950" t="s">
        <v>4664</v>
      </c>
      <c r="U1950" t="s">
        <v>2171</v>
      </c>
      <c r="V1950" t="s">
        <v>14</v>
      </c>
      <c r="W1950" t="b">
        <v>1</v>
      </c>
      <c r="X1950" t="s">
        <v>5472</v>
      </c>
      <c r="Y1950" t="b">
        <v>0</v>
      </c>
      <c r="Z1950" t="s">
        <v>2032</v>
      </c>
    </row>
    <row r="1951" spans="1:26" x14ac:dyDescent="0.35">
      <c r="A1951" t="s">
        <v>5469</v>
      </c>
      <c r="B1951" t="s">
        <v>996</v>
      </c>
      <c r="C1951" t="s">
        <v>5470</v>
      </c>
      <c r="D1951" t="s">
        <v>1963</v>
      </c>
      <c r="E1951" t="s">
        <v>2020</v>
      </c>
      <c r="F1951" t="s">
        <v>2021</v>
      </c>
      <c r="G1951" t="s">
        <v>2022</v>
      </c>
      <c r="H1951" t="s">
        <v>2023</v>
      </c>
      <c r="I1951" t="s">
        <v>3114</v>
      </c>
      <c r="J1951" t="s">
        <v>1963</v>
      </c>
      <c r="K1951" t="s">
        <v>5471</v>
      </c>
      <c r="L1951" t="s">
        <v>2046</v>
      </c>
      <c r="M1951" t="s">
        <v>2026</v>
      </c>
      <c r="N1951" t="s">
        <v>2027</v>
      </c>
      <c r="O1951" t="s">
        <v>2650</v>
      </c>
      <c r="P1951" t="s">
        <v>2651</v>
      </c>
      <c r="Q1951" t="s">
        <v>14</v>
      </c>
      <c r="R1951" t="s">
        <v>14</v>
      </c>
      <c r="S1951" t="s">
        <v>14</v>
      </c>
      <c r="T1951" t="s">
        <v>14</v>
      </c>
      <c r="U1951" t="s">
        <v>2030</v>
      </c>
      <c r="V1951" t="s">
        <v>14</v>
      </c>
      <c r="W1951" t="b">
        <v>1</v>
      </c>
      <c r="X1951" t="s">
        <v>5472</v>
      </c>
      <c r="Y1951" t="b">
        <v>0</v>
      </c>
      <c r="Z1951" t="s">
        <v>2032</v>
      </c>
    </row>
    <row r="1952" spans="1:26" x14ac:dyDescent="0.35">
      <c r="A1952" t="s">
        <v>1950</v>
      </c>
      <c r="B1952" t="s">
        <v>5473</v>
      </c>
      <c r="C1952" t="s">
        <v>3922</v>
      </c>
      <c r="D1952" t="s">
        <v>1963</v>
      </c>
      <c r="E1952" t="s">
        <v>2020</v>
      </c>
      <c r="F1952" t="s">
        <v>2021</v>
      </c>
      <c r="G1952" t="s">
        <v>2022</v>
      </c>
      <c r="H1952" t="s">
        <v>2023</v>
      </c>
      <c r="I1952" t="s">
        <v>5474</v>
      </c>
      <c r="J1952" t="s">
        <v>1963</v>
      </c>
      <c r="K1952" t="s">
        <v>5475</v>
      </c>
      <c r="L1952" t="s">
        <v>2025</v>
      </c>
      <c r="M1952" t="s">
        <v>5476</v>
      </c>
      <c r="N1952" t="s">
        <v>5477</v>
      </c>
      <c r="O1952" t="s">
        <v>2401</v>
      </c>
      <c r="P1952" t="s">
        <v>2402</v>
      </c>
      <c r="Q1952" t="s">
        <v>5366</v>
      </c>
      <c r="R1952" t="s">
        <v>14</v>
      </c>
      <c r="S1952" t="s">
        <v>5478</v>
      </c>
      <c r="T1952" t="s">
        <v>5479</v>
      </c>
      <c r="U1952" t="s">
        <v>2390</v>
      </c>
      <c r="V1952" t="s">
        <v>14</v>
      </c>
      <c r="W1952" t="b">
        <v>1</v>
      </c>
      <c r="X1952" t="s">
        <v>5480</v>
      </c>
      <c r="Y1952" t="b">
        <v>1</v>
      </c>
      <c r="Z1952" t="s">
        <v>2032</v>
      </c>
    </row>
    <row r="1953" spans="1:26" x14ac:dyDescent="0.35">
      <c r="A1953" t="s">
        <v>1951</v>
      </c>
      <c r="B1953" t="s">
        <v>5481</v>
      </c>
      <c r="C1953" t="s">
        <v>3922</v>
      </c>
      <c r="D1953" t="s">
        <v>1963</v>
      </c>
      <c r="E1953" t="s">
        <v>2020</v>
      </c>
      <c r="F1953" t="s">
        <v>2021</v>
      </c>
      <c r="G1953" t="s">
        <v>2022</v>
      </c>
      <c r="H1953" t="s">
        <v>2023</v>
      </c>
      <c r="I1953" t="s">
        <v>1903</v>
      </c>
      <c r="J1953" t="s">
        <v>1963</v>
      </c>
      <c r="K1953" t="s">
        <v>5482</v>
      </c>
      <c r="L1953" t="s">
        <v>2025</v>
      </c>
      <c r="M1953" t="s">
        <v>5483</v>
      </c>
      <c r="N1953" t="s">
        <v>5484</v>
      </c>
      <c r="O1953" t="s">
        <v>2401</v>
      </c>
      <c r="P1953" t="s">
        <v>2402</v>
      </c>
      <c r="Q1953" t="s">
        <v>14</v>
      </c>
      <c r="R1953" t="s">
        <v>14</v>
      </c>
      <c r="S1953" t="s">
        <v>5485</v>
      </c>
      <c r="T1953" t="s">
        <v>5486</v>
      </c>
      <c r="U1953" t="s">
        <v>2390</v>
      </c>
      <c r="V1953" t="s">
        <v>14</v>
      </c>
      <c r="W1953" t="b">
        <v>1</v>
      </c>
      <c r="X1953" t="s">
        <v>5487</v>
      </c>
      <c r="Y1953" t="b">
        <v>0</v>
      </c>
      <c r="Z1953" t="s">
        <v>2032</v>
      </c>
    </row>
    <row r="1954" spans="1:26" x14ac:dyDescent="0.35">
      <c r="A1954" t="s">
        <v>1951</v>
      </c>
      <c r="B1954" t="s">
        <v>5481</v>
      </c>
      <c r="C1954" t="s">
        <v>3922</v>
      </c>
      <c r="D1954" t="s">
        <v>1963</v>
      </c>
      <c r="E1954" t="s">
        <v>2020</v>
      </c>
      <c r="F1954" t="s">
        <v>2021</v>
      </c>
      <c r="G1954" t="s">
        <v>2022</v>
      </c>
      <c r="H1954" t="s">
        <v>2023</v>
      </c>
      <c r="I1954" t="s">
        <v>1903</v>
      </c>
      <c r="J1954" t="s">
        <v>1963</v>
      </c>
      <c r="K1954" t="s">
        <v>5482</v>
      </c>
      <c r="L1954" t="s">
        <v>2025</v>
      </c>
      <c r="M1954" t="s">
        <v>5483</v>
      </c>
      <c r="N1954" t="s">
        <v>5484</v>
      </c>
      <c r="O1954" t="s">
        <v>2401</v>
      </c>
      <c r="P1954" t="s">
        <v>2402</v>
      </c>
      <c r="Q1954" t="s">
        <v>14</v>
      </c>
      <c r="R1954" t="s">
        <v>14</v>
      </c>
      <c r="S1954" t="s">
        <v>5485</v>
      </c>
      <c r="T1954" t="s">
        <v>5486</v>
      </c>
      <c r="U1954" t="s">
        <v>2390</v>
      </c>
      <c r="V1954" t="s">
        <v>14</v>
      </c>
      <c r="W1954" t="b">
        <v>1</v>
      </c>
      <c r="X1954" t="s">
        <v>5487</v>
      </c>
      <c r="Y1954" t="b">
        <v>0</v>
      </c>
      <c r="Z1954" t="s">
        <v>2032</v>
      </c>
    </row>
    <row r="1955" spans="1:26" x14ac:dyDescent="0.35">
      <c r="A1955" t="s">
        <v>1951</v>
      </c>
      <c r="B1955" t="s">
        <v>5481</v>
      </c>
      <c r="C1955" t="s">
        <v>3922</v>
      </c>
      <c r="D1955" t="s">
        <v>1963</v>
      </c>
      <c r="E1955" t="s">
        <v>2020</v>
      </c>
      <c r="F1955" t="s">
        <v>2021</v>
      </c>
      <c r="G1955" t="s">
        <v>2022</v>
      </c>
      <c r="H1955" t="s">
        <v>2023</v>
      </c>
      <c r="I1955" t="s">
        <v>5488</v>
      </c>
      <c r="J1955" t="s">
        <v>1963</v>
      </c>
      <c r="K1955" t="s">
        <v>5482</v>
      </c>
      <c r="L1955" t="s">
        <v>2025</v>
      </c>
      <c r="M1955" t="s">
        <v>5489</v>
      </c>
      <c r="N1955" t="s">
        <v>5490</v>
      </c>
      <c r="O1955" t="s">
        <v>3579</v>
      </c>
      <c r="P1955" t="s">
        <v>3580</v>
      </c>
      <c r="Q1955" t="s">
        <v>5491</v>
      </c>
      <c r="R1955" t="s">
        <v>14</v>
      </c>
      <c r="S1955" t="s">
        <v>5485</v>
      </c>
      <c r="T1955" t="s">
        <v>5486</v>
      </c>
      <c r="U1955" t="s">
        <v>2390</v>
      </c>
      <c r="V1955" t="s">
        <v>14</v>
      </c>
      <c r="W1955" t="b">
        <v>1</v>
      </c>
      <c r="X1955" t="s">
        <v>5487</v>
      </c>
      <c r="Y1955" t="b">
        <v>0</v>
      </c>
      <c r="Z1955" t="s">
        <v>2032</v>
      </c>
    </row>
    <row r="1956" spans="1:26" x14ac:dyDescent="0.35">
      <c r="A1956" t="s">
        <v>1951</v>
      </c>
      <c r="B1956" t="s">
        <v>5481</v>
      </c>
      <c r="C1956" t="s">
        <v>3922</v>
      </c>
      <c r="D1956" t="s">
        <v>1963</v>
      </c>
      <c r="E1956" t="s">
        <v>2020</v>
      </c>
      <c r="F1956" t="s">
        <v>2021</v>
      </c>
      <c r="G1956" t="s">
        <v>2022</v>
      </c>
      <c r="H1956" t="s">
        <v>2023</v>
      </c>
      <c r="I1956" t="s">
        <v>5488</v>
      </c>
      <c r="J1956" t="s">
        <v>1963</v>
      </c>
      <c r="K1956" t="s">
        <v>5482</v>
      </c>
      <c r="L1956" t="s">
        <v>2025</v>
      </c>
      <c r="M1956" t="s">
        <v>5489</v>
      </c>
      <c r="N1956" t="s">
        <v>5490</v>
      </c>
      <c r="O1956" t="s">
        <v>3579</v>
      </c>
      <c r="P1956" t="s">
        <v>3580</v>
      </c>
      <c r="Q1956" t="s">
        <v>5491</v>
      </c>
      <c r="R1956" t="s">
        <v>14</v>
      </c>
      <c r="S1956" t="s">
        <v>5485</v>
      </c>
      <c r="T1956" t="s">
        <v>5486</v>
      </c>
      <c r="U1956" t="s">
        <v>2390</v>
      </c>
      <c r="V1956" t="s">
        <v>14</v>
      </c>
      <c r="W1956" t="b">
        <v>1</v>
      </c>
      <c r="X1956" t="s">
        <v>5487</v>
      </c>
      <c r="Y1956" t="b">
        <v>0</v>
      </c>
      <c r="Z1956" t="s">
        <v>2032</v>
      </c>
    </row>
    <row r="1957" spans="1:26" x14ac:dyDescent="0.35">
      <c r="A1957" t="s">
        <v>1952</v>
      </c>
      <c r="B1957" t="s">
        <v>5492</v>
      </c>
      <c r="C1957" t="s">
        <v>3922</v>
      </c>
      <c r="D1957" t="s">
        <v>1963</v>
      </c>
      <c r="E1957" t="s">
        <v>2020</v>
      </c>
      <c r="F1957" t="s">
        <v>2021</v>
      </c>
      <c r="G1957" t="s">
        <v>2022</v>
      </c>
      <c r="H1957" t="s">
        <v>2023</v>
      </c>
      <c r="I1957" t="s">
        <v>5488</v>
      </c>
      <c r="J1957" t="s">
        <v>1963</v>
      </c>
      <c r="K1957" t="s">
        <v>5493</v>
      </c>
      <c r="L1957" t="s">
        <v>2025</v>
      </c>
      <c r="M1957" t="s">
        <v>5489</v>
      </c>
      <c r="N1957" t="s">
        <v>5490</v>
      </c>
      <c r="O1957" t="s">
        <v>3579</v>
      </c>
      <c r="P1957" t="s">
        <v>3580</v>
      </c>
      <c r="Q1957" t="s">
        <v>5491</v>
      </c>
      <c r="R1957" t="s">
        <v>14</v>
      </c>
      <c r="S1957" t="s">
        <v>5485</v>
      </c>
      <c r="T1957" t="s">
        <v>5486</v>
      </c>
      <c r="U1957" t="s">
        <v>2390</v>
      </c>
      <c r="V1957" t="s">
        <v>14</v>
      </c>
      <c r="W1957" t="b">
        <v>1</v>
      </c>
      <c r="X1957" t="s">
        <v>5494</v>
      </c>
      <c r="Y1957" t="b">
        <v>0</v>
      </c>
      <c r="Z1957" t="s">
        <v>2032</v>
      </c>
    </row>
    <row r="1958" spans="1:26" x14ac:dyDescent="0.35">
      <c r="A1958" t="s">
        <v>1952</v>
      </c>
      <c r="B1958" t="s">
        <v>5492</v>
      </c>
      <c r="C1958" t="s">
        <v>3922</v>
      </c>
      <c r="D1958" t="s">
        <v>1963</v>
      </c>
      <c r="E1958" t="s">
        <v>2020</v>
      </c>
      <c r="F1958" t="s">
        <v>2021</v>
      </c>
      <c r="G1958" t="s">
        <v>2022</v>
      </c>
      <c r="H1958" t="s">
        <v>2023</v>
      </c>
      <c r="I1958" t="s">
        <v>1903</v>
      </c>
      <c r="J1958" t="s">
        <v>1963</v>
      </c>
      <c r="K1958" t="s">
        <v>5493</v>
      </c>
      <c r="L1958" t="s">
        <v>2025</v>
      </c>
      <c r="M1958" t="s">
        <v>5483</v>
      </c>
      <c r="N1958" t="s">
        <v>5484</v>
      </c>
      <c r="O1958" t="s">
        <v>2401</v>
      </c>
      <c r="P1958" t="s">
        <v>2402</v>
      </c>
      <c r="Q1958" t="s">
        <v>14</v>
      </c>
      <c r="R1958" t="s">
        <v>14</v>
      </c>
      <c r="S1958" t="s">
        <v>5485</v>
      </c>
      <c r="T1958" t="s">
        <v>5486</v>
      </c>
      <c r="U1958" t="s">
        <v>2390</v>
      </c>
      <c r="V1958" t="s">
        <v>14</v>
      </c>
      <c r="W1958" t="b">
        <v>1</v>
      </c>
      <c r="X1958" t="s">
        <v>5494</v>
      </c>
      <c r="Y1958" t="b">
        <v>0</v>
      </c>
      <c r="Z1958" t="s">
        <v>2032</v>
      </c>
    </row>
    <row r="1959" spans="1:26" x14ac:dyDescent="0.35">
      <c r="A1959" t="s">
        <v>1952</v>
      </c>
      <c r="B1959" t="s">
        <v>5492</v>
      </c>
      <c r="C1959" t="s">
        <v>3922</v>
      </c>
      <c r="D1959" t="s">
        <v>1963</v>
      </c>
      <c r="E1959" t="s">
        <v>2020</v>
      </c>
      <c r="F1959" t="s">
        <v>2021</v>
      </c>
      <c r="G1959" t="s">
        <v>2022</v>
      </c>
      <c r="H1959" t="s">
        <v>2023</v>
      </c>
      <c r="I1959" t="s">
        <v>1903</v>
      </c>
      <c r="J1959" t="s">
        <v>1963</v>
      </c>
      <c r="K1959" t="s">
        <v>5493</v>
      </c>
      <c r="L1959" t="s">
        <v>2025</v>
      </c>
      <c r="M1959" t="s">
        <v>5483</v>
      </c>
      <c r="N1959" t="s">
        <v>5484</v>
      </c>
      <c r="O1959" t="s">
        <v>2401</v>
      </c>
      <c r="P1959" t="s">
        <v>2402</v>
      </c>
      <c r="Q1959" t="s">
        <v>14</v>
      </c>
      <c r="R1959" t="s">
        <v>14</v>
      </c>
      <c r="S1959" t="s">
        <v>5485</v>
      </c>
      <c r="T1959" t="s">
        <v>5486</v>
      </c>
      <c r="U1959" t="s">
        <v>2390</v>
      </c>
      <c r="V1959" t="s">
        <v>14</v>
      </c>
      <c r="W1959" t="b">
        <v>1</v>
      </c>
      <c r="X1959" t="s">
        <v>1953</v>
      </c>
      <c r="Y1959" t="b">
        <v>0</v>
      </c>
      <c r="Z1959" t="s">
        <v>2032</v>
      </c>
    </row>
    <row r="1960" spans="1:26" x14ac:dyDescent="0.35">
      <c r="A1960" t="s">
        <v>1952</v>
      </c>
      <c r="B1960" t="s">
        <v>5492</v>
      </c>
      <c r="C1960" t="s">
        <v>3922</v>
      </c>
      <c r="D1960" t="s">
        <v>1963</v>
      </c>
      <c r="E1960" t="s">
        <v>2020</v>
      </c>
      <c r="F1960" t="s">
        <v>2021</v>
      </c>
      <c r="G1960" t="s">
        <v>2022</v>
      </c>
      <c r="H1960" t="s">
        <v>2023</v>
      </c>
      <c r="I1960" t="s">
        <v>5488</v>
      </c>
      <c r="J1960" t="s">
        <v>1963</v>
      </c>
      <c r="K1960" t="s">
        <v>5493</v>
      </c>
      <c r="L1960" t="s">
        <v>2025</v>
      </c>
      <c r="M1960" t="s">
        <v>5489</v>
      </c>
      <c r="N1960" t="s">
        <v>5490</v>
      </c>
      <c r="O1960" t="s">
        <v>3579</v>
      </c>
      <c r="P1960" t="s">
        <v>3580</v>
      </c>
      <c r="Q1960" t="s">
        <v>5491</v>
      </c>
      <c r="R1960" t="s">
        <v>14</v>
      </c>
      <c r="S1960" t="s">
        <v>5485</v>
      </c>
      <c r="T1960" t="s">
        <v>5486</v>
      </c>
      <c r="U1960" t="s">
        <v>2390</v>
      </c>
      <c r="V1960" t="s">
        <v>14</v>
      </c>
      <c r="W1960" t="b">
        <v>1</v>
      </c>
      <c r="X1960" t="s">
        <v>1953</v>
      </c>
      <c r="Y1960" t="b">
        <v>0</v>
      </c>
      <c r="Z1960" t="s">
        <v>2032</v>
      </c>
    </row>
    <row r="1961" spans="1:26" x14ac:dyDescent="0.35">
      <c r="A1961" t="s">
        <v>1954</v>
      </c>
      <c r="B1961" t="s">
        <v>5495</v>
      </c>
      <c r="C1961" t="s">
        <v>3922</v>
      </c>
      <c r="D1961" t="s">
        <v>1963</v>
      </c>
      <c r="E1961" t="s">
        <v>2020</v>
      </c>
      <c r="F1961" t="s">
        <v>2021</v>
      </c>
      <c r="G1961" t="s">
        <v>2022</v>
      </c>
      <c r="H1961" t="s">
        <v>2023</v>
      </c>
      <c r="I1961" t="s">
        <v>5488</v>
      </c>
      <c r="J1961" t="s">
        <v>1963</v>
      </c>
      <c r="K1961" t="s">
        <v>5496</v>
      </c>
      <c r="L1961" t="s">
        <v>2025</v>
      </c>
      <c r="M1961" t="s">
        <v>5489</v>
      </c>
      <c r="N1961" t="s">
        <v>5490</v>
      </c>
      <c r="O1961" t="s">
        <v>3579</v>
      </c>
      <c r="P1961" t="s">
        <v>3580</v>
      </c>
      <c r="Q1961" t="s">
        <v>5491</v>
      </c>
      <c r="R1961" t="s">
        <v>14</v>
      </c>
      <c r="S1961" t="s">
        <v>5485</v>
      </c>
      <c r="T1961" t="s">
        <v>5486</v>
      </c>
      <c r="U1961" t="s">
        <v>2390</v>
      </c>
      <c r="V1961" t="s">
        <v>14</v>
      </c>
      <c r="W1961" t="b">
        <v>1</v>
      </c>
      <c r="X1961" t="s">
        <v>1955</v>
      </c>
      <c r="Y1961" t="b">
        <v>0</v>
      </c>
      <c r="Z1961" t="s">
        <v>2032</v>
      </c>
    </row>
    <row r="1962" spans="1:26" x14ac:dyDescent="0.35">
      <c r="A1962" t="s">
        <v>1954</v>
      </c>
      <c r="B1962" t="s">
        <v>5495</v>
      </c>
      <c r="C1962" t="s">
        <v>3922</v>
      </c>
      <c r="D1962" t="s">
        <v>1963</v>
      </c>
      <c r="E1962" t="s">
        <v>2020</v>
      </c>
      <c r="F1962" t="s">
        <v>2021</v>
      </c>
      <c r="G1962" t="s">
        <v>2022</v>
      </c>
      <c r="H1962" t="s">
        <v>2023</v>
      </c>
      <c r="I1962" t="s">
        <v>1903</v>
      </c>
      <c r="J1962" t="s">
        <v>1963</v>
      </c>
      <c r="K1962" t="s">
        <v>5496</v>
      </c>
      <c r="L1962" t="s">
        <v>2025</v>
      </c>
      <c r="M1962" t="s">
        <v>5483</v>
      </c>
      <c r="N1962" t="s">
        <v>5484</v>
      </c>
      <c r="O1962" t="s">
        <v>2401</v>
      </c>
      <c r="P1962" t="s">
        <v>2402</v>
      </c>
      <c r="Q1962" t="s">
        <v>14</v>
      </c>
      <c r="R1962" t="s">
        <v>14</v>
      </c>
      <c r="S1962" t="s">
        <v>5485</v>
      </c>
      <c r="T1962" t="s">
        <v>5486</v>
      </c>
      <c r="U1962" t="s">
        <v>2390</v>
      </c>
      <c r="V1962" t="s">
        <v>14</v>
      </c>
      <c r="W1962" t="b">
        <v>1</v>
      </c>
      <c r="X1962" t="s">
        <v>1955</v>
      </c>
      <c r="Y1962" t="b">
        <v>0</v>
      </c>
      <c r="Z1962" t="s">
        <v>2032</v>
      </c>
    </row>
    <row r="1963" spans="1:26" x14ac:dyDescent="0.35">
      <c r="A1963" t="s">
        <v>1956</v>
      </c>
      <c r="B1963" t="s">
        <v>5497</v>
      </c>
      <c r="C1963" t="s">
        <v>3922</v>
      </c>
      <c r="D1963" t="s">
        <v>1963</v>
      </c>
      <c r="E1963" t="s">
        <v>2020</v>
      </c>
      <c r="F1963" t="s">
        <v>2021</v>
      </c>
      <c r="G1963" t="s">
        <v>2022</v>
      </c>
      <c r="H1963" t="s">
        <v>2023</v>
      </c>
      <c r="I1963" t="s">
        <v>1903</v>
      </c>
      <c r="J1963" t="s">
        <v>1963</v>
      </c>
      <c r="K1963" t="s">
        <v>5498</v>
      </c>
      <c r="L1963" t="s">
        <v>2025</v>
      </c>
      <c r="M1963" t="s">
        <v>5483</v>
      </c>
      <c r="N1963" t="s">
        <v>5484</v>
      </c>
      <c r="O1963" t="s">
        <v>2401</v>
      </c>
      <c r="P1963" t="s">
        <v>2402</v>
      </c>
      <c r="Q1963" t="s">
        <v>14</v>
      </c>
      <c r="R1963" t="s">
        <v>14</v>
      </c>
      <c r="S1963" t="s">
        <v>5485</v>
      </c>
      <c r="T1963" t="s">
        <v>5486</v>
      </c>
      <c r="U1963" t="s">
        <v>2390</v>
      </c>
      <c r="V1963" t="s">
        <v>14</v>
      </c>
      <c r="W1963" t="b">
        <v>1</v>
      </c>
      <c r="X1963" t="s">
        <v>5499</v>
      </c>
      <c r="Y1963" t="b">
        <v>0</v>
      </c>
      <c r="Z1963" t="s">
        <v>2032</v>
      </c>
    </row>
    <row r="1964" spans="1:26" x14ac:dyDescent="0.35">
      <c r="A1964" t="s">
        <v>1956</v>
      </c>
      <c r="B1964" t="s">
        <v>5497</v>
      </c>
      <c r="C1964" t="s">
        <v>3922</v>
      </c>
      <c r="D1964" t="s">
        <v>1963</v>
      </c>
      <c r="E1964" t="s">
        <v>2020</v>
      </c>
      <c r="F1964" t="s">
        <v>2021</v>
      </c>
      <c r="G1964" t="s">
        <v>2022</v>
      </c>
      <c r="H1964" t="s">
        <v>2023</v>
      </c>
      <c r="I1964" t="s">
        <v>5488</v>
      </c>
      <c r="J1964" t="s">
        <v>1963</v>
      </c>
      <c r="K1964" t="s">
        <v>5498</v>
      </c>
      <c r="L1964" t="s">
        <v>2025</v>
      </c>
      <c r="M1964" t="s">
        <v>5489</v>
      </c>
      <c r="N1964" t="s">
        <v>5490</v>
      </c>
      <c r="O1964" t="s">
        <v>3579</v>
      </c>
      <c r="P1964" t="s">
        <v>3580</v>
      </c>
      <c r="Q1964" t="s">
        <v>5491</v>
      </c>
      <c r="R1964" t="s">
        <v>14</v>
      </c>
      <c r="S1964" t="s">
        <v>5485</v>
      </c>
      <c r="T1964" t="s">
        <v>5486</v>
      </c>
      <c r="U1964" t="s">
        <v>2390</v>
      </c>
      <c r="V1964" t="s">
        <v>14</v>
      </c>
      <c r="W1964" t="b">
        <v>1</v>
      </c>
      <c r="X1964" t="s">
        <v>5499</v>
      </c>
      <c r="Y1964" t="b">
        <v>0</v>
      </c>
      <c r="Z1964" t="s">
        <v>2032</v>
      </c>
    </row>
    <row r="1965" spans="1:26" x14ac:dyDescent="0.35">
      <c r="A1965" t="s">
        <v>1956</v>
      </c>
      <c r="B1965" t="s">
        <v>5497</v>
      </c>
      <c r="C1965" t="s">
        <v>3922</v>
      </c>
      <c r="D1965" t="s">
        <v>1963</v>
      </c>
      <c r="E1965" t="s">
        <v>2020</v>
      </c>
      <c r="F1965" t="s">
        <v>2021</v>
      </c>
      <c r="G1965" t="s">
        <v>2022</v>
      </c>
      <c r="H1965" t="s">
        <v>2023</v>
      </c>
      <c r="I1965" t="s">
        <v>5488</v>
      </c>
      <c r="J1965" t="s">
        <v>1963</v>
      </c>
      <c r="K1965" t="s">
        <v>5498</v>
      </c>
      <c r="L1965" t="s">
        <v>2025</v>
      </c>
      <c r="M1965" t="s">
        <v>5489</v>
      </c>
      <c r="N1965" t="s">
        <v>5490</v>
      </c>
      <c r="O1965" t="s">
        <v>3579</v>
      </c>
      <c r="P1965" t="s">
        <v>3580</v>
      </c>
      <c r="Q1965" t="s">
        <v>5491</v>
      </c>
      <c r="R1965" t="s">
        <v>14</v>
      </c>
      <c r="S1965" t="s">
        <v>5485</v>
      </c>
      <c r="T1965" t="s">
        <v>5486</v>
      </c>
      <c r="U1965" t="s">
        <v>2390</v>
      </c>
      <c r="V1965" t="s">
        <v>14</v>
      </c>
      <c r="W1965" t="b">
        <v>1</v>
      </c>
      <c r="X1965" t="s">
        <v>5499</v>
      </c>
      <c r="Y1965" t="b">
        <v>0</v>
      </c>
      <c r="Z1965" t="s">
        <v>2032</v>
      </c>
    </row>
    <row r="1966" spans="1:26" x14ac:dyDescent="0.35">
      <c r="A1966" t="s">
        <v>1956</v>
      </c>
      <c r="B1966" t="s">
        <v>5497</v>
      </c>
      <c r="C1966" t="s">
        <v>3922</v>
      </c>
      <c r="D1966" t="s">
        <v>1963</v>
      </c>
      <c r="E1966" t="s">
        <v>2020</v>
      </c>
      <c r="F1966" t="s">
        <v>2021</v>
      </c>
      <c r="G1966" t="s">
        <v>2022</v>
      </c>
      <c r="H1966" t="s">
        <v>2023</v>
      </c>
      <c r="I1966" t="s">
        <v>1903</v>
      </c>
      <c r="J1966" t="s">
        <v>1963</v>
      </c>
      <c r="K1966" t="s">
        <v>5498</v>
      </c>
      <c r="L1966" t="s">
        <v>2025</v>
      </c>
      <c r="M1966" t="s">
        <v>5483</v>
      </c>
      <c r="N1966" t="s">
        <v>5484</v>
      </c>
      <c r="O1966" t="s">
        <v>2401</v>
      </c>
      <c r="P1966" t="s">
        <v>2402</v>
      </c>
      <c r="Q1966" t="s">
        <v>14</v>
      </c>
      <c r="R1966" t="s">
        <v>14</v>
      </c>
      <c r="S1966" t="s">
        <v>5485</v>
      </c>
      <c r="T1966" t="s">
        <v>5486</v>
      </c>
      <c r="U1966" t="s">
        <v>2390</v>
      </c>
      <c r="V1966" t="s">
        <v>14</v>
      </c>
      <c r="W1966" t="b">
        <v>1</v>
      </c>
      <c r="X1966" t="s">
        <v>5499</v>
      </c>
      <c r="Y1966" t="b">
        <v>0</v>
      </c>
      <c r="Z1966" t="s">
        <v>2032</v>
      </c>
    </row>
    <row r="1967" spans="1:26" x14ac:dyDescent="0.35">
      <c r="A1967" t="s">
        <v>1957</v>
      </c>
      <c r="B1967" t="s">
        <v>5500</v>
      </c>
      <c r="C1967" t="s">
        <v>3922</v>
      </c>
      <c r="D1967" t="s">
        <v>1963</v>
      </c>
      <c r="E1967" t="s">
        <v>2020</v>
      </c>
      <c r="F1967" t="s">
        <v>2021</v>
      </c>
      <c r="G1967" t="s">
        <v>2022</v>
      </c>
      <c r="H1967" t="s">
        <v>2023</v>
      </c>
      <c r="I1967" t="s">
        <v>1903</v>
      </c>
      <c r="J1967" t="s">
        <v>1963</v>
      </c>
      <c r="K1967" t="s">
        <v>5501</v>
      </c>
      <c r="L1967" t="s">
        <v>2025</v>
      </c>
      <c r="M1967" t="s">
        <v>5483</v>
      </c>
      <c r="N1967" t="s">
        <v>5484</v>
      </c>
      <c r="O1967" t="s">
        <v>2401</v>
      </c>
      <c r="P1967" t="s">
        <v>2402</v>
      </c>
      <c r="Q1967" t="s">
        <v>14</v>
      </c>
      <c r="R1967" t="s">
        <v>14</v>
      </c>
      <c r="S1967" t="s">
        <v>5485</v>
      </c>
      <c r="T1967" t="s">
        <v>5486</v>
      </c>
      <c r="U1967" t="s">
        <v>2390</v>
      </c>
      <c r="V1967" t="s">
        <v>14</v>
      </c>
      <c r="W1967" t="b">
        <v>1</v>
      </c>
      <c r="X1967" t="s">
        <v>1958</v>
      </c>
      <c r="Y1967" t="b">
        <v>0</v>
      </c>
      <c r="Z1967" t="s">
        <v>2032</v>
      </c>
    </row>
    <row r="1968" spans="1:26" x14ac:dyDescent="0.35">
      <c r="A1968" t="s">
        <v>1959</v>
      </c>
      <c r="B1968" t="s">
        <v>5502</v>
      </c>
      <c r="C1968" t="s">
        <v>3922</v>
      </c>
      <c r="D1968" t="s">
        <v>1963</v>
      </c>
      <c r="E1968" t="s">
        <v>2020</v>
      </c>
      <c r="F1968" t="s">
        <v>2021</v>
      </c>
      <c r="G1968" t="s">
        <v>2022</v>
      </c>
      <c r="H1968" t="s">
        <v>2023</v>
      </c>
      <c r="I1968" t="s">
        <v>1903</v>
      </c>
      <c r="J1968" t="s">
        <v>1963</v>
      </c>
      <c r="K1968" t="s">
        <v>5503</v>
      </c>
      <c r="L1968" t="s">
        <v>2025</v>
      </c>
      <c r="M1968" t="s">
        <v>5483</v>
      </c>
      <c r="N1968" t="s">
        <v>5484</v>
      </c>
      <c r="O1968" t="s">
        <v>2401</v>
      </c>
      <c r="P1968" t="s">
        <v>2402</v>
      </c>
      <c r="Q1968" t="s">
        <v>14</v>
      </c>
      <c r="R1968" t="s">
        <v>14</v>
      </c>
      <c r="S1968" t="s">
        <v>5485</v>
      </c>
      <c r="T1968" t="s">
        <v>5486</v>
      </c>
      <c r="U1968" t="s">
        <v>2390</v>
      </c>
      <c r="V1968" t="s">
        <v>14</v>
      </c>
      <c r="W1968" t="b">
        <v>1</v>
      </c>
      <c r="X1968" t="s">
        <v>5504</v>
      </c>
      <c r="Y1968" t="b">
        <v>0</v>
      </c>
      <c r="Z1968" t="s">
        <v>2032</v>
      </c>
    </row>
    <row r="1969" spans="1:26" x14ac:dyDescent="0.35">
      <c r="A1969" t="s">
        <v>1959</v>
      </c>
      <c r="B1969" t="s">
        <v>5502</v>
      </c>
      <c r="C1969" t="s">
        <v>3922</v>
      </c>
      <c r="D1969" t="s">
        <v>1963</v>
      </c>
      <c r="E1969" t="s">
        <v>2020</v>
      </c>
      <c r="F1969" t="s">
        <v>2021</v>
      </c>
      <c r="G1969" t="s">
        <v>2022</v>
      </c>
      <c r="H1969" t="s">
        <v>2023</v>
      </c>
      <c r="I1969" t="s">
        <v>1903</v>
      </c>
      <c r="J1969" t="s">
        <v>1963</v>
      </c>
      <c r="K1969" t="s">
        <v>5503</v>
      </c>
      <c r="L1969" t="s">
        <v>2025</v>
      </c>
      <c r="M1969" t="s">
        <v>5483</v>
      </c>
      <c r="N1969" t="s">
        <v>5484</v>
      </c>
      <c r="O1969" t="s">
        <v>2401</v>
      </c>
      <c r="P1969" t="s">
        <v>2402</v>
      </c>
      <c r="Q1969" t="s">
        <v>14</v>
      </c>
      <c r="R1969" t="s">
        <v>14</v>
      </c>
      <c r="S1969" t="s">
        <v>5485</v>
      </c>
      <c r="T1969" t="s">
        <v>5486</v>
      </c>
      <c r="U1969" t="s">
        <v>2390</v>
      </c>
      <c r="V1969" t="s">
        <v>14</v>
      </c>
      <c r="W1969" t="b">
        <v>1</v>
      </c>
      <c r="X1969" t="s">
        <v>1960</v>
      </c>
      <c r="Y1969" t="b">
        <v>0</v>
      </c>
      <c r="Z1969" t="s">
        <v>2032</v>
      </c>
    </row>
    <row r="1970" spans="1:26" x14ac:dyDescent="0.35">
      <c r="A1970" t="s">
        <v>1961</v>
      </c>
      <c r="B1970" t="s">
        <v>5505</v>
      </c>
      <c r="C1970" t="s">
        <v>3922</v>
      </c>
      <c r="D1970" t="s">
        <v>1963</v>
      </c>
      <c r="E1970" t="s">
        <v>2020</v>
      </c>
      <c r="F1970" t="s">
        <v>2021</v>
      </c>
      <c r="G1970" t="s">
        <v>2022</v>
      </c>
      <c r="H1970" t="s">
        <v>2023</v>
      </c>
      <c r="I1970" t="s">
        <v>1903</v>
      </c>
      <c r="J1970" t="s">
        <v>1963</v>
      </c>
      <c r="K1970" t="s">
        <v>5506</v>
      </c>
      <c r="L1970" t="s">
        <v>2025</v>
      </c>
      <c r="M1970" t="s">
        <v>5483</v>
      </c>
      <c r="N1970" t="s">
        <v>5484</v>
      </c>
      <c r="O1970" t="s">
        <v>2401</v>
      </c>
      <c r="P1970" t="s">
        <v>2402</v>
      </c>
      <c r="Q1970" t="s">
        <v>14</v>
      </c>
      <c r="R1970" t="s">
        <v>14</v>
      </c>
      <c r="S1970" t="s">
        <v>5485</v>
      </c>
      <c r="T1970" t="s">
        <v>5486</v>
      </c>
      <c r="U1970" t="s">
        <v>2390</v>
      </c>
      <c r="V1970" t="s">
        <v>14</v>
      </c>
      <c r="W1970" t="b">
        <v>1</v>
      </c>
      <c r="X1970" t="s">
        <v>5507</v>
      </c>
      <c r="Y1970" t="b">
        <v>0</v>
      </c>
      <c r="Z1970" t="s">
        <v>2032</v>
      </c>
    </row>
    <row r="1971" spans="1:26" x14ac:dyDescent="0.35">
      <c r="A1971" t="s">
        <v>1961</v>
      </c>
      <c r="B1971" t="s">
        <v>5505</v>
      </c>
      <c r="C1971" t="s">
        <v>3922</v>
      </c>
      <c r="D1971" t="s">
        <v>1963</v>
      </c>
      <c r="E1971" t="s">
        <v>2020</v>
      </c>
      <c r="F1971" t="s">
        <v>2021</v>
      </c>
      <c r="G1971" t="s">
        <v>2022</v>
      </c>
      <c r="H1971" t="s">
        <v>2023</v>
      </c>
      <c r="I1971" t="s">
        <v>1903</v>
      </c>
      <c r="J1971" t="s">
        <v>1963</v>
      </c>
      <c r="K1971" t="s">
        <v>5506</v>
      </c>
      <c r="L1971" t="s">
        <v>2025</v>
      </c>
      <c r="M1971" t="s">
        <v>5483</v>
      </c>
      <c r="N1971" t="s">
        <v>5484</v>
      </c>
      <c r="O1971" t="s">
        <v>2401</v>
      </c>
      <c r="P1971" t="s">
        <v>2402</v>
      </c>
      <c r="Q1971" t="s">
        <v>14</v>
      </c>
      <c r="R1971" t="s">
        <v>14</v>
      </c>
      <c r="S1971" t="s">
        <v>5485</v>
      </c>
      <c r="T1971" t="s">
        <v>5486</v>
      </c>
      <c r="U1971" t="s">
        <v>2390</v>
      </c>
      <c r="V1971" t="s">
        <v>14</v>
      </c>
      <c r="W1971" t="b">
        <v>1</v>
      </c>
      <c r="X1971" t="s">
        <v>5507</v>
      </c>
      <c r="Y1971" t="b">
        <v>0</v>
      </c>
      <c r="Z1971" t="s">
        <v>2032</v>
      </c>
    </row>
    <row r="1972" spans="1:26" x14ac:dyDescent="0.35">
      <c r="A1972" t="s">
        <v>1981</v>
      </c>
      <c r="B1972" t="s">
        <v>5508</v>
      </c>
      <c r="C1972" t="s">
        <v>3922</v>
      </c>
      <c r="D1972" t="s">
        <v>1963</v>
      </c>
      <c r="E1972" t="s">
        <v>2020</v>
      </c>
      <c r="F1972" t="s">
        <v>2021</v>
      </c>
      <c r="G1972" t="s">
        <v>2022</v>
      </c>
      <c r="H1972" t="s">
        <v>2023</v>
      </c>
      <c r="I1972" t="s">
        <v>4257</v>
      </c>
      <c r="J1972" t="s">
        <v>1963</v>
      </c>
      <c r="K1972" t="s">
        <v>5509</v>
      </c>
      <c r="L1972" t="s">
        <v>2025</v>
      </c>
      <c r="M1972" t="s">
        <v>4259</v>
      </c>
      <c r="N1972" t="s">
        <v>4260</v>
      </c>
      <c r="O1972" t="s">
        <v>2348</v>
      </c>
      <c r="P1972" t="s">
        <v>2349</v>
      </c>
      <c r="Q1972" t="s">
        <v>2350</v>
      </c>
      <c r="R1972" t="s">
        <v>14</v>
      </c>
      <c r="S1972" t="s">
        <v>4192</v>
      </c>
      <c r="T1972" t="s">
        <v>4193</v>
      </c>
      <c r="U1972" t="s">
        <v>2030</v>
      </c>
      <c r="V1972" t="s">
        <v>14</v>
      </c>
      <c r="W1972" t="b">
        <v>1</v>
      </c>
      <c r="X1972" t="s">
        <v>5510</v>
      </c>
      <c r="Y1972" t="b">
        <v>0</v>
      </c>
      <c r="Z1972" t="s">
        <v>2081</v>
      </c>
    </row>
    <row r="1973" spans="1:26" x14ac:dyDescent="0.35">
      <c r="A1973" t="s">
        <v>1982</v>
      </c>
      <c r="B1973" t="s">
        <v>5511</v>
      </c>
      <c r="C1973" t="s">
        <v>3922</v>
      </c>
      <c r="D1973" t="s">
        <v>1963</v>
      </c>
      <c r="E1973" t="s">
        <v>2020</v>
      </c>
      <c r="F1973" t="s">
        <v>2021</v>
      </c>
      <c r="G1973" t="s">
        <v>2022</v>
      </c>
      <c r="H1973" t="s">
        <v>2023</v>
      </c>
      <c r="I1973" t="s">
        <v>4257</v>
      </c>
      <c r="J1973" t="s">
        <v>1963</v>
      </c>
      <c r="K1973" t="s">
        <v>5512</v>
      </c>
      <c r="L1973" t="s">
        <v>2025</v>
      </c>
      <c r="M1973" t="s">
        <v>4259</v>
      </c>
      <c r="N1973" t="s">
        <v>4260</v>
      </c>
      <c r="O1973" t="s">
        <v>2348</v>
      </c>
      <c r="P1973" t="s">
        <v>2349</v>
      </c>
      <c r="Q1973" t="s">
        <v>2350</v>
      </c>
      <c r="R1973" t="s">
        <v>14</v>
      </c>
      <c r="S1973" t="s">
        <v>4192</v>
      </c>
      <c r="T1973" t="s">
        <v>4193</v>
      </c>
      <c r="U1973" t="s">
        <v>2030</v>
      </c>
      <c r="V1973" t="s">
        <v>14</v>
      </c>
      <c r="W1973" t="b">
        <v>1</v>
      </c>
      <c r="X1973" t="s">
        <v>5513</v>
      </c>
      <c r="Y1973" t="b">
        <v>0</v>
      </c>
      <c r="Z1973" t="s">
        <v>2081</v>
      </c>
    </row>
    <row r="1974" spans="1:26" x14ac:dyDescent="0.35">
      <c r="A1974" t="s">
        <v>1983</v>
      </c>
      <c r="B1974" t="s">
        <v>5514</v>
      </c>
      <c r="C1974" t="s">
        <v>3922</v>
      </c>
      <c r="D1974" t="s">
        <v>1963</v>
      </c>
      <c r="E1974" t="s">
        <v>2020</v>
      </c>
      <c r="F1974" t="s">
        <v>2021</v>
      </c>
      <c r="G1974" t="s">
        <v>2022</v>
      </c>
      <c r="H1974" t="s">
        <v>2023</v>
      </c>
      <c r="I1974" t="s">
        <v>4257</v>
      </c>
      <c r="J1974" t="s">
        <v>1963</v>
      </c>
      <c r="K1974" t="s">
        <v>5515</v>
      </c>
      <c r="L1974" t="s">
        <v>2025</v>
      </c>
      <c r="M1974" t="s">
        <v>4259</v>
      </c>
      <c r="N1974" t="s">
        <v>4260</v>
      </c>
      <c r="O1974" t="s">
        <v>2348</v>
      </c>
      <c r="P1974" t="s">
        <v>2349</v>
      </c>
      <c r="Q1974" t="s">
        <v>2350</v>
      </c>
      <c r="R1974" t="s">
        <v>14</v>
      </c>
      <c r="S1974" t="s">
        <v>4192</v>
      </c>
      <c r="T1974" t="s">
        <v>4193</v>
      </c>
      <c r="U1974" t="s">
        <v>2030</v>
      </c>
      <c r="V1974" t="s">
        <v>14</v>
      </c>
      <c r="W1974" t="b">
        <v>1</v>
      </c>
      <c r="X1974" t="s">
        <v>5516</v>
      </c>
      <c r="Y1974" t="b">
        <v>0</v>
      </c>
      <c r="Z1974" t="s">
        <v>2081</v>
      </c>
    </row>
    <row r="1975" spans="1:26" x14ac:dyDescent="0.35">
      <c r="A1975" t="s">
        <v>1984</v>
      </c>
      <c r="B1975" t="s">
        <v>5517</v>
      </c>
      <c r="C1975" t="s">
        <v>3922</v>
      </c>
      <c r="D1975" t="s">
        <v>1963</v>
      </c>
      <c r="E1975" t="s">
        <v>2020</v>
      </c>
      <c r="F1975" t="s">
        <v>2021</v>
      </c>
      <c r="G1975" t="s">
        <v>2022</v>
      </c>
      <c r="H1975" t="s">
        <v>2023</v>
      </c>
      <c r="I1975" t="s">
        <v>4257</v>
      </c>
      <c r="J1975" t="s">
        <v>1963</v>
      </c>
      <c r="K1975" t="s">
        <v>5518</v>
      </c>
      <c r="L1975" t="s">
        <v>2025</v>
      </c>
      <c r="M1975" t="s">
        <v>4259</v>
      </c>
      <c r="N1975" t="s">
        <v>4260</v>
      </c>
      <c r="O1975" t="s">
        <v>2348</v>
      </c>
      <c r="P1975" t="s">
        <v>2349</v>
      </c>
      <c r="Q1975" t="s">
        <v>2350</v>
      </c>
      <c r="R1975" t="s">
        <v>14</v>
      </c>
      <c r="S1975" t="s">
        <v>4192</v>
      </c>
      <c r="T1975" t="s">
        <v>4193</v>
      </c>
      <c r="U1975" t="s">
        <v>2030</v>
      </c>
      <c r="V1975" t="s">
        <v>14</v>
      </c>
      <c r="W1975" t="b">
        <v>1</v>
      </c>
      <c r="X1975" t="s">
        <v>5519</v>
      </c>
      <c r="Y1975" t="b">
        <v>0</v>
      </c>
      <c r="Z1975" t="s">
        <v>2081</v>
      </c>
    </row>
    <row r="1976" spans="1:26" x14ac:dyDescent="0.35">
      <c r="A1976" t="s">
        <v>1962</v>
      </c>
      <c r="B1976" t="s">
        <v>5520</v>
      </c>
      <c r="C1976" t="s">
        <v>3922</v>
      </c>
      <c r="D1976" t="s">
        <v>1963</v>
      </c>
      <c r="E1976" t="s">
        <v>2020</v>
      </c>
      <c r="F1976" t="s">
        <v>2021</v>
      </c>
      <c r="G1976" t="s">
        <v>2022</v>
      </c>
      <c r="H1976" t="s">
        <v>2023</v>
      </c>
      <c r="I1976" t="s">
        <v>5474</v>
      </c>
      <c r="J1976" t="s">
        <v>1963</v>
      </c>
      <c r="K1976" t="s">
        <v>5521</v>
      </c>
      <c r="L1976" t="s">
        <v>2025</v>
      </c>
      <c r="M1976" t="s">
        <v>5476</v>
      </c>
      <c r="N1976" t="s">
        <v>5477</v>
      </c>
      <c r="O1976" t="s">
        <v>2401</v>
      </c>
      <c r="P1976" t="s">
        <v>2402</v>
      </c>
      <c r="Q1976" t="s">
        <v>5366</v>
      </c>
      <c r="R1976" t="s">
        <v>14</v>
      </c>
      <c r="S1976" t="s">
        <v>5478</v>
      </c>
      <c r="T1976" t="s">
        <v>5479</v>
      </c>
      <c r="U1976" t="s">
        <v>2390</v>
      </c>
      <c r="V1976" t="s">
        <v>14</v>
      </c>
      <c r="W1976" t="b">
        <v>1</v>
      </c>
      <c r="X1976" t="s">
        <v>5522</v>
      </c>
      <c r="Y1976" t="b">
        <v>1</v>
      </c>
      <c r="Z1976" t="s">
        <v>2032</v>
      </c>
    </row>
    <row r="1977" spans="1:26" x14ac:dyDescent="0.35">
      <c r="A1977" t="s">
        <v>1964</v>
      </c>
      <c r="B1977" t="s">
        <v>5523</v>
      </c>
      <c r="C1977" t="s">
        <v>3922</v>
      </c>
      <c r="D1977" t="s">
        <v>1963</v>
      </c>
      <c r="E1977" t="s">
        <v>2020</v>
      </c>
      <c r="F1977" t="s">
        <v>2021</v>
      </c>
      <c r="G1977" t="s">
        <v>2022</v>
      </c>
      <c r="H1977" t="s">
        <v>2023</v>
      </c>
      <c r="I1977" t="s">
        <v>5524</v>
      </c>
      <c r="J1977" t="s">
        <v>1963</v>
      </c>
      <c r="K1977" t="s">
        <v>5525</v>
      </c>
      <c r="L1977" t="s">
        <v>2025</v>
      </c>
      <c r="M1977" t="s">
        <v>5526</v>
      </c>
      <c r="N1977" t="s">
        <v>5527</v>
      </c>
      <c r="O1977" t="s">
        <v>3579</v>
      </c>
      <c r="P1977" t="s">
        <v>3580</v>
      </c>
      <c r="Q1977" t="s">
        <v>5528</v>
      </c>
      <c r="R1977" t="s">
        <v>14</v>
      </c>
      <c r="S1977" t="s">
        <v>5529</v>
      </c>
      <c r="T1977" t="s">
        <v>5530</v>
      </c>
      <c r="U1977" t="s">
        <v>2390</v>
      </c>
      <c r="V1977" t="s">
        <v>14</v>
      </c>
      <c r="W1977" t="b">
        <v>1</v>
      </c>
      <c r="X1977" t="s">
        <v>5531</v>
      </c>
      <c r="Y1977" t="b">
        <v>0</v>
      </c>
      <c r="Z1977" t="s">
        <v>2081</v>
      </c>
    </row>
    <row r="1978" spans="1:26" x14ac:dyDescent="0.35">
      <c r="A1978" t="s">
        <v>1965</v>
      </c>
      <c r="B1978" t="s">
        <v>5532</v>
      </c>
      <c r="C1978" t="s">
        <v>3922</v>
      </c>
      <c r="D1978" t="s">
        <v>1963</v>
      </c>
      <c r="E1978" t="s">
        <v>2020</v>
      </c>
      <c r="F1978" t="s">
        <v>2021</v>
      </c>
      <c r="G1978" t="s">
        <v>2022</v>
      </c>
      <c r="H1978" t="s">
        <v>2023</v>
      </c>
      <c r="I1978" t="s">
        <v>5524</v>
      </c>
      <c r="J1978" t="s">
        <v>1963</v>
      </c>
      <c r="K1978" t="s">
        <v>5533</v>
      </c>
      <c r="L1978" t="s">
        <v>2025</v>
      </c>
      <c r="M1978" t="s">
        <v>5526</v>
      </c>
      <c r="N1978" t="s">
        <v>5527</v>
      </c>
      <c r="O1978" t="s">
        <v>3579</v>
      </c>
      <c r="P1978" t="s">
        <v>3580</v>
      </c>
      <c r="Q1978" t="s">
        <v>5528</v>
      </c>
      <c r="R1978" t="s">
        <v>14</v>
      </c>
      <c r="S1978" t="s">
        <v>5529</v>
      </c>
      <c r="T1978" t="s">
        <v>5530</v>
      </c>
      <c r="U1978" t="s">
        <v>2390</v>
      </c>
      <c r="V1978" t="s">
        <v>14</v>
      </c>
      <c r="W1978" t="b">
        <v>1</v>
      </c>
      <c r="X1978" t="s">
        <v>5534</v>
      </c>
      <c r="Y1978" t="b">
        <v>0</v>
      </c>
      <c r="Z1978" t="s">
        <v>2081</v>
      </c>
    </row>
    <row r="1979" spans="1:26" x14ac:dyDescent="0.35">
      <c r="A1979" t="s">
        <v>1985</v>
      </c>
      <c r="B1979" t="s">
        <v>1986</v>
      </c>
      <c r="C1979" t="s">
        <v>3922</v>
      </c>
      <c r="D1979" t="s">
        <v>1963</v>
      </c>
      <c r="E1979" t="s">
        <v>3072</v>
      </c>
      <c r="F1979" t="s">
        <v>5535</v>
      </c>
      <c r="G1979" t="s">
        <v>5536</v>
      </c>
      <c r="H1979" t="s">
        <v>2023</v>
      </c>
      <c r="I1979" t="s">
        <v>4257</v>
      </c>
      <c r="J1979" t="s">
        <v>1963</v>
      </c>
      <c r="K1979" t="s">
        <v>5537</v>
      </c>
      <c r="L1979" t="s">
        <v>2025</v>
      </c>
      <c r="M1979" t="s">
        <v>4259</v>
      </c>
      <c r="N1979" t="s">
        <v>4260</v>
      </c>
      <c r="O1979" t="s">
        <v>2348</v>
      </c>
      <c r="P1979" t="s">
        <v>2349</v>
      </c>
      <c r="Q1979" t="s">
        <v>2350</v>
      </c>
      <c r="R1979" t="s">
        <v>14</v>
      </c>
      <c r="S1979" t="s">
        <v>4192</v>
      </c>
      <c r="T1979" t="s">
        <v>4193</v>
      </c>
      <c r="U1979" t="s">
        <v>2030</v>
      </c>
      <c r="V1979" t="s">
        <v>14</v>
      </c>
      <c r="W1979" t="b">
        <v>1</v>
      </c>
      <c r="X1979" t="s">
        <v>5538</v>
      </c>
      <c r="Y1979" t="b">
        <v>0</v>
      </c>
      <c r="Z1979" t="s">
        <v>2081</v>
      </c>
    </row>
    <row r="1980" spans="1:26" x14ac:dyDescent="0.35">
      <c r="A1980" t="s">
        <v>1987</v>
      </c>
      <c r="B1980" t="s">
        <v>1988</v>
      </c>
      <c r="C1980" t="s">
        <v>3922</v>
      </c>
      <c r="D1980" t="s">
        <v>1963</v>
      </c>
      <c r="E1980" t="s">
        <v>3072</v>
      </c>
      <c r="F1980" t="s">
        <v>5535</v>
      </c>
      <c r="G1980" t="s">
        <v>5536</v>
      </c>
      <c r="H1980" t="s">
        <v>2023</v>
      </c>
      <c r="I1980" t="s">
        <v>4257</v>
      </c>
      <c r="J1980" t="s">
        <v>1963</v>
      </c>
      <c r="K1980" t="s">
        <v>5539</v>
      </c>
      <c r="L1980" t="s">
        <v>2025</v>
      </c>
      <c r="M1980" t="s">
        <v>4259</v>
      </c>
      <c r="N1980" t="s">
        <v>4260</v>
      </c>
      <c r="O1980" t="s">
        <v>2348</v>
      </c>
      <c r="P1980" t="s">
        <v>2349</v>
      </c>
      <c r="Q1980" t="s">
        <v>2350</v>
      </c>
      <c r="R1980" t="s">
        <v>14</v>
      </c>
      <c r="S1980" t="s">
        <v>4192</v>
      </c>
      <c r="T1980" t="s">
        <v>4193</v>
      </c>
      <c r="U1980" t="s">
        <v>2030</v>
      </c>
      <c r="V1980" t="s">
        <v>14</v>
      </c>
      <c r="W1980" t="b">
        <v>1</v>
      </c>
      <c r="X1980" t="s">
        <v>5540</v>
      </c>
      <c r="Y1980" t="b">
        <v>0</v>
      </c>
      <c r="Z1980" t="s">
        <v>2081</v>
      </c>
    </row>
    <row r="1981" spans="1:26" x14ac:dyDescent="0.35">
      <c r="A1981" t="s">
        <v>1830</v>
      </c>
      <c r="B1981" t="s">
        <v>5541</v>
      </c>
      <c r="C1981" t="s">
        <v>2648</v>
      </c>
      <c r="D1981" t="s">
        <v>1963</v>
      </c>
      <c r="E1981" t="s">
        <v>2020</v>
      </c>
      <c r="F1981" t="s">
        <v>2021</v>
      </c>
      <c r="G1981" t="s">
        <v>2022</v>
      </c>
      <c r="H1981" t="s">
        <v>2023</v>
      </c>
      <c r="I1981" t="s">
        <v>2197</v>
      </c>
      <c r="J1981" t="s">
        <v>1963</v>
      </c>
      <c r="K1981" t="s">
        <v>5542</v>
      </c>
      <c r="L1981" t="s">
        <v>5543</v>
      </c>
      <c r="M1981" t="s">
        <v>2120</v>
      </c>
      <c r="N1981" t="s">
        <v>2121</v>
      </c>
      <c r="O1981" t="s">
        <v>2060</v>
      </c>
      <c r="P1981" t="s">
        <v>2061</v>
      </c>
      <c r="Q1981" t="s">
        <v>2122</v>
      </c>
      <c r="R1981" t="s">
        <v>14</v>
      </c>
      <c r="S1981" t="s">
        <v>2123</v>
      </c>
      <c r="T1981" t="s">
        <v>2124</v>
      </c>
      <c r="U1981" t="s">
        <v>2052</v>
      </c>
      <c r="V1981" t="s">
        <v>14</v>
      </c>
      <c r="W1981" t="b">
        <v>1</v>
      </c>
      <c r="X1981" t="s">
        <v>1831</v>
      </c>
      <c r="Y1981" t="b">
        <v>0</v>
      </c>
      <c r="Z1981" t="s">
        <v>2032</v>
      </c>
    </row>
    <row r="1982" spans="1:26" x14ac:dyDescent="0.35">
      <c r="A1982" t="s">
        <v>1830</v>
      </c>
      <c r="B1982" t="s">
        <v>5541</v>
      </c>
      <c r="C1982" t="s">
        <v>2648</v>
      </c>
      <c r="D1982" t="s">
        <v>1963</v>
      </c>
      <c r="E1982" t="s">
        <v>2020</v>
      </c>
      <c r="F1982" t="s">
        <v>2021</v>
      </c>
      <c r="G1982" t="s">
        <v>2022</v>
      </c>
      <c r="H1982" t="s">
        <v>2023</v>
      </c>
      <c r="I1982" t="s">
        <v>2199</v>
      </c>
      <c r="J1982" t="s">
        <v>1963</v>
      </c>
      <c r="K1982" t="s">
        <v>5542</v>
      </c>
      <c r="L1982" t="s">
        <v>5543</v>
      </c>
      <c r="M1982" t="s">
        <v>2120</v>
      </c>
      <c r="N1982" t="s">
        <v>2121</v>
      </c>
      <c r="O1982" t="s">
        <v>2060</v>
      </c>
      <c r="P1982" t="s">
        <v>2061</v>
      </c>
      <c r="Q1982" t="s">
        <v>2122</v>
      </c>
      <c r="R1982" t="s">
        <v>14</v>
      </c>
      <c r="S1982" t="s">
        <v>2200</v>
      </c>
      <c r="T1982" t="s">
        <v>2201</v>
      </c>
      <c r="U1982" t="s">
        <v>2052</v>
      </c>
      <c r="V1982" t="s">
        <v>14</v>
      </c>
      <c r="W1982" t="b">
        <v>1</v>
      </c>
      <c r="X1982" t="s">
        <v>1831</v>
      </c>
      <c r="Y1982" t="b">
        <v>0</v>
      </c>
      <c r="Z1982" t="s">
        <v>2053</v>
      </c>
    </row>
    <row r="1983" spans="1:26" x14ac:dyDescent="0.35">
      <c r="A1983" t="s">
        <v>1832</v>
      </c>
      <c r="B1983" t="s">
        <v>5544</v>
      </c>
      <c r="C1983" t="s">
        <v>2648</v>
      </c>
      <c r="D1983" t="s">
        <v>1963</v>
      </c>
      <c r="E1983" t="s">
        <v>2020</v>
      </c>
      <c r="F1983" t="s">
        <v>2021</v>
      </c>
      <c r="G1983" t="s">
        <v>2022</v>
      </c>
      <c r="H1983" t="s">
        <v>2023</v>
      </c>
      <c r="I1983" t="s">
        <v>2241</v>
      </c>
      <c r="J1983" t="s">
        <v>1963</v>
      </c>
      <c r="K1983" t="s">
        <v>5545</v>
      </c>
      <c r="L1983" t="s">
        <v>2046</v>
      </c>
      <c r="M1983" t="s">
        <v>2243</v>
      </c>
      <c r="N1983" t="s">
        <v>2244</v>
      </c>
      <c r="O1983" t="s">
        <v>2214</v>
      </c>
      <c r="P1983" t="s">
        <v>2215</v>
      </c>
      <c r="Q1983" t="s">
        <v>2245</v>
      </c>
      <c r="R1983" t="s">
        <v>14</v>
      </c>
      <c r="S1983" t="s">
        <v>2205</v>
      </c>
      <c r="T1983" t="s">
        <v>2206</v>
      </c>
      <c r="U1983" t="s">
        <v>2052</v>
      </c>
      <c r="V1983" t="s">
        <v>14</v>
      </c>
      <c r="W1983" t="b">
        <v>1</v>
      </c>
      <c r="X1983" t="s">
        <v>1833</v>
      </c>
      <c r="Y1983" t="b">
        <v>0</v>
      </c>
      <c r="Z1983" t="s">
        <v>2053</v>
      </c>
    </row>
    <row r="1984" spans="1:26" x14ac:dyDescent="0.35">
      <c r="A1984" t="s">
        <v>1834</v>
      </c>
      <c r="B1984" t="s">
        <v>5546</v>
      </c>
      <c r="C1984" t="s">
        <v>2648</v>
      </c>
      <c r="D1984" t="s">
        <v>1963</v>
      </c>
      <c r="E1984" t="s">
        <v>2020</v>
      </c>
      <c r="F1984" t="s">
        <v>2021</v>
      </c>
      <c r="G1984" t="s">
        <v>2022</v>
      </c>
      <c r="H1984" t="s">
        <v>2023</v>
      </c>
      <c r="I1984" t="s">
        <v>1426</v>
      </c>
      <c r="J1984" t="s">
        <v>1963</v>
      </c>
      <c r="K1984" t="s">
        <v>5547</v>
      </c>
      <c r="L1984" t="s">
        <v>2046</v>
      </c>
      <c r="M1984" t="s">
        <v>2058</v>
      </c>
      <c r="N1984" t="s">
        <v>2059</v>
      </c>
      <c r="O1984" t="s">
        <v>2060</v>
      </c>
      <c r="P1984" t="s">
        <v>2061</v>
      </c>
      <c r="Q1984" t="s">
        <v>2062</v>
      </c>
      <c r="R1984" t="s">
        <v>14</v>
      </c>
      <c r="S1984" t="s">
        <v>2063</v>
      </c>
      <c r="T1984" t="s">
        <v>2064</v>
      </c>
      <c r="U1984" t="s">
        <v>2052</v>
      </c>
      <c r="V1984" t="s">
        <v>14</v>
      </c>
      <c r="W1984" t="b">
        <v>1</v>
      </c>
      <c r="X1984" t="s">
        <v>1835</v>
      </c>
      <c r="Y1984" t="b">
        <v>0</v>
      </c>
      <c r="Z1984" t="s">
        <v>2053</v>
      </c>
    </row>
    <row r="1985" spans="1:26" x14ac:dyDescent="0.35">
      <c r="A1985" t="s">
        <v>1836</v>
      </c>
      <c r="B1985" t="s">
        <v>5548</v>
      </c>
      <c r="C1985" t="s">
        <v>2648</v>
      </c>
      <c r="D1985" t="s">
        <v>1963</v>
      </c>
      <c r="E1985" t="s">
        <v>2020</v>
      </c>
      <c r="F1985" t="s">
        <v>2021</v>
      </c>
      <c r="G1985" t="s">
        <v>2022</v>
      </c>
      <c r="H1985" t="s">
        <v>2023</v>
      </c>
      <c r="I1985" t="s">
        <v>1426</v>
      </c>
      <c r="J1985" t="s">
        <v>1963</v>
      </c>
      <c r="K1985" t="s">
        <v>5549</v>
      </c>
      <c r="L1985" t="s">
        <v>2046</v>
      </c>
      <c r="M1985" t="s">
        <v>2058</v>
      </c>
      <c r="N1985" t="s">
        <v>2059</v>
      </c>
      <c r="O1985" t="s">
        <v>2060</v>
      </c>
      <c r="P1985" t="s">
        <v>2061</v>
      </c>
      <c r="Q1985" t="s">
        <v>2062</v>
      </c>
      <c r="R1985" t="s">
        <v>14</v>
      </c>
      <c r="S1985" t="s">
        <v>2063</v>
      </c>
      <c r="T1985" t="s">
        <v>2064</v>
      </c>
      <c r="U1985" t="s">
        <v>2052</v>
      </c>
      <c r="V1985" t="s">
        <v>14</v>
      </c>
      <c r="W1985" t="b">
        <v>1</v>
      </c>
      <c r="X1985" t="s">
        <v>1837</v>
      </c>
      <c r="Y1985" t="b">
        <v>0</v>
      </c>
      <c r="Z1985" t="s">
        <v>2053</v>
      </c>
    </row>
    <row r="1986" spans="1:26" x14ac:dyDescent="0.35">
      <c r="A1986" t="s">
        <v>1838</v>
      </c>
      <c r="B1986" t="s">
        <v>5550</v>
      </c>
      <c r="C1986" t="s">
        <v>2648</v>
      </c>
      <c r="D1986" t="s">
        <v>1963</v>
      </c>
      <c r="E1986" t="s">
        <v>2020</v>
      </c>
      <c r="F1986" t="s">
        <v>2055</v>
      </c>
      <c r="G1986" t="s">
        <v>2056</v>
      </c>
      <c r="H1986" t="s">
        <v>2023</v>
      </c>
      <c r="I1986" t="s">
        <v>1426</v>
      </c>
      <c r="J1986" t="s">
        <v>1963</v>
      </c>
      <c r="K1986" t="s">
        <v>5551</v>
      </c>
      <c r="L1986" t="s">
        <v>2046</v>
      </c>
      <c r="M1986" t="s">
        <v>2058</v>
      </c>
      <c r="N1986" t="s">
        <v>2059</v>
      </c>
      <c r="O1986" t="s">
        <v>2060</v>
      </c>
      <c r="P1986" t="s">
        <v>2061</v>
      </c>
      <c r="Q1986" t="s">
        <v>2062</v>
      </c>
      <c r="R1986" t="s">
        <v>14</v>
      </c>
      <c r="S1986" t="s">
        <v>2063</v>
      </c>
      <c r="T1986" t="s">
        <v>2064</v>
      </c>
      <c r="U1986" t="s">
        <v>2052</v>
      </c>
      <c r="V1986" t="s">
        <v>14</v>
      </c>
      <c r="W1986" t="b">
        <v>1</v>
      </c>
      <c r="X1986" t="s">
        <v>1839</v>
      </c>
      <c r="Y1986" t="b">
        <v>0</v>
      </c>
      <c r="Z1986" t="s">
        <v>2053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512CE-8715-4C99-8C25-66E15AA739A3}">
  <sheetPr codeName="Sheet4"/>
  <dimension ref="A1:X9"/>
  <sheetViews>
    <sheetView tabSelected="1" workbookViewId="0"/>
  </sheetViews>
  <sheetFormatPr defaultRowHeight="14.5" x14ac:dyDescent="0.35"/>
  <cols>
    <col min="8" max="8" width="14.90625" bestFit="1" customWidth="1"/>
  </cols>
  <sheetData>
    <row r="1" spans="1:24" x14ac:dyDescent="0.35">
      <c r="A1" t="s">
        <v>5554</v>
      </c>
      <c r="B1" t="s">
        <v>5555</v>
      </c>
      <c r="C1" t="s">
        <v>5556</v>
      </c>
      <c r="D1" t="s">
        <v>5553</v>
      </c>
      <c r="E1" t="s">
        <v>5557</v>
      </c>
      <c r="F1" t="s">
        <v>5558</v>
      </c>
      <c r="G1" t="s">
        <v>5559</v>
      </c>
      <c r="H1" t="s">
        <v>1996</v>
      </c>
      <c r="I1" t="s">
        <v>5560</v>
      </c>
      <c r="J1" t="s">
        <v>5561</v>
      </c>
      <c r="K1" t="s">
        <v>5562</v>
      </c>
      <c r="L1" t="s">
        <v>5563</v>
      </c>
      <c r="M1" t="s">
        <v>5564</v>
      </c>
      <c r="N1" t="s">
        <v>5565</v>
      </c>
      <c r="O1" t="s">
        <v>5566</v>
      </c>
      <c r="P1" t="s">
        <v>5567</v>
      </c>
      <c r="Q1" t="s">
        <v>1998</v>
      </c>
      <c r="R1" t="s">
        <v>5568</v>
      </c>
      <c r="S1" t="s">
        <v>5569</v>
      </c>
      <c r="T1" t="s">
        <v>5570</v>
      </c>
      <c r="U1" t="s">
        <v>5571</v>
      </c>
      <c r="V1" t="s">
        <v>5572</v>
      </c>
      <c r="W1" t="s">
        <v>5573</v>
      </c>
      <c r="X1" t="s">
        <v>5574</v>
      </c>
    </row>
    <row r="2" spans="1:24" x14ac:dyDescent="0.35">
      <c r="A2" t="s">
        <v>5575</v>
      </c>
      <c r="B2" t="s">
        <v>5576</v>
      </c>
      <c r="C2" t="s">
        <v>5577</v>
      </c>
      <c r="D2" t="s">
        <v>5578</v>
      </c>
      <c r="E2" t="s">
        <v>5579</v>
      </c>
      <c r="F2" t="s">
        <v>5580</v>
      </c>
      <c r="G2" t="s">
        <v>14</v>
      </c>
      <c r="H2" t="s">
        <v>1992</v>
      </c>
      <c r="I2" t="s">
        <v>14</v>
      </c>
      <c r="J2" t="s">
        <v>14</v>
      </c>
      <c r="K2" t="s">
        <v>5581</v>
      </c>
      <c r="L2" t="s">
        <v>5580</v>
      </c>
      <c r="M2" t="s">
        <v>14</v>
      </c>
      <c r="N2" t="s">
        <v>14</v>
      </c>
      <c r="O2" t="s">
        <v>5582</v>
      </c>
      <c r="P2" t="s">
        <v>14</v>
      </c>
      <c r="Q2" t="s">
        <v>2335</v>
      </c>
      <c r="R2" t="s">
        <v>14</v>
      </c>
      <c r="S2" t="s">
        <v>14</v>
      </c>
      <c r="T2" t="s">
        <v>5583</v>
      </c>
      <c r="U2" t="s">
        <v>5583</v>
      </c>
      <c r="V2" t="s">
        <v>14</v>
      </c>
      <c r="W2" t="s">
        <v>5579</v>
      </c>
      <c r="X2" t="s">
        <v>14</v>
      </c>
    </row>
    <row r="3" spans="1:24" x14ac:dyDescent="0.35">
      <c r="A3" t="s">
        <v>5584</v>
      </c>
      <c r="B3" t="s">
        <v>5576</v>
      </c>
      <c r="C3" t="s">
        <v>5577</v>
      </c>
      <c r="D3" t="s">
        <v>5578</v>
      </c>
      <c r="E3" t="s">
        <v>5579</v>
      </c>
      <c r="F3" t="s">
        <v>5580</v>
      </c>
      <c r="G3" t="s">
        <v>14</v>
      </c>
      <c r="H3" t="s">
        <v>1856</v>
      </c>
      <c r="I3" t="s">
        <v>14</v>
      </c>
      <c r="J3" t="s">
        <v>14</v>
      </c>
      <c r="K3" t="s">
        <v>5581</v>
      </c>
      <c r="L3" t="s">
        <v>5580</v>
      </c>
      <c r="M3" t="s">
        <v>14</v>
      </c>
      <c r="N3" t="s">
        <v>14</v>
      </c>
      <c r="O3" t="s">
        <v>5582</v>
      </c>
      <c r="P3" t="s">
        <v>14</v>
      </c>
      <c r="Q3" t="s">
        <v>2335</v>
      </c>
      <c r="R3" t="s">
        <v>14</v>
      </c>
      <c r="S3" t="s">
        <v>14</v>
      </c>
      <c r="T3" t="s">
        <v>5583</v>
      </c>
      <c r="U3" t="s">
        <v>5583</v>
      </c>
      <c r="V3" t="s">
        <v>14</v>
      </c>
      <c r="W3" t="s">
        <v>5579</v>
      </c>
      <c r="X3" t="s">
        <v>14</v>
      </c>
    </row>
    <row r="4" spans="1:24" x14ac:dyDescent="0.35">
      <c r="A4" t="s">
        <v>5585</v>
      </c>
      <c r="B4" t="s">
        <v>5576</v>
      </c>
      <c r="C4" t="s">
        <v>5577</v>
      </c>
      <c r="D4" t="s">
        <v>5578</v>
      </c>
      <c r="E4" t="s">
        <v>5579</v>
      </c>
      <c r="F4" t="s">
        <v>5580</v>
      </c>
      <c r="G4" t="s">
        <v>14</v>
      </c>
      <c r="H4" t="s">
        <v>1858</v>
      </c>
      <c r="I4" t="s">
        <v>14</v>
      </c>
      <c r="J4" t="s">
        <v>14</v>
      </c>
      <c r="K4" t="s">
        <v>5581</v>
      </c>
      <c r="L4" t="s">
        <v>5580</v>
      </c>
      <c r="M4" t="s">
        <v>14</v>
      </c>
      <c r="N4" t="s">
        <v>14</v>
      </c>
      <c r="O4" t="s">
        <v>5582</v>
      </c>
      <c r="P4" t="s">
        <v>14</v>
      </c>
      <c r="Q4" t="s">
        <v>2335</v>
      </c>
      <c r="R4" t="s">
        <v>14</v>
      </c>
      <c r="S4" t="s">
        <v>14</v>
      </c>
      <c r="T4" t="s">
        <v>5583</v>
      </c>
      <c r="U4" t="s">
        <v>5583</v>
      </c>
      <c r="V4" t="s">
        <v>14</v>
      </c>
      <c r="W4" t="s">
        <v>5579</v>
      </c>
      <c r="X4" t="s">
        <v>14</v>
      </c>
    </row>
    <row r="5" spans="1:24" x14ac:dyDescent="0.35">
      <c r="A5" t="s">
        <v>5586</v>
      </c>
      <c r="B5" t="s">
        <v>5576</v>
      </c>
      <c r="C5" t="s">
        <v>5577</v>
      </c>
      <c r="D5" t="s">
        <v>5578</v>
      </c>
      <c r="E5" t="s">
        <v>5579</v>
      </c>
      <c r="F5" t="s">
        <v>5580</v>
      </c>
      <c r="G5" t="s">
        <v>14</v>
      </c>
      <c r="H5" t="s">
        <v>1860</v>
      </c>
      <c r="I5" t="s">
        <v>14</v>
      </c>
      <c r="J5" t="s">
        <v>14</v>
      </c>
      <c r="K5" t="s">
        <v>5581</v>
      </c>
      <c r="L5" t="s">
        <v>5580</v>
      </c>
      <c r="M5" t="s">
        <v>14</v>
      </c>
      <c r="N5" t="s">
        <v>14</v>
      </c>
      <c r="O5" t="s">
        <v>5582</v>
      </c>
      <c r="P5" t="s">
        <v>14</v>
      </c>
      <c r="Q5" t="s">
        <v>2335</v>
      </c>
      <c r="R5" t="s">
        <v>14</v>
      </c>
      <c r="S5" t="s">
        <v>14</v>
      </c>
      <c r="T5" t="s">
        <v>5583</v>
      </c>
      <c r="U5" t="s">
        <v>5583</v>
      </c>
      <c r="V5" t="s">
        <v>14</v>
      </c>
      <c r="W5" t="s">
        <v>5579</v>
      </c>
      <c r="X5" t="s">
        <v>14</v>
      </c>
    </row>
    <row r="6" spans="1:24" x14ac:dyDescent="0.35">
      <c r="A6" t="s">
        <v>5587</v>
      </c>
      <c r="B6" t="s">
        <v>5576</v>
      </c>
      <c r="C6" t="s">
        <v>5577</v>
      </c>
      <c r="D6" t="s">
        <v>5578</v>
      </c>
      <c r="E6" t="s">
        <v>5588</v>
      </c>
      <c r="F6" t="s">
        <v>5580</v>
      </c>
      <c r="G6" t="s">
        <v>14</v>
      </c>
      <c r="H6" t="s">
        <v>1861</v>
      </c>
      <c r="I6" t="s">
        <v>14</v>
      </c>
      <c r="J6" t="s">
        <v>14</v>
      </c>
      <c r="K6" t="s">
        <v>5581</v>
      </c>
      <c r="L6" t="s">
        <v>5580</v>
      </c>
      <c r="M6" t="s">
        <v>14</v>
      </c>
      <c r="N6" t="s">
        <v>14</v>
      </c>
      <c r="O6" t="s">
        <v>5592</v>
      </c>
      <c r="P6" t="s">
        <v>14</v>
      </c>
      <c r="Q6" t="s">
        <v>2335</v>
      </c>
      <c r="R6" t="s">
        <v>14</v>
      </c>
      <c r="S6" t="s">
        <v>14</v>
      </c>
      <c r="T6" t="s">
        <v>5583</v>
      </c>
      <c r="U6" t="s">
        <v>5583</v>
      </c>
      <c r="V6" t="s">
        <v>3497</v>
      </c>
      <c r="W6" t="s">
        <v>5588</v>
      </c>
      <c r="X6" t="s">
        <v>14</v>
      </c>
    </row>
    <row r="7" spans="1:24" x14ac:dyDescent="0.35">
      <c r="A7" t="s">
        <v>5589</v>
      </c>
      <c r="B7" t="s">
        <v>5576</v>
      </c>
      <c r="C7" t="s">
        <v>5577</v>
      </c>
      <c r="D7" t="s">
        <v>5578</v>
      </c>
      <c r="E7" t="s">
        <v>5590</v>
      </c>
      <c r="F7" t="s">
        <v>5580</v>
      </c>
      <c r="G7" t="s">
        <v>14</v>
      </c>
      <c r="H7" t="s">
        <v>1500</v>
      </c>
      <c r="I7" t="s">
        <v>14</v>
      </c>
      <c r="J7" t="s">
        <v>14</v>
      </c>
      <c r="K7" t="s">
        <v>5581</v>
      </c>
      <c r="L7" t="s">
        <v>5580</v>
      </c>
      <c r="M7" t="s">
        <v>14</v>
      </c>
      <c r="N7" t="s">
        <v>14</v>
      </c>
      <c r="O7" t="s">
        <v>5593</v>
      </c>
      <c r="P7" t="s">
        <v>14</v>
      </c>
      <c r="Q7" t="s">
        <v>2335</v>
      </c>
      <c r="R7" t="s">
        <v>14</v>
      </c>
      <c r="S7" t="s">
        <v>14</v>
      </c>
      <c r="T7" t="s">
        <v>5583</v>
      </c>
      <c r="U7" t="s">
        <v>5583</v>
      </c>
      <c r="V7" t="s">
        <v>14</v>
      </c>
      <c r="W7" t="s">
        <v>5590</v>
      </c>
      <c r="X7" t="s">
        <v>14</v>
      </c>
    </row>
    <row r="8" spans="1:24" x14ac:dyDescent="0.35">
      <c r="A8" t="s">
        <v>5625</v>
      </c>
      <c r="B8" t="s">
        <v>5576</v>
      </c>
      <c r="C8" t="s">
        <v>5577</v>
      </c>
      <c r="D8" t="s">
        <v>5578</v>
      </c>
      <c r="E8" t="s">
        <v>5590</v>
      </c>
      <c r="F8" t="s">
        <v>5580</v>
      </c>
      <c r="G8" t="s">
        <v>14</v>
      </c>
      <c r="H8" t="s">
        <v>1503</v>
      </c>
      <c r="I8" t="s">
        <v>14</v>
      </c>
      <c r="J8" t="s">
        <v>14</v>
      </c>
      <c r="K8" t="s">
        <v>5581</v>
      </c>
      <c r="L8" t="s">
        <v>5580</v>
      </c>
      <c r="M8" t="s">
        <v>14</v>
      </c>
      <c r="N8" t="s">
        <v>14</v>
      </c>
      <c r="O8" t="s">
        <v>5593</v>
      </c>
      <c r="P8" t="s">
        <v>14</v>
      </c>
      <c r="Q8" t="s">
        <v>2335</v>
      </c>
      <c r="R8" t="s">
        <v>14</v>
      </c>
      <c r="S8" t="s">
        <v>14</v>
      </c>
      <c r="T8" t="s">
        <v>5583</v>
      </c>
      <c r="U8" t="s">
        <v>5583</v>
      </c>
      <c r="V8" t="s">
        <v>14</v>
      </c>
      <c r="W8" t="s">
        <v>5590</v>
      </c>
      <c r="X8" t="s">
        <v>14</v>
      </c>
    </row>
    <row r="9" spans="1:24" x14ac:dyDescent="0.35">
      <c r="A9" t="s">
        <v>5591</v>
      </c>
      <c r="B9" t="s">
        <v>5576</v>
      </c>
      <c r="C9" t="s">
        <v>5577</v>
      </c>
      <c r="D9" t="s">
        <v>5578</v>
      </c>
      <c r="E9" t="s">
        <v>5590</v>
      </c>
      <c r="F9" t="s">
        <v>5580</v>
      </c>
      <c r="G9" t="s">
        <v>14</v>
      </c>
      <c r="H9" t="s">
        <v>1502</v>
      </c>
      <c r="I9" t="s">
        <v>14</v>
      </c>
      <c r="J9" t="s">
        <v>14</v>
      </c>
      <c r="K9" t="s">
        <v>5581</v>
      </c>
      <c r="L9" t="s">
        <v>5580</v>
      </c>
      <c r="M9" t="s">
        <v>14</v>
      </c>
      <c r="N9" t="s">
        <v>14</v>
      </c>
      <c r="O9" t="s">
        <v>5593</v>
      </c>
      <c r="P9" t="s">
        <v>14</v>
      </c>
      <c r="Q9" t="s">
        <v>2335</v>
      </c>
      <c r="R9" t="s">
        <v>14</v>
      </c>
      <c r="S9" t="s">
        <v>14</v>
      </c>
      <c r="T9" t="s">
        <v>5583</v>
      </c>
      <c r="U9" t="s">
        <v>5583</v>
      </c>
      <c r="V9" t="s">
        <v>14</v>
      </c>
      <c r="W9" t="s">
        <v>5590</v>
      </c>
      <c r="X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6AE8F-7A45-403D-91B7-729168CC1776}">
  <sheetPr codeName="Sheet5"/>
  <dimension ref="A1:Z8"/>
  <sheetViews>
    <sheetView workbookViewId="0">
      <selection activeCell="L2" sqref="L2"/>
    </sheetView>
  </sheetViews>
  <sheetFormatPr defaultRowHeight="14.5" x14ac:dyDescent="0.35"/>
  <cols>
    <col min="1" max="1" width="14.90625" bestFit="1" customWidth="1"/>
    <col min="2" max="2" width="35.54296875" bestFit="1" customWidth="1"/>
    <col min="9" max="9" width="19.36328125" bestFit="1" customWidth="1"/>
  </cols>
  <sheetData>
    <row r="1" spans="1:26" x14ac:dyDescent="0.35">
      <c r="A1" t="s">
        <v>1996</v>
      </c>
      <c r="B1" t="s">
        <v>1997</v>
      </c>
      <c r="C1" t="s">
        <v>1998</v>
      </c>
      <c r="D1" t="s">
        <v>1999</v>
      </c>
      <c r="E1" t="s">
        <v>2000</v>
      </c>
      <c r="F1" t="s">
        <v>2001</v>
      </c>
      <c r="G1" t="s">
        <v>2002</v>
      </c>
      <c r="H1" t="s">
        <v>2003</v>
      </c>
      <c r="I1" t="s">
        <v>1996</v>
      </c>
      <c r="J1" t="s">
        <v>2004</v>
      </c>
      <c r="K1" t="s">
        <v>2005</v>
      </c>
      <c r="L1" t="s">
        <v>2006</v>
      </c>
      <c r="M1" t="s">
        <v>2007</v>
      </c>
      <c r="N1" t="s">
        <v>2008</v>
      </c>
      <c r="O1" t="s">
        <v>2009</v>
      </c>
      <c r="P1" t="s">
        <v>2008</v>
      </c>
      <c r="Q1" t="s">
        <v>2010</v>
      </c>
      <c r="R1" t="s">
        <v>2011</v>
      </c>
      <c r="S1" t="s">
        <v>2012</v>
      </c>
      <c r="T1" t="s">
        <v>2008</v>
      </c>
      <c r="U1" t="s">
        <v>2013</v>
      </c>
      <c r="V1" t="s">
        <v>2014</v>
      </c>
      <c r="W1" t="s">
        <v>0</v>
      </c>
      <c r="X1" t="s">
        <v>2015</v>
      </c>
      <c r="Y1" t="s">
        <v>2016</v>
      </c>
      <c r="Z1" t="s">
        <v>2017</v>
      </c>
    </row>
    <row r="2" spans="1:26" x14ac:dyDescent="0.35">
      <c r="A2" t="s">
        <v>1992</v>
      </c>
      <c r="B2" t="s">
        <v>2018</v>
      </c>
      <c r="C2" t="s">
        <v>2019</v>
      </c>
      <c r="D2" t="s">
        <v>1963</v>
      </c>
      <c r="E2" t="s">
        <v>2020</v>
      </c>
      <c r="F2" t="s">
        <v>2021</v>
      </c>
      <c r="G2" t="s">
        <v>2022</v>
      </c>
      <c r="H2" t="s">
        <v>2023</v>
      </c>
      <c r="I2" t="s">
        <v>1992</v>
      </c>
      <c r="J2" t="s">
        <v>1963</v>
      </c>
      <c r="K2" t="s">
        <v>2024</v>
      </c>
      <c r="L2" t="s">
        <v>2025</v>
      </c>
      <c r="M2" t="s">
        <v>2026</v>
      </c>
      <c r="N2" t="s">
        <v>2027</v>
      </c>
      <c r="O2" t="s">
        <v>2028</v>
      </c>
      <c r="P2" t="s">
        <v>2027</v>
      </c>
      <c r="Q2" t="s">
        <v>14</v>
      </c>
      <c r="R2" t="s">
        <v>14</v>
      </c>
      <c r="S2" t="s">
        <v>14</v>
      </c>
      <c r="T2" t="s">
        <v>2027</v>
      </c>
      <c r="U2" t="s">
        <v>2030</v>
      </c>
      <c r="V2" t="s">
        <v>14</v>
      </c>
      <c r="W2" t="b">
        <v>1</v>
      </c>
      <c r="X2" t="s">
        <v>2031</v>
      </c>
      <c r="Y2" t="b">
        <v>0</v>
      </c>
      <c r="Z2" t="s">
        <v>2032</v>
      </c>
    </row>
    <row r="3" spans="1:26" x14ac:dyDescent="0.35">
      <c r="A3" t="s">
        <v>1856</v>
      </c>
      <c r="B3" t="s">
        <v>2033</v>
      </c>
      <c r="C3" t="s">
        <v>24</v>
      </c>
      <c r="D3" t="s">
        <v>1963</v>
      </c>
      <c r="E3" t="s">
        <v>2020</v>
      </c>
      <c r="F3" t="s">
        <v>2021</v>
      </c>
      <c r="G3" t="s">
        <v>2022</v>
      </c>
      <c r="H3" t="s">
        <v>2023</v>
      </c>
      <c r="I3" t="s">
        <v>1856</v>
      </c>
      <c r="J3" t="s">
        <v>1963</v>
      </c>
      <c r="K3" t="s">
        <v>2034</v>
      </c>
      <c r="L3" t="s">
        <v>14</v>
      </c>
      <c r="M3" t="s">
        <v>2026</v>
      </c>
      <c r="N3" t="s">
        <v>2027</v>
      </c>
      <c r="O3" t="s">
        <v>2028</v>
      </c>
      <c r="P3" t="s">
        <v>2027</v>
      </c>
      <c r="Q3" t="s">
        <v>14</v>
      </c>
      <c r="R3" t="s">
        <v>14</v>
      </c>
      <c r="S3" t="s">
        <v>14</v>
      </c>
      <c r="T3" t="s">
        <v>2027</v>
      </c>
      <c r="U3" t="s">
        <v>2030</v>
      </c>
      <c r="V3" t="s">
        <v>14</v>
      </c>
      <c r="W3" t="b">
        <v>0</v>
      </c>
      <c r="X3" t="s">
        <v>1857</v>
      </c>
      <c r="Y3" t="b">
        <v>0</v>
      </c>
      <c r="Z3" t="s">
        <v>2032</v>
      </c>
    </row>
    <row r="4" spans="1:26" x14ac:dyDescent="0.35">
      <c r="A4" t="s">
        <v>1858</v>
      </c>
      <c r="B4" t="s">
        <v>2035</v>
      </c>
      <c r="C4" t="s">
        <v>24</v>
      </c>
      <c r="D4" t="s">
        <v>1963</v>
      </c>
      <c r="E4" t="s">
        <v>2020</v>
      </c>
      <c r="F4" t="s">
        <v>2021</v>
      </c>
      <c r="G4" t="s">
        <v>2022</v>
      </c>
      <c r="H4" t="s">
        <v>2023</v>
      </c>
      <c r="I4" t="s">
        <v>1858</v>
      </c>
      <c r="J4" t="s">
        <v>1963</v>
      </c>
      <c r="K4" t="s">
        <v>2036</v>
      </c>
      <c r="L4" t="s">
        <v>14</v>
      </c>
      <c r="M4" t="s">
        <v>2026</v>
      </c>
      <c r="N4" t="s">
        <v>2027</v>
      </c>
      <c r="O4" t="s">
        <v>2028</v>
      </c>
      <c r="P4" t="s">
        <v>2027</v>
      </c>
      <c r="Q4" t="s">
        <v>14</v>
      </c>
      <c r="R4" t="s">
        <v>14</v>
      </c>
      <c r="S4" t="s">
        <v>14</v>
      </c>
      <c r="T4" t="s">
        <v>2027</v>
      </c>
      <c r="U4" t="s">
        <v>2030</v>
      </c>
      <c r="V4" t="s">
        <v>14</v>
      </c>
      <c r="W4" t="b">
        <v>0</v>
      </c>
      <c r="X4" t="s">
        <v>1859</v>
      </c>
      <c r="Y4" t="b">
        <v>0</v>
      </c>
      <c r="Z4" t="s">
        <v>2032</v>
      </c>
    </row>
    <row r="5" spans="1:26" x14ac:dyDescent="0.35">
      <c r="A5" t="s">
        <v>1860</v>
      </c>
      <c r="B5" t="s">
        <v>2037</v>
      </c>
      <c r="C5" t="s">
        <v>2038</v>
      </c>
      <c r="D5" t="s">
        <v>1963</v>
      </c>
      <c r="E5" t="s">
        <v>2020</v>
      </c>
      <c r="F5" t="s">
        <v>2021</v>
      </c>
      <c r="G5" t="s">
        <v>2022</v>
      </c>
      <c r="H5" t="s">
        <v>2023</v>
      </c>
      <c r="I5" t="s">
        <v>1860</v>
      </c>
      <c r="J5" t="s">
        <v>1963</v>
      </c>
      <c r="K5" t="s">
        <v>2039</v>
      </c>
      <c r="L5" t="s">
        <v>2025</v>
      </c>
      <c r="M5" t="s">
        <v>2026</v>
      </c>
      <c r="N5" t="s">
        <v>2027</v>
      </c>
      <c r="O5" t="s">
        <v>2028</v>
      </c>
      <c r="P5" t="s">
        <v>2027</v>
      </c>
      <c r="Q5" t="s">
        <v>14</v>
      </c>
      <c r="R5" t="s">
        <v>14</v>
      </c>
      <c r="S5" t="s">
        <v>14</v>
      </c>
      <c r="T5" t="s">
        <v>2027</v>
      </c>
      <c r="U5" t="s">
        <v>2030</v>
      </c>
      <c r="V5" t="s">
        <v>14</v>
      </c>
      <c r="W5" t="b">
        <v>1</v>
      </c>
      <c r="X5" t="s">
        <v>2040</v>
      </c>
      <c r="Y5" t="b">
        <v>0</v>
      </c>
      <c r="Z5" t="s">
        <v>2032</v>
      </c>
    </row>
    <row r="6" spans="1:26" x14ac:dyDescent="0.35">
      <c r="A6" t="s">
        <v>1861</v>
      </c>
      <c r="B6" t="s">
        <v>2041</v>
      </c>
      <c r="C6" t="s">
        <v>2038</v>
      </c>
      <c r="D6" t="s">
        <v>1963</v>
      </c>
      <c r="E6" t="s">
        <v>2020</v>
      </c>
      <c r="F6" t="s">
        <v>2021</v>
      </c>
      <c r="G6" t="s">
        <v>2022</v>
      </c>
      <c r="H6" t="s">
        <v>2023</v>
      </c>
      <c r="I6" t="s">
        <v>1861</v>
      </c>
      <c r="J6" t="s">
        <v>1963</v>
      </c>
      <c r="K6" t="s">
        <v>2042</v>
      </c>
      <c r="L6" t="s">
        <v>2025</v>
      </c>
      <c r="M6" t="s">
        <v>2026</v>
      </c>
      <c r="N6" t="s">
        <v>2027</v>
      </c>
      <c r="O6" t="s">
        <v>2028</v>
      </c>
      <c r="P6" t="s">
        <v>2027</v>
      </c>
      <c r="Q6" t="s">
        <v>14</v>
      </c>
      <c r="R6" t="s">
        <v>14</v>
      </c>
      <c r="S6" t="s">
        <v>14</v>
      </c>
      <c r="T6" t="s">
        <v>2027</v>
      </c>
      <c r="U6" t="s">
        <v>2030</v>
      </c>
      <c r="V6" t="s">
        <v>14</v>
      </c>
      <c r="W6" t="b">
        <v>1</v>
      </c>
      <c r="X6" t="s">
        <v>2043</v>
      </c>
      <c r="Y6" t="b">
        <v>0</v>
      </c>
      <c r="Z6" t="s">
        <v>2032</v>
      </c>
    </row>
    <row r="7" spans="1:26" x14ac:dyDescent="0.35">
      <c r="A7" t="s">
        <v>1500</v>
      </c>
      <c r="B7" t="s">
        <v>2044</v>
      </c>
      <c r="C7" t="s">
        <v>2038</v>
      </c>
      <c r="D7" t="s">
        <v>1963</v>
      </c>
      <c r="E7" t="s">
        <v>2020</v>
      </c>
      <c r="F7" t="s">
        <v>2021</v>
      </c>
      <c r="G7" t="s">
        <v>2022</v>
      </c>
      <c r="H7" t="s">
        <v>2023</v>
      </c>
      <c r="I7" t="s">
        <v>1500</v>
      </c>
      <c r="J7" t="s">
        <v>1963</v>
      </c>
      <c r="K7" t="s">
        <v>2045</v>
      </c>
      <c r="L7" t="s">
        <v>2046</v>
      </c>
      <c r="M7" t="s">
        <v>2047</v>
      </c>
      <c r="N7" t="s">
        <v>2048</v>
      </c>
      <c r="O7" t="s">
        <v>2047</v>
      </c>
      <c r="P7" t="s">
        <v>2048</v>
      </c>
      <c r="Q7" t="s">
        <v>2049</v>
      </c>
      <c r="R7" t="s">
        <v>14</v>
      </c>
      <c r="S7" t="s">
        <v>2050</v>
      </c>
      <c r="T7" t="s">
        <v>2048</v>
      </c>
      <c r="U7" t="s">
        <v>2052</v>
      </c>
      <c r="V7" t="s">
        <v>14</v>
      </c>
      <c r="W7" t="b">
        <v>1</v>
      </c>
      <c r="X7" t="s">
        <v>1501</v>
      </c>
      <c r="Y7" t="b">
        <v>0</v>
      </c>
      <c r="Z7" t="s">
        <v>2053</v>
      </c>
    </row>
    <row r="8" spans="1:26" x14ac:dyDescent="0.35">
      <c r="A8" t="s">
        <v>1503</v>
      </c>
      <c r="B8" t="s">
        <v>2054</v>
      </c>
      <c r="C8" t="s">
        <v>2038</v>
      </c>
      <c r="D8" t="s">
        <v>1963</v>
      </c>
      <c r="E8" t="s">
        <v>2020</v>
      </c>
      <c r="F8" t="s">
        <v>2055</v>
      </c>
      <c r="G8" t="s">
        <v>2056</v>
      </c>
      <c r="H8" t="s">
        <v>2023</v>
      </c>
      <c r="I8" t="s">
        <v>1503</v>
      </c>
      <c r="J8" t="s">
        <v>1963</v>
      </c>
      <c r="K8" t="s">
        <v>2057</v>
      </c>
      <c r="L8" t="s">
        <v>2025</v>
      </c>
      <c r="M8" t="s">
        <v>2058</v>
      </c>
      <c r="N8" t="s">
        <v>2059</v>
      </c>
      <c r="O8" t="s">
        <v>2060</v>
      </c>
      <c r="P8" t="s">
        <v>2059</v>
      </c>
      <c r="Q8" t="s">
        <v>2062</v>
      </c>
      <c r="R8" t="s">
        <v>14</v>
      </c>
      <c r="S8" t="s">
        <v>2063</v>
      </c>
      <c r="T8" t="s">
        <v>2059</v>
      </c>
      <c r="U8" t="s">
        <v>2052</v>
      </c>
      <c r="V8" t="s">
        <v>14</v>
      </c>
      <c r="W8" t="b">
        <v>1</v>
      </c>
      <c r="X8" t="s">
        <v>1504</v>
      </c>
      <c r="Y8" t="b">
        <v>0</v>
      </c>
      <c r="Z8" t="s">
        <v>2053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B62D7-4A9F-49A3-9ED3-827D3CC64066}">
  <sheetPr codeName="Sheet7"/>
  <dimension ref="A1:Y502"/>
  <sheetViews>
    <sheetView topLeftCell="S502" workbookViewId="0">
      <selection activeCell="A102" sqref="A102:X502"/>
    </sheetView>
  </sheetViews>
  <sheetFormatPr defaultRowHeight="14.5" x14ac:dyDescent="0.35"/>
  <cols>
    <col min="1" max="1" width="14.90625" bestFit="1" customWidth="1"/>
    <col min="2" max="2" width="34.453125" bestFit="1" customWidth="1"/>
    <col min="3" max="3" width="10.54296875" bestFit="1" customWidth="1"/>
    <col min="4" max="4" width="11.90625" bestFit="1" customWidth="1"/>
    <col min="5" max="5" width="21.90625" bestFit="1" customWidth="1"/>
    <col min="6" max="6" width="11.6328125" bestFit="1" customWidth="1"/>
    <col min="7" max="7" width="8.6328125" bestFit="1" customWidth="1"/>
    <col min="8" max="8" width="23.90625" bestFit="1" customWidth="1"/>
    <col min="9" max="9" width="20.36328125" bestFit="1" customWidth="1"/>
    <col min="10" max="10" width="15.7265625" bestFit="1" customWidth="1"/>
    <col min="11" max="11" width="17" bestFit="1" customWidth="1"/>
    <col min="12" max="12" width="19.54296875" bestFit="1" customWidth="1"/>
    <col min="13" max="13" width="19.1796875" bestFit="1" customWidth="1"/>
    <col min="14" max="15" width="33.81640625" bestFit="1" customWidth="1"/>
    <col min="16" max="16" width="21.1796875" bestFit="1" customWidth="1"/>
    <col min="17" max="17" width="23.26953125" bestFit="1" customWidth="1"/>
    <col min="18" max="18" width="33.81640625" bestFit="1" customWidth="1"/>
    <col min="19" max="19" width="29.26953125" bestFit="1" customWidth="1"/>
    <col min="20" max="20" width="24.26953125" bestFit="1" customWidth="1"/>
    <col min="21" max="21" width="19.6328125" bestFit="1" customWidth="1"/>
    <col min="22" max="22" width="9.1796875" bestFit="1" customWidth="1"/>
    <col min="23" max="23" width="11.6328125" bestFit="1" customWidth="1"/>
    <col min="24" max="24" width="47.90625" bestFit="1" customWidth="1"/>
    <col min="25" max="25" width="13.54296875" bestFit="1" customWidth="1"/>
  </cols>
  <sheetData>
    <row r="1" spans="1:25" x14ac:dyDescent="0.35">
      <c r="A1" s="18" t="s">
        <v>5595</v>
      </c>
      <c r="B1" s="18" t="s">
        <v>5596</v>
      </c>
      <c r="C1" s="18" t="s">
        <v>5597</v>
      </c>
      <c r="D1" s="18" t="s">
        <v>2003</v>
      </c>
      <c r="E1" s="18" t="s">
        <v>5598</v>
      </c>
      <c r="F1" s="18" t="s">
        <v>5552</v>
      </c>
      <c r="G1" s="18" t="s">
        <v>10</v>
      </c>
      <c r="H1" s="18" t="s">
        <v>2002</v>
      </c>
      <c r="I1" s="18" t="s">
        <v>5599</v>
      </c>
      <c r="J1" s="18" t="s">
        <v>5600</v>
      </c>
      <c r="K1" s="18" t="s">
        <v>5601</v>
      </c>
      <c r="L1" s="18" t="s">
        <v>5602</v>
      </c>
      <c r="M1" s="18" t="s">
        <v>5603</v>
      </c>
      <c r="N1" s="18" t="s">
        <v>5604</v>
      </c>
      <c r="O1" s="18" t="s">
        <v>5605</v>
      </c>
      <c r="P1" s="18" t="s">
        <v>5606</v>
      </c>
      <c r="Q1" s="18" t="s">
        <v>5607</v>
      </c>
      <c r="R1" s="18" t="s">
        <v>5608</v>
      </c>
      <c r="S1" s="18" t="s">
        <v>5609</v>
      </c>
      <c r="T1" s="18" t="s">
        <v>5610</v>
      </c>
      <c r="U1" s="18" t="s">
        <v>5611</v>
      </c>
      <c r="V1" s="19" t="s">
        <v>5612</v>
      </c>
      <c r="W1" s="19" t="s">
        <v>5613</v>
      </c>
      <c r="X1" s="19" t="s">
        <v>12</v>
      </c>
      <c r="Y1" s="19" t="s">
        <v>5614</v>
      </c>
    </row>
    <row r="2" spans="1:25" x14ac:dyDescent="0.35">
      <c r="A2" s="20"/>
      <c r="B2" s="20" t="s">
        <v>5615</v>
      </c>
      <c r="C2" s="20"/>
      <c r="D2" s="20" t="s">
        <v>9</v>
      </c>
      <c r="E2" s="20" t="s">
        <v>5616</v>
      </c>
      <c r="F2" s="20" t="s">
        <v>5552</v>
      </c>
      <c r="G2" s="20"/>
      <c r="H2" s="20"/>
      <c r="I2" s="20" t="s">
        <v>5617</v>
      </c>
      <c r="J2" s="20" t="s">
        <v>5618</v>
      </c>
      <c r="K2" s="21" t="s">
        <v>11</v>
      </c>
      <c r="L2" s="20"/>
      <c r="M2" s="20" t="s">
        <v>5603</v>
      </c>
      <c r="N2" s="20" t="s">
        <v>5619</v>
      </c>
      <c r="O2" s="20" t="s">
        <v>5620</v>
      </c>
      <c r="P2" s="20" t="s">
        <v>5621</v>
      </c>
      <c r="Q2" s="20" t="s">
        <v>5622</v>
      </c>
      <c r="R2" s="20" t="s">
        <v>5608</v>
      </c>
      <c r="S2" s="20" t="s">
        <v>5623</v>
      </c>
      <c r="T2" s="20"/>
      <c r="U2" s="20" t="s">
        <v>5624</v>
      </c>
      <c r="V2" s="20"/>
      <c r="W2" s="20"/>
      <c r="X2" s="20"/>
      <c r="Y2" s="20"/>
    </row>
    <row r="3" spans="1:25" x14ac:dyDescent="0.35">
      <c r="A3" t="str">
        <f>'Filtered Data'!A2</f>
        <v>al1vwoimqdc001</v>
      </c>
      <c r="B3" t="str">
        <f>'Filtered Data'!B2</f>
        <v>al1vwoimqdc001.Tesoropetroleum.com</v>
      </c>
      <c r="C3" t="s">
        <v>2</v>
      </c>
      <c r="D3" t="str">
        <f>VLOOKUP('Filtered Data'!Z2,'Data Mapping'!$A$4:$B$7,2,0)</f>
        <v>1 - Enterprise</v>
      </c>
      <c r="E3" t="str">
        <f>VLOOKUP('Filtered Data'!C2,'Data Mapping'!$E$3:$F$97,2,0)</f>
        <v>MPCP-US-Kenai-KEN</v>
      </c>
      <c r="F3" t="str">
        <f>'Filtered Data'!D2</f>
        <v>Production</v>
      </c>
      <c r="G3" t="str">
        <f>VLOOKUP('Filtered Data'!E2,'Data Mapping'!$J$3:$K$11,2,0)</f>
        <v>Windows</v>
      </c>
      <c r="H3" t="str">
        <f>'Filtered Data'!F2</f>
        <v>Windows 2012 R2 Standard</v>
      </c>
      <c r="I3" t="s">
        <v>5668</v>
      </c>
      <c r="J3" t="s">
        <v>1609</v>
      </c>
      <c r="K3" t="str">
        <f>VLOOKUP('Filtered Data'!A2,'Input 1 CMDB'!A:I,9,0)</f>
        <v>Azure Active Directory</v>
      </c>
      <c r="L3" t="str">
        <f>'Filtered Data'!K2</f>
        <v>10.57.2.220</v>
      </c>
      <c r="M3" t="str">
        <f>MID(B3,FIND(".",B3)+1,(LEN(B3)-FIND(".",B3)))</f>
        <v>Tesoropetroleum.com</v>
      </c>
      <c r="N3" t="str">
        <f>'Filtered Data'!P2</f>
        <v>lpmachniak@marathonpetroleum.com</v>
      </c>
      <c r="O3" t="str">
        <f>'Filtered Data'!N2</f>
        <v>lpmachniak@marathonpetroleum.com</v>
      </c>
      <c r="P3" t="s">
        <v>5669</v>
      </c>
      <c r="Q3" t="str">
        <f>IF('Filtered Data'!W2,"ITHybridCloudEngineeringOperationsMgmt@Marathonpetroleum.com","mark.newman2@dxc.com")</f>
        <v>ITHybridCloudEngineeringOperationsMgmt@Marathonpetroleum.com</v>
      </c>
      <c r="R3" t="str">
        <f>N3</f>
        <v>lpmachniak@marathonpetroleum.com</v>
      </c>
      <c r="S3" s="31" t="s">
        <v>5738</v>
      </c>
      <c r="T3" t="s">
        <v>1381</v>
      </c>
      <c r="U3" t="str">
        <f>'Filtered Data'!V2</f>
        <v/>
      </c>
      <c r="V3" t="str">
        <f>IF('Filtered Data'!W2,"yes","no")</f>
        <v>yes</v>
      </c>
      <c r="W3" t="s">
        <v>15</v>
      </c>
      <c r="X3" t="str">
        <f>'Filtered Data'!X2</f>
        <v>0000-0009-7602-7390-7820-4074-70</v>
      </c>
    </row>
    <row r="4" spans="1:25" x14ac:dyDescent="0.35">
      <c r="A4" t="str">
        <f>'Filtered Data'!A3</f>
        <v>al2pwdcp01</v>
      </c>
      <c r="B4" t="str">
        <f>'Filtered Data'!B3</f>
        <v>AL2PWDCP01.Tesoropetroleum.com</v>
      </c>
      <c r="C4" t="s">
        <v>2</v>
      </c>
      <c r="D4" t="str">
        <f>VLOOKUP('Filtered Data'!Z3,'Data Mapping'!$A$4:$B$7,2,0)</f>
        <v>1 - Enterprise</v>
      </c>
      <c r="E4" t="str">
        <f>VLOOKUP('Filtered Data'!C3,'Data Mapping'!$E$3:$F$97,2,0)</f>
        <v>MPCP-US-Alpharetta-ALF</v>
      </c>
      <c r="F4" t="str">
        <f>'Filtered Data'!D3</f>
        <v>Production</v>
      </c>
      <c r="G4" t="str">
        <f>VLOOKUP('Filtered Data'!E3,'Data Mapping'!$J$3:$K$11,2,0)</f>
        <v>Windows</v>
      </c>
      <c r="H4" t="str">
        <f>'Filtered Data'!F3</f>
        <v>Windows 2012 R2 Standard</v>
      </c>
      <c r="I4" t="s">
        <v>5668</v>
      </c>
      <c r="J4" t="s">
        <v>1609</v>
      </c>
      <c r="K4" t="str">
        <f>VLOOKUP('Filtered Data'!A3,'Input 1 CMDB'!A:I,9,0)</f>
        <v>Azure Active Directory</v>
      </c>
      <c r="L4" t="str">
        <f>'Filtered Data'!K3</f>
        <v>10.244.201.126</v>
      </c>
      <c r="M4" t="str">
        <f>MID(B4,FIND(".",B4)+1,(LEN(B4)-FIND(".",B4)))</f>
        <v>Tesoropetroleum.com</v>
      </c>
      <c r="N4" t="str">
        <f>'Filtered Data'!P3</f>
        <v>lpmachniak@marathonpetroleum.com</v>
      </c>
      <c r="O4" t="str">
        <f>'Filtered Data'!N3</f>
        <v>lpmachniak@marathonpetroleum.com</v>
      </c>
      <c r="P4" t="s">
        <v>5669</v>
      </c>
      <c r="Q4" t="str">
        <f>IF('Filtered Data'!W3,"ITHybridCloudEngineeringOperationsMgmt@Marathonpetroleum.com","mark.newman2@dxc.com")</f>
        <v>mark.newman2@dxc.com</v>
      </c>
      <c r="R4" t="str">
        <f t="shared" ref="R4:R19" si="0">N4</f>
        <v>lpmachniak@marathonpetroleum.com</v>
      </c>
      <c r="S4" s="31" t="s">
        <v>5738</v>
      </c>
      <c r="T4" t="s">
        <v>1381</v>
      </c>
      <c r="U4" t="str">
        <f>'Filtered Data'!V3</f>
        <v/>
      </c>
      <c r="V4" t="str">
        <f>IF('Filtered Data'!W3,"yes","no")</f>
        <v>no</v>
      </c>
      <c r="W4" t="s">
        <v>15</v>
      </c>
      <c r="X4" t="str">
        <f>'Filtered Data'!X3</f>
        <v>MXQ638072Y</v>
      </c>
    </row>
    <row r="5" spans="1:25" x14ac:dyDescent="0.35">
      <c r="A5" t="str">
        <f>'Filtered Data'!A4</f>
        <v>al2pwdcp02</v>
      </c>
      <c r="B5" t="str">
        <f>'Filtered Data'!B4</f>
        <v>AL2PWDCP02.Tesoropetroleum.com</v>
      </c>
      <c r="C5" t="s">
        <v>2</v>
      </c>
      <c r="D5" t="str">
        <f>VLOOKUP('Filtered Data'!Z4,'Data Mapping'!$A$4:$B$7,2,0)</f>
        <v>1 - Enterprise</v>
      </c>
      <c r="E5" t="str">
        <f>VLOOKUP('Filtered Data'!C4,'Data Mapping'!$E$3:$F$97,2,0)</f>
        <v>MPCP-US-Alpharetta-ALF</v>
      </c>
      <c r="F5" t="str">
        <f>'Filtered Data'!D4</f>
        <v>Production</v>
      </c>
      <c r="G5" t="str">
        <f>VLOOKUP('Filtered Data'!E4,'Data Mapping'!$J$3:$K$11,2,0)</f>
        <v>Windows</v>
      </c>
      <c r="H5" t="str">
        <f>'Filtered Data'!F4</f>
        <v>Windows 2012 R2 Standard</v>
      </c>
      <c r="I5" t="s">
        <v>5668</v>
      </c>
      <c r="J5" t="s">
        <v>1609</v>
      </c>
      <c r="K5" t="str">
        <f>VLOOKUP('Filtered Data'!A4,'Input 1 CMDB'!A:I,9,0)</f>
        <v>Azure Active Directory</v>
      </c>
      <c r="L5" t="str">
        <f>'Filtered Data'!K4</f>
        <v>10.244.201.127</v>
      </c>
      <c r="M5" t="str">
        <f t="shared" ref="M5:M68" si="1">MID(B5,FIND(".",B5)+1,(LEN(B5)-FIND(".",B5)))</f>
        <v>Tesoropetroleum.com</v>
      </c>
      <c r="N5" t="str">
        <f>'Filtered Data'!P4</f>
        <v>lpmachniak@marathonpetroleum.com</v>
      </c>
      <c r="O5" t="str">
        <f>'Filtered Data'!N4</f>
        <v>lpmachniak@marathonpetroleum.com</v>
      </c>
      <c r="P5" t="s">
        <v>5669</v>
      </c>
      <c r="Q5" t="str">
        <f>IF('Filtered Data'!W4,"ITHybridCloudEngineeringOperationsMgmt@Marathonpetroleum.com","mark.newman2@dxc.com")</f>
        <v>mark.newman2@dxc.com</v>
      </c>
      <c r="R5" t="str">
        <f t="shared" si="0"/>
        <v>lpmachniak@marathonpetroleum.com</v>
      </c>
      <c r="S5" s="31" t="s">
        <v>5738</v>
      </c>
      <c r="T5" t="s">
        <v>1381</v>
      </c>
      <c r="U5" t="str">
        <f>'Filtered Data'!V4</f>
        <v/>
      </c>
      <c r="V5" t="str">
        <f>IF('Filtered Data'!W4,"yes","no")</f>
        <v>no</v>
      </c>
      <c r="W5" t="s">
        <v>15</v>
      </c>
      <c r="X5" t="str">
        <f>'Filtered Data'!X4</f>
        <v>MXQ638072Z</v>
      </c>
    </row>
    <row r="6" spans="1:25" x14ac:dyDescent="0.35">
      <c r="A6" t="str">
        <f>'Filtered Data'!A5</f>
        <v>ancordc001</v>
      </c>
      <c r="B6" t="str">
        <f>'Filtered Data'!B5</f>
        <v>ancordc001.Tesoropetroleum.com</v>
      </c>
      <c r="C6" t="s">
        <v>2</v>
      </c>
      <c r="D6" t="str">
        <f>VLOOKUP('Filtered Data'!Z5,'Data Mapping'!$A$4:$B$7,2,0)</f>
        <v>1 - Enterprise</v>
      </c>
      <c r="E6" t="str">
        <f>VLOOKUP('Filtered Data'!C5,'Data Mapping'!$E$3:$F$97,2,0)</f>
        <v>MPCP-US-Anacortes-ANR</v>
      </c>
      <c r="F6" t="str">
        <f>'Filtered Data'!D5</f>
        <v>Production</v>
      </c>
      <c r="G6" t="str">
        <f>VLOOKUP('Filtered Data'!E5,'Data Mapping'!$J$3:$K$11,2,0)</f>
        <v>Windows</v>
      </c>
      <c r="H6" t="str">
        <f>'Filtered Data'!F5</f>
        <v>Windows 2012 R2 Standard</v>
      </c>
      <c r="I6" t="s">
        <v>5668</v>
      </c>
      <c r="J6" t="s">
        <v>1609</v>
      </c>
      <c r="K6" t="str">
        <f>VLOOKUP('Filtered Data'!A5,'Input 1 CMDB'!A:I,9,0)</f>
        <v>Azure Active Directory</v>
      </c>
      <c r="L6" t="str">
        <f>'Filtered Data'!K5</f>
        <v>10.76.39.126</v>
      </c>
      <c r="M6" t="str">
        <f t="shared" si="1"/>
        <v>Tesoropetroleum.com</v>
      </c>
      <c r="N6" t="str">
        <f>'Filtered Data'!P5</f>
        <v>lpmachniak@marathonpetroleum.com</v>
      </c>
      <c r="O6" t="str">
        <f>'Filtered Data'!N5</f>
        <v>lpmachniak@marathonpetroleum.com</v>
      </c>
      <c r="P6" t="s">
        <v>5669</v>
      </c>
      <c r="Q6" t="str">
        <f>IF('Filtered Data'!W5,"ITHybridCloudEngineeringOperationsMgmt@Marathonpetroleum.com","mark.newman2@dxc.com")</f>
        <v>ITHybridCloudEngineeringOperationsMgmt@Marathonpetroleum.com</v>
      </c>
      <c r="R6" t="str">
        <f t="shared" si="0"/>
        <v>lpmachniak@marathonpetroleum.com</v>
      </c>
      <c r="S6" s="31" t="s">
        <v>5738</v>
      </c>
      <c r="T6" t="s">
        <v>1381</v>
      </c>
      <c r="U6" t="str">
        <f>'Filtered Data'!V5</f>
        <v/>
      </c>
      <c r="V6" t="str">
        <f>IF('Filtered Data'!W5,"yes","no")</f>
        <v>yes</v>
      </c>
      <c r="W6" t="s">
        <v>15</v>
      </c>
      <c r="X6" t="str">
        <f>'Filtered Data'!X5</f>
        <v>VMware-42 0c d2 1c ef 86 25 3e-8f 46 2b d1 0d 5e bd 1b</v>
      </c>
    </row>
    <row r="7" spans="1:25" x14ac:dyDescent="0.35">
      <c r="A7" t="str">
        <f>'Filtered Data'!A6</f>
        <v>ancordc002</v>
      </c>
      <c r="B7" t="str">
        <f>'Filtered Data'!B6</f>
        <v>ancordc002.Tesoropetroleum.com</v>
      </c>
      <c r="C7" t="s">
        <v>2</v>
      </c>
      <c r="D7" t="str">
        <f>VLOOKUP('Filtered Data'!Z6,'Data Mapping'!$A$4:$B$7,2,0)</f>
        <v>1 - Enterprise</v>
      </c>
      <c r="E7" t="str">
        <f>VLOOKUP('Filtered Data'!C6,'Data Mapping'!$E$3:$F$97,2,0)</f>
        <v>MPCP-US-Anacortes-ANR</v>
      </c>
      <c r="F7" t="str">
        <f>'Filtered Data'!D6</f>
        <v>Production</v>
      </c>
      <c r="G7" t="str">
        <f>VLOOKUP('Filtered Data'!E6,'Data Mapping'!$J$3:$K$11,2,0)</f>
        <v>Windows</v>
      </c>
      <c r="H7" t="str">
        <f>'Filtered Data'!F6</f>
        <v>Windows 2012 R2 Standard</v>
      </c>
      <c r="I7" t="s">
        <v>5668</v>
      </c>
      <c r="J7" t="s">
        <v>1609</v>
      </c>
      <c r="K7" t="str">
        <f>VLOOKUP('Filtered Data'!A6,'Input 1 CMDB'!A:I,9,0)</f>
        <v>Azure Active Directory</v>
      </c>
      <c r="L7" t="str">
        <f>'Filtered Data'!K6</f>
        <v>10.76.39.127</v>
      </c>
      <c r="M7" t="str">
        <f t="shared" si="1"/>
        <v>Tesoropetroleum.com</v>
      </c>
      <c r="N7" t="str">
        <f>'Filtered Data'!P6</f>
        <v>lpmachniak@marathonpetroleum.com</v>
      </c>
      <c r="O7" t="str">
        <f>'Filtered Data'!N6</f>
        <v>lpmachniak@marathonpetroleum.com</v>
      </c>
      <c r="P7" t="s">
        <v>5669</v>
      </c>
      <c r="Q7" t="str">
        <f>IF('Filtered Data'!W6,"ITHybridCloudEngineeringOperationsMgmt@Marathonpetroleum.com","mark.newman2@dxc.com")</f>
        <v>ITHybridCloudEngineeringOperationsMgmt@Marathonpetroleum.com</v>
      </c>
      <c r="R7" t="str">
        <f t="shared" si="0"/>
        <v>lpmachniak@marathonpetroleum.com</v>
      </c>
      <c r="S7" s="31" t="s">
        <v>5738</v>
      </c>
      <c r="T7" t="s">
        <v>1381</v>
      </c>
      <c r="U7" t="str">
        <f>'Filtered Data'!V6</f>
        <v/>
      </c>
      <c r="V7" t="str">
        <f>IF('Filtered Data'!W6,"yes","no")</f>
        <v>yes</v>
      </c>
      <c r="W7" t="s">
        <v>15</v>
      </c>
      <c r="X7" t="str">
        <f>'Filtered Data'!X6</f>
        <v>VMware-42 0c 2d f1 7b f1 95 2b-e7 7f bb bb df a4 86 91</v>
      </c>
    </row>
    <row r="8" spans="1:25" x14ac:dyDescent="0.35">
      <c r="A8" t="str">
        <f>'Filtered Data'!A7</f>
        <v>anrefa08</v>
      </c>
      <c r="B8" t="str">
        <f>'Filtered Data'!B7</f>
        <v>ANREFA08.mgroupnet.com</v>
      </c>
      <c r="C8" t="s">
        <v>2</v>
      </c>
      <c r="D8" t="str">
        <f>VLOOKUP('Filtered Data'!Z7,'Data Mapping'!$A$4:$B$7,2,0)</f>
        <v>4 - User</v>
      </c>
      <c r="E8" t="str">
        <f>VLOOKUP('Filtered Data'!C7,'Data Mapping'!$E$3:$F$97,2,0)</f>
        <v>MPCP-US-Anacortes-ANR</v>
      </c>
      <c r="F8" t="str">
        <f>'Filtered Data'!D7</f>
        <v>Production</v>
      </c>
      <c r="G8" t="str">
        <f>VLOOKUP('Filtered Data'!E7,'Data Mapping'!$J$3:$K$11,2,0)</f>
        <v>Windows</v>
      </c>
      <c r="H8" t="str">
        <f>'Filtered Data'!F7</f>
        <v>Windows 2012 R2 Standard</v>
      </c>
      <c r="I8" t="s">
        <v>5668</v>
      </c>
      <c r="J8" t="s">
        <v>1609</v>
      </c>
      <c r="K8" t="str">
        <f>VLOOKUP('Filtered Data'!A7,'Input 1 CMDB'!A:I,9,0)</f>
        <v>Topview</v>
      </c>
      <c r="L8" t="str">
        <f>'Filtered Data'!K7</f>
        <v>10.205.24.134</v>
      </c>
      <c r="M8" t="str">
        <f t="shared" si="1"/>
        <v>mgroupnet.com</v>
      </c>
      <c r="N8" t="str">
        <f>'Filtered Data'!P7</f>
        <v>cmernst@marathonpetroleum.com</v>
      </c>
      <c r="O8" t="str">
        <f>'Filtered Data'!N7</f>
        <v>cmernst@marathonpetroleum.com</v>
      </c>
      <c r="P8" t="s">
        <v>5669</v>
      </c>
      <c r="Q8" t="str">
        <f>IF('Filtered Data'!W7,"ITHybridCloudEngineeringOperationsMgmt@Marathonpetroleum.com","mark.newman2@dxc.com")</f>
        <v>ITHybridCloudEngineeringOperationsMgmt@Marathonpetroleum.com</v>
      </c>
      <c r="R8" t="str">
        <f t="shared" si="0"/>
        <v>cmernst@marathonpetroleum.com</v>
      </c>
      <c r="S8" s="31" t="s">
        <v>5738</v>
      </c>
      <c r="T8" t="s">
        <v>1381</v>
      </c>
      <c r="U8" t="str">
        <f>'Filtered Data'!V7</f>
        <v/>
      </c>
      <c r="V8" t="str">
        <f>IF('Filtered Data'!W7,"yes","no")</f>
        <v>yes</v>
      </c>
      <c r="W8" t="s">
        <v>15</v>
      </c>
      <c r="X8" t="str">
        <f>'Filtered Data'!X7</f>
        <v>VMware-42 2d 61 cf e1 61 7a c8-0b 3d 6f 37 aa e7 44 30</v>
      </c>
    </row>
    <row r="9" spans="1:25" x14ac:dyDescent="0.35">
      <c r="A9" t="str">
        <f>'Filtered Data'!A8</f>
        <v>anrefa14</v>
      </c>
      <c r="B9" t="str">
        <f>'Filtered Data'!B8</f>
        <v>anrefa14.Tesoropetroleum.com</v>
      </c>
      <c r="C9" t="s">
        <v>2</v>
      </c>
      <c r="D9" t="str">
        <f>VLOOKUP('Filtered Data'!Z8,'Data Mapping'!$A$4:$B$7,2,0)</f>
        <v>4 - User</v>
      </c>
      <c r="E9" t="str">
        <f>VLOOKUP('Filtered Data'!C8,'Data Mapping'!$E$3:$F$97,2,0)</f>
        <v>MPCP-US-Anacortes-ANR</v>
      </c>
      <c r="F9" t="str">
        <f>'Filtered Data'!D8</f>
        <v>Production</v>
      </c>
      <c r="G9" t="str">
        <f>VLOOKUP('Filtered Data'!E8,'Data Mapping'!$J$3:$K$11,2,0)</f>
        <v>Windows</v>
      </c>
      <c r="H9" t="str">
        <f>'Filtered Data'!F8</f>
        <v>Windows 2016 Standard</v>
      </c>
      <c r="I9" t="s">
        <v>5668</v>
      </c>
      <c r="J9" t="s">
        <v>1609</v>
      </c>
      <c r="K9" t="str">
        <f>VLOOKUP('Filtered Data'!A8,'Input 1 CMDB'!A:I,9,0)</f>
        <v>PI System</v>
      </c>
      <c r="L9" t="str">
        <f>'Filtered Data'!K8</f>
        <v>10.76.51.29</v>
      </c>
      <c r="M9" t="str">
        <f t="shared" si="1"/>
        <v>Tesoropetroleum.com</v>
      </c>
      <c r="N9" t="str">
        <f>'Filtered Data'!P8</f>
        <v>TWDixon@Marathonpetroleum.com</v>
      </c>
      <c r="O9" t="str">
        <f>'Filtered Data'!N8</f>
        <v>TWDixon@Marathonpetroleum.com</v>
      </c>
      <c r="P9" t="s">
        <v>5669</v>
      </c>
      <c r="Q9" t="str">
        <f>IF('Filtered Data'!W8,"ITHybridCloudEngineeringOperationsMgmt@Marathonpetroleum.com","mark.newman2@dxc.com")</f>
        <v>ITHybridCloudEngineeringOperationsMgmt@Marathonpetroleum.com</v>
      </c>
      <c r="R9" t="str">
        <f t="shared" si="0"/>
        <v>TWDixon@Marathonpetroleum.com</v>
      </c>
      <c r="S9" s="31" t="s">
        <v>5738</v>
      </c>
      <c r="T9" t="s">
        <v>1381</v>
      </c>
      <c r="U9" t="str">
        <f>'Filtered Data'!V8</f>
        <v/>
      </c>
      <c r="V9" t="str">
        <f>IF('Filtered Data'!W8,"yes","no")</f>
        <v>yes</v>
      </c>
      <c r="W9" t="s">
        <v>15</v>
      </c>
      <c r="X9" t="str">
        <f>'Filtered Data'!X8</f>
        <v>VMware-42 0b 3c 3c 6f b2 4d 14-e8 ed 25 bd 15 fe 1d d5</v>
      </c>
    </row>
    <row r="10" spans="1:25" x14ac:dyDescent="0.35">
      <c r="A10">
        <f>'Filtered Data'!A9</f>
        <v>0</v>
      </c>
      <c r="B10">
        <f>'Filtered Data'!B9</f>
        <v>0</v>
      </c>
      <c r="C10" t="s">
        <v>2</v>
      </c>
      <c r="D10" t="e">
        <f>VLOOKUP('Filtered Data'!Z9,'Data Mapping'!$A$4:$B$7,2,0)</f>
        <v>#N/A</v>
      </c>
      <c r="E10" t="e">
        <f>VLOOKUP('Filtered Data'!C9,'Data Mapping'!$E$3:$F$97,2,0)</f>
        <v>#N/A</v>
      </c>
      <c r="F10">
        <f>'Filtered Data'!D9</f>
        <v>0</v>
      </c>
      <c r="G10" t="e">
        <f>VLOOKUP('Filtered Data'!E9,'Data Mapping'!$J$3:$K$11,2,0)</f>
        <v>#N/A</v>
      </c>
      <c r="H10">
        <f>'Filtered Data'!F9</f>
        <v>0</v>
      </c>
      <c r="I10" t="s">
        <v>5668</v>
      </c>
      <c r="J10" t="s">
        <v>1609</v>
      </c>
      <c r="K10" t="e">
        <f>VLOOKUP('Filtered Data'!A9,'Input 1 CMDB'!A:I,9,0)</f>
        <v>#N/A</v>
      </c>
      <c r="L10">
        <f>'Filtered Data'!K9</f>
        <v>0</v>
      </c>
      <c r="M10" t="e">
        <f t="shared" si="1"/>
        <v>#VALUE!</v>
      </c>
      <c r="N10">
        <f>'Filtered Data'!P9</f>
        <v>0</v>
      </c>
      <c r="O10">
        <f>'Filtered Data'!N9</f>
        <v>0</v>
      </c>
      <c r="P10" t="s">
        <v>5669</v>
      </c>
      <c r="Q10" t="str">
        <f>IF('Filtered Data'!W9,"ITHybridCloudEngineeringOperationsMgmt@Marathonpetroleum.com","mark.newman2@dxc.com")</f>
        <v>mark.newman2@dxc.com</v>
      </c>
      <c r="R10">
        <f t="shared" si="0"/>
        <v>0</v>
      </c>
      <c r="S10" s="31" t="s">
        <v>5738</v>
      </c>
      <c r="T10" t="s">
        <v>1381</v>
      </c>
      <c r="U10">
        <f>'Filtered Data'!V9</f>
        <v>0</v>
      </c>
      <c r="V10" t="str">
        <f>IF('Filtered Data'!W9,"yes","no")</f>
        <v>no</v>
      </c>
      <c r="W10" t="s">
        <v>15</v>
      </c>
      <c r="X10">
        <f>'Filtered Data'!X9</f>
        <v>0</v>
      </c>
    </row>
    <row r="11" spans="1:25" x14ac:dyDescent="0.35">
      <c r="A11">
        <f>'Filtered Data'!A10</f>
        <v>0</v>
      </c>
      <c r="B11">
        <f>'Filtered Data'!B10</f>
        <v>0</v>
      </c>
      <c r="C11" t="s">
        <v>2</v>
      </c>
      <c r="D11" t="e">
        <f>VLOOKUP('Filtered Data'!Z10,'Data Mapping'!$A$4:$B$7,2,0)</f>
        <v>#N/A</v>
      </c>
      <c r="E11" t="e">
        <f>VLOOKUP('Filtered Data'!C10,'Data Mapping'!$E$3:$F$97,2,0)</f>
        <v>#N/A</v>
      </c>
      <c r="F11">
        <f>'Filtered Data'!D10</f>
        <v>0</v>
      </c>
      <c r="G11" t="e">
        <f>VLOOKUP('Filtered Data'!E10,'Data Mapping'!$J$3:$K$11,2,0)</f>
        <v>#N/A</v>
      </c>
      <c r="H11">
        <f>'Filtered Data'!F10</f>
        <v>0</v>
      </c>
      <c r="I11" t="s">
        <v>5668</v>
      </c>
      <c r="J11" t="s">
        <v>1609</v>
      </c>
      <c r="K11" t="e">
        <f>VLOOKUP('Filtered Data'!A10,'Input 1 CMDB'!A:I,9,0)</f>
        <v>#N/A</v>
      </c>
      <c r="L11">
        <f>'Filtered Data'!K10</f>
        <v>0</v>
      </c>
      <c r="M11" t="e">
        <f t="shared" si="1"/>
        <v>#VALUE!</v>
      </c>
      <c r="N11">
        <f>'Filtered Data'!P10</f>
        <v>0</v>
      </c>
      <c r="O11">
        <f>'Filtered Data'!N10</f>
        <v>0</v>
      </c>
      <c r="P11" t="s">
        <v>5669</v>
      </c>
      <c r="Q11" t="str">
        <f>IF('Filtered Data'!W10,"ITHybridCloudEngineeringOperationsMgmt@Marathonpetroleum.com","mark.newman2@dxc.com")</f>
        <v>mark.newman2@dxc.com</v>
      </c>
      <c r="R11">
        <f t="shared" si="0"/>
        <v>0</v>
      </c>
      <c r="S11" s="31" t="s">
        <v>5738</v>
      </c>
      <c r="T11" t="s">
        <v>1381</v>
      </c>
      <c r="U11">
        <f>'Filtered Data'!V10</f>
        <v>0</v>
      </c>
      <c r="V11" t="str">
        <f>IF('Filtered Data'!W10,"yes","no")</f>
        <v>no</v>
      </c>
      <c r="W11" t="s">
        <v>15</v>
      </c>
      <c r="X11">
        <f>'Filtered Data'!X10</f>
        <v>0</v>
      </c>
    </row>
    <row r="12" spans="1:25" x14ac:dyDescent="0.35">
      <c r="A12">
        <f>'Filtered Data'!A11</f>
        <v>0</v>
      </c>
      <c r="B12">
        <f>'Filtered Data'!B11</f>
        <v>0</v>
      </c>
      <c r="C12" t="s">
        <v>2</v>
      </c>
      <c r="D12" t="e">
        <f>VLOOKUP('Filtered Data'!Z11,'Data Mapping'!$A$4:$B$7,2,0)</f>
        <v>#N/A</v>
      </c>
      <c r="E12" t="e">
        <f>VLOOKUP('Filtered Data'!C11,'Data Mapping'!$E$3:$F$97,2,0)</f>
        <v>#N/A</v>
      </c>
      <c r="F12">
        <f>'Filtered Data'!D11</f>
        <v>0</v>
      </c>
      <c r="G12" t="e">
        <f>VLOOKUP('Filtered Data'!E11,'Data Mapping'!$J$3:$K$11,2,0)</f>
        <v>#N/A</v>
      </c>
      <c r="H12">
        <f>'Filtered Data'!F11</f>
        <v>0</v>
      </c>
      <c r="I12" t="s">
        <v>5668</v>
      </c>
      <c r="J12" t="s">
        <v>1609</v>
      </c>
      <c r="K12" t="e">
        <f>VLOOKUP('Filtered Data'!A11,'Input 1 CMDB'!A:I,9,0)</f>
        <v>#N/A</v>
      </c>
      <c r="L12">
        <f>'Filtered Data'!K11</f>
        <v>0</v>
      </c>
      <c r="M12" t="e">
        <f t="shared" si="1"/>
        <v>#VALUE!</v>
      </c>
      <c r="N12">
        <f>'Filtered Data'!P11</f>
        <v>0</v>
      </c>
      <c r="O12">
        <f>'Filtered Data'!N11</f>
        <v>0</v>
      </c>
      <c r="P12" t="s">
        <v>5669</v>
      </c>
      <c r="Q12" t="str">
        <f>IF('Filtered Data'!W11,"ITHybridCloudEngineeringOperationsMgmt@Marathonpetroleum.com","mark.newman2@dxc.com")</f>
        <v>mark.newman2@dxc.com</v>
      </c>
      <c r="R12">
        <f t="shared" si="0"/>
        <v>0</v>
      </c>
      <c r="S12" s="31" t="s">
        <v>5738</v>
      </c>
      <c r="T12" t="s">
        <v>1381</v>
      </c>
      <c r="U12">
        <f>'Filtered Data'!V11</f>
        <v>0</v>
      </c>
      <c r="V12" t="str">
        <f>IF('Filtered Data'!W11,"yes","no")</f>
        <v>no</v>
      </c>
      <c r="W12" t="s">
        <v>15</v>
      </c>
      <c r="X12">
        <f>'Filtered Data'!X11</f>
        <v>0</v>
      </c>
    </row>
    <row r="13" spans="1:25" x14ac:dyDescent="0.35">
      <c r="A13">
        <f>'Filtered Data'!A12</f>
        <v>0</v>
      </c>
      <c r="B13">
        <f>'Filtered Data'!B12</f>
        <v>0</v>
      </c>
      <c r="C13" t="s">
        <v>2</v>
      </c>
      <c r="D13" t="e">
        <f>VLOOKUP('Filtered Data'!Z12,'Data Mapping'!$A$4:$B$7,2,0)</f>
        <v>#N/A</v>
      </c>
      <c r="E13" t="e">
        <f>VLOOKUP('Filtered Data'!C12,'Data Mapping'!$E$3:$F$97,2,0)</f>
        <v>#N/A</v>
      </c>
      <c r="F13">
        <f>'Filtered Data'!D12</f>
        <v>0</v>
      </c>
      <c r="G13" t="e">
        <f>VLOOKUP('Filtered Data'!E12,'Data Mapping'!$J$3:$K$11,2,0)</f>
        <v>#N/A</v>
      </c>
      <c r="H13">
        <f>'Filtered Data'!F12</f>
        <v>0</v>
      </c>
      <c r="I13" t="s">
        <v>5668</v>
      </c>
      <c r="J13" t="s">
        <v>1609</v>
      </c>
      <c r="K13" t="e">
        <f>VLOOKUP('Filtered Data'!A12,'Input 1 CMDB'!A:I,9,0)</f>
        <v>#N/A</v>
      </c>
      <c r="L13">
        <f>'Filtered Data'!K12</f>
        <v>0</v>
      </c>
      <c r="M13" t="e">
        <f t="shared" si="1"/>
        <v>#VALUE!</v>
      </c>
      <c r="N13">
        <f>'Filtered Data'!P12</f>
        <v>0</v>
      </c>
      <c r="O13">
        <f>'Filtered Data'!N12</f>
        <v>0</v>
      </c>
      <c r="P13" t="s">
        <v>5669</v>
      </c>
      <c r="Q13" t="str">
        <f>IF('Filtered Data'!W12,"ITHybridCloudEngineeringOperationsMgmt@Marathonpetroleum.com","mark.newman2@dxc.com")</f>
        <v>mark.newman2@dxc.com</v>
      </c>
      <c r="R13">
        <f t="shared" si="0"/>
        <v>0</v>
      </c>
      <c r="S13" s="31" t="s">
        <v>5738</v>
      </c>
      <c r="T13" t="s">
        <v>1381</v>
      </c>
      <c r="U13">
        <f>'Filtered Data'!V12</f>
        <v>0</v>
      </c>
      <c r="V13" t="str">
        <f>IF('Filtered Data'!W12,"yes","no")</f>
        <v>no</v>
      </c>
      <c r="W13" t="s">
        <v>15</v>
      </c>
      <c r="X13">
        <f>'Filtered Data'!X12</f>
        <v>0</v>
      </c>
    </row>
    <row r="14" spans="1:25" x14ac:dyDescent="0.35">
      <c r="A14">
        <f>'Filtered Data'!A13</f>
        <v>0</v>
      </c>
      <c r="B14">
        <f>'Filtered Data'!B13</f>
        <v>0</v>
      </c>
      <c r="C14" t="s">
        <v>2</v>
      </c>
      <c r="D14" t="e">
        <f>VLOOKUP('Filtered Data'!Z13,'Data Mapping'!$A$4:$B$7,2,0)</f>
        <v>#N/A</v>
      </c>
      <c r="E14" t="e">
        <f>VLOOKUP('Filtered Data'!C13,'Data Mapping'!$E$3:$F$97,2,0)</f>
        <v>#N/A</v>
      </c>
      <c r="F14">
        <f>'Filtered Data'!D13</f>
        <v>0</v>
      </c>
      <c r="G14" t="e">
        <f>VLOOKUP('Filtered Data'!E13,'Data Mapping'!$J$3:$K$11,2,0)</f>
        <v>#N/A</v>
      </c>
      <c r="H14">
        <f>'Filtered Data'!F13</f>
        <v>0</v>
      </c>
      <c r="I14" t="s">
        <v>5668</v>
      </c>
      <c r="J14" t="s">
        <v>1609</v>
      </c>
      <c r="K14" t="e">
        <f>VLOOKUP('Filtered Data'!A13,'Input 1 CMDB'!A:I,9,0)</f>
        <v>#N/A</v>
      </c>
      <c r="L14">
        <f>'Filtered Data'!K13</f>
        <v>0</v>
      </c>
      <c r="M14" t="e">
        <f t="shared" si="1"/>
        <v>#VALUE!</v>
      </c>
      <c r="N14">
        <f>'Filtered Data'!P13</f>
        <v>0</v>
      </c>
      <c r="O14">
        <f>'Filtered Data'!N13</f>
        <v>0</v>
      </c>
      <c r="P14" t="s">
        <v>5669</v>
      </c>
      <c r="Q14" t="str">
        <f>IF('Filtered Data'!W13,"ITHybridCloudEngineeringOperationsMgmt@Marathonpetroleum.com","mark.newman2@dxc.com")</f>
        <v>mark.newman2@dxc.com</v>
      </c>
      <c r="R14">
        <f t="shared" si="0"/>
        <v>0</v>
      </c>
      <c r="S14" s="31" t="s">
        <v>5738</v>
      </c>
      <c r="T14" t="s">
        <v>1381</v>
      </c>
      <c r="U14">
        <f>'Filtered Data'!V13</f>
        <v>0</v>
      </c>
      <c r="V14" t="str">
        <f>IF('Filtered Data'!W13,"yes","no")</f>
        <v>no</v>
      </c>
      <c r="W14" t="s">
        <v>15</v>
      </c>
      <c r="X14">
        <f>'Filtered Data'!X13</f>
        <v>0</v>
      </c>
    </row>
    <row r="15" spans="1:25" x14ac:dyDescent="0.35">
      <c r="A15">
        <f>'Filtered Data'!A14</f>
        <v>0</v>
      </c>
      <c r="B15">
        <f>'Filtered Data'!B14</f>
        <v>0</v>
      </c>
      <c r="C15" t="s">
        <v>2</v>
      </c>
      <c r="D15" t="e">
        <f>VLOOKUP('Filtered Data'!Z14,'Data Mapping'!$A$4:$B$7,2,0)</f>
        <v>#N/A</v>
      </c>
      <c r="E15" t="e">
        <f>VLOOKUP('Filtered Data'!C14,'Data Mapping'!$E$3:$F$97,2,0)</f>
        <v>#N/A</v>
      </c>
      <c r="F15">
        <f>'Filtered Data'!D14</f>
        <v>0</v>
      </c>
      <c r="G15" t="e">
        <f>VLOOKUP('Filtered Data'!E14,'Data Mapping'!$J$3:$K$11,2,0)</f>
        <v>#N/A</v>
      </c>
      <c r="H15">
        <f>'Filtered Data'!F14</f>
        <v>0</v>
      </c>
      <c r="I15" t="s">
        <v>5668</v>
      </c>
      <c r="J15" t="s">
        <v>1609</v>
      </c>
      <c r="K15" t="e">
        <f>VLOOKUP('Filtered Data'!A14,'Input 1 CMDB'!A:I,9,0)</f>
        <v>#N/A</v>
      </c>
      <c r="L15">
        <f>'Filtered Data'!K14</f>
        <v>0</v>
      </c>
      <c r="M15" t="e">
        <f t="shared" si="1"/>
        <v>#VALUE!</v>
      </c>
      <c r="N15">
        <f>'Filtered Data'!P14</f>
        <v>0</v>
      </c>
      <c r="O15">
        <f>'Filtered Data'!N14</f>
        <v>0</v>
      </c>
      <c r="P15" t="s">
        <v>5669</v>
      </c>
      <c r="Q15" t="str">
        <f>IF('Filtered Data'!W14,"ITHybridCloudEngineeringOperationsMgmt@Marathonpetroleum.com","mark.newman2@dxc.com")</f>
        <v>mark.newman2@dxc.com</v>
      </c>
      <c r="R15">
        <f t="shared" si="0"/>
        <v>0</v>
      </c>
      <c r="S15" s="31" t="s">
        <v>5738</v>
      </c>
      <c r="T15" t="s">
        <v>1381</v>
      </c>
      <c r="U15">
        <f>'Filtered Data'!V14</f>
        <v>0</v>
      </c>
      <c r="V15" t="str">
        <f>IF('Filtered Data'!W14,"yes","no")</f>
        <v>no</v>
      </c>
      <c r="W15" t="s">
        <v>15</v>
      </c>
      <c r="X15">
        <f>'Filtered Data'!X14</f>
        <v>0</v>
      </c>
    </row>
    <row r="16" spans="1:25" x14ac:dyDescent="0.35">
      <c r="A16">
        <f>'Filtered Data'!A15</f>
        <v>0</v>
      </c>
      <c r="B16">
        <f>'Filtered Data'!B15</f>
        <v>0</v>
      </c>
      <c r="C16" t="s">
        <v>2</v>
      </c>
      <c r="D16" t="e">
        <f>VLOOKUP('Filtered Data'!Z15,'Data Mapping'!$A$4:$B$7,2,0)</f>
        <v>#N/A</v>
      </c>
      <c r="E16" t="e">
        <f>VLOOKUP('Filtered Data'!C15,'Data Mapping'!$E$3:$F$97,2,0)</f>
        <v>#N/A</v>
      </c>
      <c r="F16">
        <f>'Filtered Data'!D15</f>
        <v>0</v>
      </c>
      <c r="G16" t="e">
        <f>VLOOKUP('Filtered Data'!E15,'Data Mapping'!$J$3:$K$11,2,0)</f>
        <v>#N/A</v>
      </c>
      <c r="H16">
        <f>'Filtered Data'!F15</f>
        <v>0</v>
      </c>
      <c r="I16" t="s">
        <v>5668</v>
      </c>
      <c r="J16" t="s">
        <v>1609</v>
      </c>
      <c r="K16" t="e">
        <f>VLOOKUP('Filtered Data'!A15,'Input 1 CMDB'!A:I,9,0)</f>
        <v>#N/A</v>
      </c>
      <c r="L16">
        <f>'Filtered Data'!K15</f>
        <v>0</v>
      </c>
      <c r="M16" t="e">
        <f t="shared" si="1"/>
        <v>#VALUE!</v>
      </c>
      <c r="N16">
        <f>'Filtered Data'!P15</f>
        <v>0</v>
      </c>
      <c r="O16">
        <f>'Filtered Data'!N15</f>
        <v>0</v>
      </c>
      <c r="P16" t="s">
        <v>5669</v>
      </c>
      <c r="Q16" t="str">
        <f>IF('Filtered Data'!W15,"ITHybridCloudEngineeringOperationsMgmt@Marathonpetroleum.com","mark.newman2@dxc.com")</f>
        <v>mark.newman2@dxc.com</v>
      </c>
      <c r="R16">
        <f t="shared" si="0"/>
        <v>0</v>
      </c>
      <c r="S16" s="31" t="s">
        <v>5738</v>
      </c>
      <c r="T16" t="s">
        <v>1381</v>
      </c>
      <c r="U16">
        <f>'Filtered Data'!V15</f>
        <v>0</v>
      </c>
      <c r="V16" t="str">
        <f>IF('Filtered Data'!W15,"yes","no")</f>
        <v>no</v>
      </c>
      <c r="W16" t="s">
        <v>15</v>
      </c>
      <c r="X16">
        <f>'Filtered Data'!X15</f>
        <v>0</v>
      </c>
    </row>
    <row r="17" spans="1:24" x14ac:dyDescent="0.35">
      <c r="A17">
        <f>'Filtered Data'!A16</f>
        <v>0</v>
      </c>
      <c r="B17">
        <f>'Filtered Data'!B16</f>
        <v>0</v>
      </c>
      <c r="C17" t="s">
        <v>2</v>
      </c>
      <c r="D17" t="e">
        <f>VLOOKUP('Filtered Data'!Z16,'Data Mapping'!$A$4:$B$7,2,0)</f>
        <v>#N/A</v>
      </c>
      <c r="E17" t="e">
        <f>VLOOKUP('Filtered Data'!C16,'Data Mapping'!$E$3:$F$97,2,0)</f>
        <v>#N/A</v>
      </c>
      <c r="F17">
        <f>'Filtered Data'!D16</f>
        <v>0</v>
      </c>
      <c r="G17" t="e">
        <f>VLOOKUP('Filtered Data'!E16,'Data Mapping'!$J$3:$K$11,2,0)</f>
        <v>#N/A</v>
      </c>
      <c r="H17">
        <f>'Filtered Data'!F16</f>
        <v>0</v>
      </c>
      <c r="I17" t="s">
        <v>5668</v>
      </c>
      <c r="J17" t="s">
        <v>1609</v>
      </c>
      <c r="K17" t="e">
        <f>VLOOKUP('Filtered Data'!A16,'Input 1 CMDB'!A:I,9,0)</f>
        <v>#N/A</v>
      </c>
      <c r="L17">
        <f>'Filtered Data'!K16</f>
        <v>0</v>
      </c>
      <c r="M17" t="e">
        <f t="shared" si="1"/>
        <v>#VALUE!</v>
      </c>
      <c r="N17">
        <f>'Filtered Data'!P16</f>
        <v>0</v>
      </c>
      <c r="O17">
        <f>'Filtered Data'!N16</f>
        <v>0</v>
      </c>
      <c r="P17" t="s">
        <v>5669</v>
      </c>
      <c r="Q17" t="str">
        <f>IF('Filtered Data'!W16,"ITHybridCloudEngineeringOperationsMgmt@Marathonpetroleum.com","mark.newman2@dxc.com")</f>
        <v>mark.newman2@dxc.com</v>
      </c>
      <c r="R17">
        <f t="shared" si="0"/>
        <v>0</v>
      </c>
      <c r="S17" s="31" t="s">
        <v>5738</v>
      </c>
      <c r="T17" t="s">
        <v>1381</v>
      </c>
      <c r="U17">
        <f>'Filtered Data'!V16</f>
        <v>0</v>
      </c>
      <c r="V17" t="str">
        <f>IF('Filtered Data'!W16,"yes","no")</f>
        <v>no</v>
      </c>
      <c r="W17" t="s">
        <v>15</v>
      </c>
      <c r="X17">
        <f>'Filtered Data'!X16</f>
        <v>0</v>
      </c>
    </row>
    <row r="18" spans="1:24" x14ac:dyDescent="0.35">
      <c r="A18">
        <f>'Filtered Data'!A17</f>
        <v>0</v>
      </c>
      <c r="B18">
        <f>'Filtered Data'!B17</f>
        <v>0</v>
      </c>
      <c r="C18" t="s">
        <v>2</v>
      </c>
      <c r="D18" t="e">
        <f>VLOOKUP('Filtered Data'!Z17,'Data Mapping'!$A$4:$B$7,2,0)</f>
        <v>#N/A</v>
      </c>
      <c r="E18" t="e">
        <f>VLOOKUP('Filtered Data'!C17,'Data Mapping'!$E$3:$F$97,2,0)</f>
        <v>#N/A</v>
      </c>
      <c r="F18">
        <f>'Filtered Data'!D17</f>
        <v>0</v>
      </c>
      <c r="G18" t="e">
        <f>VLOOKUP('Filtered Data'!E17,'Data Mapping'!$J$3:$K$11,2,0)</f>
        <v>#N/A</v>
      </c>
      <c r="H18">
        <f>'Filtered Data'!F17</f>
        <v>0</v>
      </c>
      <c r="I18" t="s">
        <v>5668</v>
      </c>
      <c r="J18" t="s">
        <v>1609</v>
      </c>
      <c r="K18" t="e">
        <f>VLOOKUP('Filtered Data'!A17,'Input 1 CMDB'!A:I,9,0)</f>
        <v>#N/A</v>
      </c>
      <c r="L18">
        <f>'Filtered Data'!K17</f>
        <v>0</v>
      </c>
      <c r="M18" t="e">
        <f t="shared" si="1"/>
        <v>#VALUE!</v>
      </c>
      <c r="N18">
        <f>'Filtered Data'!P17</f>
        <v>0</v>
      </c>
      <c r="O18">
        <f>'Filtered Data'!N17</f>
        <v>0</v>
      </c>
      <c r="P18" t="s">
        <v>5669</v>
      </c>
      <c r="Q18" t="str">
        <f>IF('Filtered Data'!W17,"ITHybridCloudEngineeringOperationsMgmt@Marathonpetroleum.com","mark.newman2@dxc.com")</f>
        <v>mark.newman2@dxc.com</v>
      </c>
      <c r="R18">
        <f t="shared" si="0"/>
        <v>0</v>
      </c>
      <c r="S18" s="31" t="s">
        <v>5738</v>
      </c>
      <c r="T18" t="s">
        <v>1381</v>
      </c>
      <c r="U18">
        <f>'Filtered Data'!V17</f>
        <v>0</v>
      </c>
      <c r="V18" t="str">
        <f>IF('Filtered Data'!W17,"yes","no")</f>
        <v>no</v>
      </c>
      <c r="W18" t="s">
        <v>15</v>
      </c>
      <c r="X18">
        <f>'Filtered Data'!X17</f>
        <v>0</v>
      </c>
    </row>
    <row r="19" spans="1:24" x14ac:dyDescent="0.35">
      <c r="A19">
        <f>'Filtered Data'!A18</f>
        <v>0</v>
      </c>
      <c r="B19">
        <f>'Filtered Data'!B18</f>
        <v>0</v>
      </c>
      <c r="C19" t="s">
        <v>2</v>
      </c>
      <c r="D19" t="e">
        <f>VLOOKUP('Filtered Data'!Z18,'Data Mapping'!$A$4:$B$7,2,0)</f>
        <v>#N/A</v>
      </c>
      <c r="E19" t="e">
        <f>VLOOKUP('Filtered Data'!C18,'Data Mapping'!$E$3:$F$97,2,0)</f>
        <v>#N/A</v>
      </c>
      <c r="F19">
        <f>'Filtered Data'!D18</f>
        <v>0</v>
      </c>
      <c r="G19" t="e">
        <f>VLOOKUP('Filtered Data'!E18,'Data Mapping'!$J$3:$K$11,2,0)</f>
        <v>#N/A</v>
      </c>
      <c r="H19">
        <f>'Filtered Data'!F18</f>
        <v>0</v>
      </c>
      <c r="I19" t="s">
        <v>5668</v>
      </c>
      <c r="J19" t="s">
        <v>1609</v>
      </c>
      <c r="K19" t="e">
        <f>VLOOKUP('Filtered Data'!A18,'Input 1 CMDB'!A:I,9,0)</f>
        <v>#N/A</v>
      </c>
      <c r="L19">
        <f>'Filtered Data'!K18</f>
        <v>0</v>
      </c>
      <c r="M19" t="e">
        <f t="shared" si="1"/>
        <v>#VALUE!</v>
      </c>
      <c r="N19">
        <f>'Filtered Data'!P18</f>
        <v>0</v>
      </c>
      <c r="O19">
        <f>'Filtered Data'!N18</f>
        <v>0</v>
      </c>
      <c r="P19" t="s">
        <v>5669</v>
      </c>
      <c r="Q19" t="str">
        <f>IF('Filtered Data'!W18,"ITHybridCloudEngineeringOperationsMgmt@Marathonpetroleum.com","mark.newman2@dxc.com")</f>
        <v>mark.newman2@dxc.com</v>
      </c>
      <c r="R19">
        <f t="shared" si="0"/>
        <v>0</v>
      </c>
      <c r="S19" s="31" t="s">
        <v>5738</v>
      </c>
      <c r="T19" t="s">
        <v>1381</v>
      </c>
      <c r="U19">
        <f>'Filtered Data'!V18</f>
        <v>0</v>
      </c>
      <c r="V19" t="str">
        <f>IF('Filtered Data'!W18,"yes","no")</f>
        <v>no</v>
      </c>
      <c r="W19" t="s">
        <v>15</v>
      </c>
      <c r="X19">
        <f>'Filtered Data'!X18</f>
        <v>0</v>
      </c>
    </row>
    <row r="20" spans="1:24" x14ac:dyDescent="0.35">
      <c r="A20">
        <f>'Filtered Data'!A19</f>
        <v>0</v>
      </c>
      <c r="B20">
        <f>'Filtered Data'!B19</f>
        <v>0</v>
      </c>
      <c r="C20" t="s">
        <v>2</v>
      </c>
      <c r="D20" t="e">
        <f>VLOOKUP('Filtered Data'!Z19,'Data Mapping'!$A$4:$B$7,2,0)</f>
        <v>#N/A</v>
      </c>
      <c r="E20" t="e">
        <f>VLOOKUP('Filtered Data'!C19,'Data Mapping'!$E$3:$F$97,2,0)</f>
        <v>#N/A</v>
      </c>
      <c r="F20">
        <f>'Filtered Data'!D19</f>
        <v>0</v>
      </c>
      <c r="G20" t="e">
        <f>VLOOKUP('Filtered Data'!E19,'Data Mapping'!$J$3:$K$11,2,0)</f>
        <v>#N/A</v>
      </c>
      <c r="H20">
        <f>'Filtered Data'!F19</f>
        <v>0</v>
      </c>
      <c r="I20" t="s">
        <v>5668</v>
      </c>
      <c r="J20" t="s">
        <v>1609</v>
      </c>
      <c r="K20" t="e">
        <f>VLOOKUP('Filtered Data'!A19,'Input 1 CMDB'!A:I,9,0)</f>
        <v>#N/A</v>
      </c>
      <c r="L20">
        <f>'Filtered Data'!K19</f>
        <v>0</v>
      </c>
      <c r="M20" t="e">
        <f t="shared" si="1"/>
        <v>#VALUE!</v>
      </c>
      <c r="N20">
        <f>'Filtered Data'!P19</f>
        <v>0</v>
      </c>
      <c r="O20">
        <f>'Filtered Data'!N19</f>
        <v>0</v>
      </c>
      <c r="P20" t="s">
        <v>5669</v>
      </c>
      <c r="Q20" t="str">
        <f>IF('Filtered Data'!W19,"ITHybridCloudEngineeringOperationsMgmt@Marathonpetroleum.com","mark.newman2@dxc.com")</f>
        <v>mark.newman2@dxc.com</v>
      </c>
      <c r="R20">
        <f t="shared" ref="R20:R83" si="2">N20</f>
        <v>0</v>
      </c>
      <c r="S20" s="31" t="s">
        <v>5738</v>
      </c>
      <c r="T20" t="s">
        <v>1381</v>
      </c>
      <c r="U20">
        <f>'Filtered Data'!V19</f>
        <v>0</v>
      </c>
      <c r="V20" t="str">
        <f>IF('Filtered Data'!W19,"yes","no")</f>
        <v>no</v>
      </c>
      <c r="W20" t="s">
        <v>15</v>
      </c>
      <c r="X20">
        <f>'Filtered Data'!X19</f>
        <v>0</v>
      </c>
    </row>
    <row r="21" spans="1:24" x14ac:dyDescent="0.35">
      <c r="A21">
        <f>'Filtered Data'!A20</f>
        <v>0</v>
      </c>
      <c r="B21">
        <f>'Filtered Data'!B20</f>
        <v>0</v>
      </c>
      <c r="C21" t="s">
        <v>2</v>
      </c>
      <c r="D21" t="e">
        <f>VLOOKUP('Filtered Data'!Z20,'Data Mapping'!$A$4:$B$7,2,0)</f>
        <v>#N/A</v>
      </c>
      <c r="E21" t="e">
        <f>VLOOKUP('Filtered Data'!C20,'Data Mapping'!$E$3:$F$97,2,0)</f>
        <v>#N/A</v>
      </c>
      <c r="F21">
        <f>'Filtered Data'!D20</f>
        <v>0</v>
      </c>
      <c r="G21" t="e">
        <f>VLOOKUP('Filtered Data'!E20,'Data Mapping'!$J$3:$K$11,2,0)</f>
        <v>#N/A</v>
      </c>
      <c r="H21">
        <f>'Filtered Data'!F20</f>
        <v>0</v>
      </c>
      <c r="I21" t="s">
        <v>5668</v>
      </c>
      <c r="J21" t="s">
        <v>1609</v>
      </c>
      <c r="K21" t="e">
        <f>VLOOKUP('Filtered Data'!A20,'Input 1 CMDB'!A:I,9,0)</f>
        <v>#N/A</v>
      </c>
      <c r="L21">
        <f>'Filtered Data'!K20</f>
        <v>0</v>
      </c>
      <c r="M21" t="e">
        <f t="shared" si="1"/>
        <v>#VALUE!</v>
      </c>
      <c r="N21">
        <f>'Filtered Data'!P20</f>
        <v>0</v>
      </c>
      <c r="O21">
        <f>'Filtered Data'!N20</f>
        <v>0</v>
      </c>
      <c r="P21" t="s">
        <v>5669</v>
      </c>
      <c r="Q21" t="str">
        <f>IF('Filtered Data'!W20,"ITHybridCloudEngineeringOperationsMgmt@Marathonpetroleum.com","mark.newman2@dxc.com")</f>
        <v>mark.newman2@dxc.com</v>
      </c>
      <c r="R21">
        <f t="shared" si="2"/>
        <v>0</v>
      </c>
      <c r="S21" s="31" t="s">
        <v>5738</v>
      </c>
      <c r="T21" t="s">
        <v>1381</v>
      </c>
      <c r="U21">
        <f>'Filtered Data'!V20</f>
        <v>0</v>
      </c>
      <c r="V21" t="str">
        <f>IF('Filtered Data'!W20,"yes","no")</f>
        <v>no</v>
      </c>
      <c r="W21" t="s">
        <v>15</v>
      </c>
      <c r="X21">
        <f>'Filtered Data'!X20</f>
        <v>0</v>
      </c>
    </row>
    <row r="22" spans="1:24" x14ac:dyDescent="0.35">
      <c r="A22">
        <f>'Filtered Data'!A21</f>
        <v>0</v>
      </c>
      <c r="B22">
        <f>'Filtered Data'!B21</f>
        <v>0</v>
      </c>
      <c r="C22" t="s">
        <v>2</v>
      </c>
      <c r="D22" t="e">
        <f>VLOOKUP('Filtered Data'!Z21,'Data Mapping'!$A$4:$B$7,2,0)</f>
        <v>#N/A</v>
      </c>
      <c r="E22" t="e">
        <f>VLOOKUP('Filtered Data'!C21,'Data Mapping'!$E$3:$F$97,2,0)</f>
        <v>#N/A</v>
      </c>
      <c r="F22">
        <f>'Filtered Data'!D21</f>
        <v>0</v>
      </c>
      <c r="G22" t="e">
        <f>VLOOKUP('Filtered Data'!E21,'Data Mapping'!$J$3:$K$11,2,0)</f>
        <v>#N/A</v>
      </c>
      <c r="H22">
        <f>'Filtered Data'!F21</f>
        <v>0</v>
      </c>
      <c r="I22" t="s">
        <v>5668</v>
      </c>
      <c r="J22" t="s">
        <v>1609</v>
      </c>
      <c r="K22" t="e">
        <f>VLOOKUP('Filtered Data'!A21,'Input 1 CMDB'!A:I,9,0)</f>
        <v>#N/A</v>
      </c>
      <c r="L22">
        <f>'Filtered Data'!K21</f>
        <v>0</v>
      </c>
      <c r="M22" t="e">
        <f t="shared" si="1"/>
        <v>#VALUE!</v>
      </c>
      <c r="N22">
        <f>'Filtered Data'!P21</f>
        <v>0</v>
      </c>
      <c r="O22">
        <f>'Filtered Data'!N21</f>
        <v>0</v>
      </c>
      <c r="P22" t="s">
        <v>5669</v>
      </c>
      <c r="Q22" t="str">
        <f>IF('Filtered Data'!W21,"ITHybridCloudEngineeringOperationsMgmt@Marathonpetroleum.com","mark.newman2@dxc.com")</f>
        <v>mark.newman2@dxc.com</v>
      </c>
      <c r="R22">
        <f t="shared" si="2"/>
        <v>0</v>
      </c>
      <c r="S22" s="31" t="s">
        <v>5738</v>
      </c>
      <c r="T22" t="s">
        <v>1381</v>
      </c>
      <c r="U22">
        <f>'Filtered Data'!V21</f>
        <v>0</v>
      </c>
      <c r="V22" t="str">
        <f>IF('Filtered Data'!W21,"yes","no")</f>
        <v>no</v>
      </c>
      <c r="W22" t="s">
        <v>15</v>
      </c>
      <c r="X22">
        <f>'Filtered Data'!X21</f>
        <v>0</v>
      </c>
    </row>
    <row r="23" spans="1:24" x14ac:dyDescent="0.35">
      <c r="A23">
        <f>'Filtered Data'!A22</f>
        <v>0</v>
      </c>
      <c r="B23">
        <f>'Filtered Data'!B22</f>
        <v>0</v>
      </c>
      <c r="C23" t="s">
        <v>2</v>
      </c>
      <c r="D23" t="e">
        <f>VLOOKUP('Filtered Data'!Z22,'Data Mapping'!$A$4:$B$7,2,0)</f>
        <v>#N/A</v>
      </c>
      <c r="E23" t="e">
        <f>VLOOKUP('Filtered Data'!C22,'Data Mapping'!$E$3:$F$97,2,0)</f>
        <v>#N/A</v>
      </c>
      <c r="F23">
        <f>'Filtered Data'!D22</f>
        <v>0</v>
      </c>
      <c r="G23" t="e">
        <f>VLOOKUP('Filtered Data'!E22,'Data Mapping'!$J$3:$K$11,2,0)</f>
        <v>#N/A</v>
      </c>
      <c r="H23">
        <f>'Filtered Data'!F22</f>
        <v>0</v>
      </c>
      <c r="I23" t="s">
        <v>5668</v>
      </c>
      <c r="J23" t="s">
        <v>1609</v>
      </c>
      <c r="K23" t="e">
        <f>VLOOKUP('Filtered Data'!A22,'Input 1 CMDB'!A:I,9,0)</f>
        <v>#N/A</v>
      </c>
      <c r="L23">
        <f>'Filtered Data'!K22</f>
        <v>0</v>
      </c>
      <c r="M23" t="e">
        <f t="shared" si="1"/>
        <v>#VALUE!</v>
      </c>
      <c r="N23">
        <f>'Filtered Data'!P22</f>
        <v>0</v>
      </c>
      <c r="O23">
        <f>'Filtered Data'!N22</f>
        <v>0</v>
      </c>
      <c r="P23" t="s">
        <v>5669</v>
      </c>
      <c r="Q23" t="str">
        <f>IF('Filtered Data'!W22,"ITHybridCloudEngineeringOperationsMgmt@Marathonpetroleum.com","mark.newman2@dxc.com")</f>
        <v>mark.newman2@dxc.com</v>
      </c>
      <c r="R23">
        <f t="shared" si="2"/>
        <v>0</v>
      </c>
      <c r="S23" s="31" t="s">
        <v>5738</v>
      </c>
      <c r="T23" t="s">
        <v>1381</v>
      </c>
      <c r="U23">
        <f>'Filtered Data'!V22</f>
        <v>0</v>
      </c>
      <c r="V23" t="str">
        <f>IF('Filtered Data'!W22,"yes","no")</f>
        <v>no</v>
      </c>
      <c r="W23" t="s">
        <v>15</v>
      </c>
      <c r="X23">
        <f>'Filtered Data'!X22</f>
        <v>0</v>
      </c>
    </row>
    <row r="24" spans="1:24" x14ac:dyDescent="0.35">
      <c r="A24">
        <f>'Filtered Data'!A23</f>
        <v>0</v>
      </c>
      <c r="B24">
        <f>'Filtered Data'!B23</f>
        <v>0</v>
      </c>
      <c r="C24" t="s">
        <v>2</v>
      </c>
      <c r="D24" t="e">
        <f>VLOOKUP('Filtered Data'!Z23,'Data Mapping'!$A$4:$B$7,2,0)</f>
        <v>#N/A</v>
      </c>
      <c r="E24" t="e">
        <f>VLOOKUP('Filtered Data'!C23,'Data Mapping'!$E$3:$F$97,2,0)</f>
        <v>#N/A</v>
      </c>
      <c r="F24">
        <f>'Filtered Data'!D23</f>
        <v>0</v>
      </c>
      <c r="G24" t="e">
        <f>VLOOKUP('Filtered Data'!E23,'Data Mapping'!$J$3:$K$11,2,0)</f>
        <v>#N/A</v>
      </c>
      <c r="H24">
        <f>'Filtered Data'!F23</f>
        <v>0</v>
      </c>
      <c r="I24" t="s">
        <v>5668</v>
      </c>
      <c r="J24" t="s">
        <v>1609</v>
      </c>
      <c r="K24" t="e">
        <f>VLOOKUP('Filtered Data'!A23,'Input 1 CMDB'!A:I,9,0)</f>
        <v>#N/A</v>
      </c>
      <c r="L24">
        <f>'Filtered Data'!K23</f>
        <v>0</v>
      </c>
      <c r="M24" t="e">
        <f t="shared" si="1"/>
        <v>#VALUE!</v>
      </c>
      <c r="N24">
        <f>'Filtered Data'!P23</f>
        <v>0</v>
      </c>
      <c r="O24">
        <f>'Filtered Data'!N23</f>
        <v>0</v>
      </c>
      <c r="P24" t="s">
        <v>5669</v>
      </c>
      <c r="Q24" t="str">
        <f>IF('Filtered Data'!W23,"ITHybridCloudEngineeringOperationsMgmt@Marathonpetroleum.com","mark.newman2@dxc.com")</f>
        <v>mark.newman2@dxc.com</v>
      </c>
      <c r="R24">
        <f t="shared" si="2"/>
        <v>0</v>
      </c>
      <c r="S24" s="31" t="s">
        <v>5738</v>
      </c>
      <c r="T24" t="s">
        <v>1381</v>
      </c>
      <c r="U24">
        <f>'Filtered Data'!V23</f>
        <v>0</v>
      </c>
      <c r="V24" t="str">
        <f>IF('Filtered Data'!W23,"yes","no")</f>
        <v>no</v>
      </c>
      <c r="W24" t="s">
        <v>15</v>
      </c>
      <c r="X24">
        <f>'Filtered Data'!X23</f>
        <v>0</v>
      </c>
    </row>
    <row r="25" spans="1:24" x14ac:dyDescent="0.35">
      <c r="A25">
        <f>'Filtered Data'!A24</f>
        <v>0</v>
      </c>
      <c r="B25">
        <f>'Filtered Data'!B24</f>
        <v>0</v>
      </c>
      <c r="C25" t="s">
        <v>2</v>
      </c>
      <c r="D25" t="e">
        <f>VLOOKUP('Filtered Data'!Z24,'Data Mapping'!$A$4:$B$7,2,0)</f>
        <v>#N/A</v>
      </c>
      <c r="E25" t="e">
        <f>VLOOKUP('Filtered Data'!C24,'Data Mapping'!$E$3:$F$97,2,0)</f>
        <v>#N/A</v>
      </c>
      <c r="F25">
        <f>'Filtered Data'!D24</f>
        <v>0</v>
      </c>
      <c r="G25" t="e">
        <f>VLOOKUP('Filtered Data'!E24,'Data Mapping'!$J$3:$K$11,2,0)</f>
        <v>#N/A</v>
      </c>
      <c r="H25">
        <f>'Filtered Data'!F24</f>
        <v>0</v>
      </c>
      <c r="I25" t="s">
        <v>5668</v>
      </c>
      <c r="J25" t="s">
        <v>1609</v>
      </c>
      <c r="K25" t="e">
        <f>VLOOKUP('Filtered Data'!A24,'Input 1 CMDB'!A:I,9,0)</f>
        <v>#N/A</v>
      </c>
      <c r="L25">
        <f>'Filtered Data'!K24</f>
        <v>0</v>
      </c>
      <c r="M25" t="e">
        <f t="shared" si="1"/>
        <v>#VALUE!</v>
      </c>
      <c r="N25">
        <f>'Filtered Data'!P24</f>
        <v>0</v>
      </c>
      <c r="O25">
        <f>'Filtered Data'!N24</f>
        <v>0</v>
      </c>
      <c r="P25" t="s">
        <v>5669</v>
      </c>
      <c r="Q25" t="str">
        <f>IF('Filtered Data'!W24,"ITHybridCloudEngineeringOperationsMgmt@Marathonpetroleum.com","mark.newman2@dxc.com")</f>
        <v>mark.newman2@dxc.com</v>
      </c>
      <c r="R25">
        <f t="shared" si="2"/>
        <v>0</v>
      </c>
      <c r="S25" s="31" t="s">
        <v>5738</v>
      </c>
      <c r="T25" t="s">
        <v>1381</v>
      </c>
      <c r="U25">
        <f>'Filtered Data'!V24</f>
        <v>0</v>
      </c>
      <c r="V25" t="str">
        <f>IF('Filtered Data'!W24,"yes","no")</f>
        <v>no</v>
      </c>
      <c r="W25" t="s">
        <v>15</v>
      </c>
      <c r="X25">
        <f>'Filtered Data'!X24</f>
        <v>0</v>
      </c>
    </row>
    <row r="26" spans="1:24" x14ac:dyDescent="0.35">
      <c r="A26">
        <f>'Filtered Data'!A25</f>
        <v>0</v>
      </c>
      <c r="B26">
        <f>'Filtered Data'!B25</f>
        <v>0</v>
      </c>
      <c r="C26" t="s">
        <v>2</v>
      </c>
      <c r="D26" t="e">
        <f>VLOOKUP('Filtered Data'!Z25,'Data Mapping'!$A$4:$B$7,2,0)</f>
        <v>#N/A</v>
      </c>
      <c r="E26" t="e">
        <f>VLOOKUP('Filtered Data'!C25,'Data Mapping'!$E$3:$F$97,2,0)</f>
        <v>#N/A</v>
      </c>
      <c r="F26">
        <f>'Filtered Data'!D25</f>
        <v>0</v>
      </c>
      <c r="G26" t="e">
        <f>VLOOKUP('Filtered Data'!E25,'Data Mapping'!$J$3:$K$11,2,0)</f>
        <v>#N/A</v>
      </c>
      <c r="H26">
        <f>'Filtered Data'!F25</f>
        <v>0</v>
      </c>
      <c r="I26" t="s">
        <v>5668</v>
      </c>
      <c r="J26" t="s">
        <v>1609</v>
      </c>
      <c r="K26" t="e">
        <f>VLOOKUP('Filtered Data'!A25,'Input 1 CMDB'!A:I,9,0)</f>
        <v>#N/A</v>
      </c>
      <c r="L26">
        <f>'Filtered Data'!K25</f>
        <v>0</v>
      </c>
      <c r="M26" t="e">
        <f t="shared" si="1"/>
        <v>#VALUE!</v>
      </c>
      <c r="N26">
        <f>'Filtered Data'!P25</f>
        <v>0</v>
      </c>
      <c r="O26">
        <f>'Filtered Data'!N25</f>
        <v>0</v>
      </c>
      <c r="P26" t="s">
        <v>5669</v>
      </c>
      <c r="Q26" t="str">
        <f>IF('Filtered Data'!W25,"ITHybridCloudEngineeringOperationsMgmt@Marathonpetroleum.com","mark.newman2@dxc.com")</f>
        <v>mark.newman2@dxc.com</v>
      </c>
      <c r="R26">
        <f t="shared" si="2"/>
        <v>0</v>
      </c>
      <c r="S26" s="31" t="s">
        <v>5738</v>
      </c>
      <c r="T26" t="s">
        <v>1381</v>
      </c>
      <c r="U26">
        <f>'Filtered Data'!V25</f>
        <v>0</v>
      </c>
      <c r="V26" t="str">
        <f>IF('Filtered Data'!W25,"yes","no")</f>
        <v>no</v>
      </c>
      <c r="W26" t="s">
        <v>15</v>
      </c>
      <c r="X26">
        <f>'Filtered Data'!X25</f>
        <v>0</v>
      </c>
    </row>
    <row r="27" spans="1:24" x14ac:dyDescent="0.35">
      <c r="A27">
        <f>'Filtered Data'!A26</f>
        <v>0</v>
      </c>
      <c r="B27">
        <f>'Filtered Data'!B26</f>
        <v>0</v>
      </c>
      <c r="C27" t="s">
        <v>2</v>
      </c>
      <c r="D27" t="e">
        <f>VLOOKUP('Filtered Data'!Z26,'Data Mapping'!$A$4:$B$7,2,0)</f>
        <v>#N/A</v>
      </c>
      <c r="E27" t="e">
        <f>VLOOKUP('Filtered Data'!C26,'Data Mapping'!$E$3:$F$97,2,0)</f>
        <v>#N/A</v>
      </c>
      <c r="F27">
        <f>'Filtered Data'!D26</f>
        <v>0</v>
      </c>
      <c r="G27" t="e">
        <f>VLOOKUP('Filtered Data'!E26,'Data Mapping'!$J$3:$K$11,2,0)</f>
        <v>#N/A</v>
      </c>
      <c r="H27">
        <f>'Filtered Data'!F26</f>
        <v>0</v>
      </c>
      <c r="I27" t="s">
        <v>5668</v>
      </c>
      <c r="J27" t="s">
        <v>1609</v>
      </c>
      <c r="K27" t="e">
        <f>VLOOKUP('Filtered Data'!A26,'Input 1 CMDB'!A:I,9,0)</f>
        <v>#N/A</v>
      </c>
      <c r="L27">
        <f>'Filtered Data'!K26</f>
        <v>0</v>
      </c>
      <c r="M27" t="e">
        <f t="shared" si="1"/>
        <v>#VALUE!</v>
      </c>
      <c r="N27">
        <f>'Filtered Data'!P26</f>
        <v>0</v>
      </c>
      <c r="O27">
        <f>'Filtered Data'!N26</f>
        <v>0</v>
      </c>
      <c r="P27" t="s">
        <v>5669</v>
      </c>
      <c r="Q27" t="str">
        <f>IF('Filtered Data'!W26,"ITHybridCloudEngineeringOperationsMgmt@Marathonpetroleum.com","mark.newman2@dxc.com")</f>
        <v>mark.newman2@dxc.com</v>
      </c>
      <c r="R27">
        <f t="shared" si="2"/>
        <v>0</v>
      </c>
      <c r="S27" s="31" t="s">
        <v>5738</v>
      </c>
      <c r="T27" t="s">
        <v>1381</v>
      </c>
      <c r="U27">
        <f>'Filtered Data'!V26</f>
        <v>0</v>
      </c>
      <c r="V27" t="str">
        <f>IF('Filtered Data'!W26,"yes","no")</f>
        <v>no</v>
      </c>
      <c r="W27" t="s">
        <v>15</v>
      </c>
      <c r="X27">
        <f>'Filtered Data'!X26</f>
        <v>0</v>
      </c>
    </row>
    <row r="28" spans="1:24" x14ac:dyDescent="0.35">
      <c r="A28">
        <f>'Filtered Data'!A27</f>
        <v>0</v>
      </c>
      <c r="B28">
        <f>'Filtered Data'!B27</f>
        <v>0</v>
      </c>
      <c r="C28" t="s">
        <v>2</v>
      </c>
      <c r="D28" t="e">
        <f>VLOOKUP('Filtered Data'!Z27,'Data Mapping'!$A$4:$B$7,2,0)</f>
        <v>#N/A</v>
      </c>
      <c r="E28" t="e">
        <f>VLOOKUP('Filtered Data'!C27,'Data Mapping'!$E$3:$F$97,2,0)</f>
        <v>#N/A</v>
      </c>
      <c r="F28">
        <f>'Filtered Data'!D27</f>
        <v>0</v>
      </c>
      <c r="G28" t="e">
        <f>VLOOKUP('Filtered Data'!E27,'Data Mapping'!$J$3:$K$11,2,0)</f>
        <v>#N/A</v>
      </c>
      <c r="H28">
        <f>'Filtered Data'!F27</f>
        <v>0</v>
      </c>
      <c r="I28" t="s">
        <v>5668</v>
      </c>
      <c r="J28" t="s">
        <v>1609</v>
      </c>
      <c r="K28" t="e">
        <f>VLOOKUP('Filtered Data'!A27,'Input 1 CMDB'!A:I,9,0)</f>
        <v>#N/A</v>
      </c>
      <c r="L28">
        <f>'Filtered Data'!K27</f>
        <v>0</v>
      </c>
      <c r="M28" t="e">
        <f t="shared" si="1"/>
        <v>#VALUE!</v>
      </c>
      <c r="N28">
        <f>'Filtered Data'!P27</f>
        <v>0</v>
      </c>
      <c r="O28">
        <f>'Filtered Data'!N27</f>
        <v>0</v>
      </c>
      <c r="P28" t="s">
        <v>5669</v>
      </c>
      <c r="Q28" t="str">
        <f>IF('Filtered Data'!W27,"ITHybridCloudEngineeringOperationsMgmt@Marathonpetroleum.com","mark.newman2@dxc.com")</f>
        <v>mark.newman2@dxc.com</v>
      </c>
      <c r="R28">
        <f t="shared" si="2"/>
        <v>0</v>
      </c>
      <c r="S28" s="31" t="s">
        <v>5738</v>
      </c>
      <c r="T28" t="s">
        <v>1381</v>
      </c>
      <c r="U28">
        <f>'Filtered Data'!V27</f>
        <v>0</v>
      </c>
      <c r="V28" t="str">
        <f>IF('Filtered Data'!W27,"yes","no")</f>
        <v>no</v>
      </c>
      <c r="W28" t="s">
        <v>15</v>
      </c>
      <c r="X28">
        <f>'Filtered Data'!X27</f>
        <v>0</v>
      </c>
    </row>
    <row r="29" spans="1:24" x14ac:dyDescent="0.35">
      <c r="A29">
        <f>'Filtered Data'!A28</f>
        <v>0</v>
      </c>
      <c r="B29">
        <f>'Filtered Data'!B28</f>
        <v>0</v>
      </c>
      <c r="C29" t="s">
        <v>2</v>
      </c>
      <c r="D29" t="e">
        <f>VLOOKUP('Filtered Data'!Z28,'Data Mapping'!$A$4:$B$7,2,0)</f>
        <v>#N/A</v>
      </c>
      <c r="E29" t="e">
        <f>VLOOKUP('Filtered Data'!C28,'Data Mapping'!$E$3:$F$97,2,0)</f>
        <v>#N/A</v>
      </c>
      <c r="F29">
        <f>'Filtered Data'!D28</f>
        <v>0</v>
      </c>
      <c r="G29" t="e">
        <f>VLOOKUP('Filtered Data'!E28,'Data Mapping'!$J$3:$K$11,2,0)</f>
        <v>#N/A</v>
      </c>
      <c r="H29">
        <f>'Filtered Data'!F28</f>
        <v>0</v>
      </c>
      <c r="I29" t="s">
        <v>5668</v>
      </c>
      <c r="J29" t="s">
        <v>1609</v>
      </c>
      <c r="K29" t="e">
        <f>VLOOKUP('Filtered Data'!A28,'Input 1 CMDB'!A:I,9,0)</f>
        <v>#N/A</v>
      </c>
      <c r="L29">
        <f>'Filtered Data'!K28</f>
        <v>0</v>
      </c>
      <c r="M29" t="e">
        <f t="shared" si="1"/>
        <v>#VALUE!</v>
      </c>
      <c r="N29">
        <f>'Filtered Data'!P28</f>
        <v>0</v>
      </c>
      <c r="O29">
        <f>'Filtered Data'!N28</f>
        <v>0</v>
      </c>
      <c r="P29" t="s">
        <v>5669</v>
      </c>
      <c r="Q29" t="str">
        <f>IF('Filtered Data'!W28,"ITHybridCloudEngineeringOperationsMgmt@Marathonpetroleum.com","mark.newman2@dxc.com")</f>
        <v>mark.newman2@dxc.com</v>
      </c>
      <c r="R29">
        <f t="shared" si="2"/>
        <v>0</v>
      </c>
      <c r="S29" s="31" t="s">
        <v>5738</v>
      </c>
      <c r="T29" t="s">
        <v>1381</v>
      </c>
      <c r="U29">
        <f>'Filtered Data'!V28</f>
        <v>0</v>
      </c>
      <c r="V29" t="str">
        <f>IF('Filtered Data'!W28,"yes","no")</f>
        <v>no</v>
      </c>
      <c r="W29" t="s">
        <v>15</v>
      </c>
      <c r="X29">
        <f>'Filtered Data'!X28</f>
        <v>0</v>
      </c>
    </row>
    <row r="30" spans="1:24" x14ac:dyDescent="0.35">
      <c r="A30">
        <f>'Filtered Data'!A29</f>
        <v>0</v>
      </c>
      <c r="B30">
        <f>'Filtered Data'!B29</f>
        <v>0</v>
      </c>
      <c r="C30" t="s">
        <v>2</v>
      </c>
      <c r="D30" t="e">
        <f>VLOOKUP('Filtered Data'!Z29,'Data Mapping'!$A$4:$B$7,2,0)</f>
        <v>#N/A</v>
      </c>
      <c r="E30" t="e">
        <f>VLOOKUP('Filtered Data'!C29,'Data Mapping'!$E$3:$F$97,2,0)</f>
        <v>#N/A</v>
      </c>
      <c r="F30">
        <f>'Filtered Data'!D29</f>
        <v>0</v>
      </c>
      <c r="G30" t="e">
        <f>VLOOKUP('Filtered Data'!E29,'Data Mapping'!$J$3:$K$11,2,0)</f>
        <v>#N/A</v>
      </c>
      <c r="H30">
        <f>'Filtered Data'!F29</f>
        <v>0</v>
      </c>
      <c r="I30" t="s">
        <v>5668</v>
      </c>
      <c r="J30" t="s">
        <v>1609</v>
      </c>
      <c r="K30" t="e">
        <f>VLOOKUP('Filtered Data'!A29,'Input 1 CMDB'!A:I,9,0)</f>
        <v>#N/A</v>
      </c>
      <c r="L30">
        <f>'Filtered Data'!K29</f>
        <v>0</v>
      </c>
      <c r="M30" t="e">
        <f t="shared" si="1"/>
        <v>#VALUE!</v>
      </c>
      <c r="N30">
        <f>'Filtered Data'!P29</f>
        <v>0</v>
      </c>
      <c r="O30">
        <f>'Filtered Data'!N29</f>
        <v>0</v>
      </c>
      <c r="P30" t="s">
        <v>5669</v>
      </c>
      <c r="Q30" t="str">
        <f>IF('Filtered Data'!W29,"ITHybridCloudEngineeringOperationsMgmt@Marathonpetroleum.com","mark.newman2@dxc.com")</f>
        <v>mark.newman2@dxc.com</v>
      </c>
      <c r="R30">
        <f t="shared" si="2"/>
        <v>0</v>
      </c>
      <c r="S30" s="31" t="s">
        <v>5738</v>
      </c>
      <c r="T30" t="s">
        <v>1381</v>
      </c>
      <c r="U30">
        <f>'Filtered Data'!V29</f>
        <v>0</v>
      </c>
      <c r="V30" t="str">
        <f>IF('Filtered Data'!W29,"yes","no")</f>
        <v>no</v>
      </c>
      <c r="W30" t="s">
        <v>15</v>
      </c>
      <c r="X30">
        <f>'Filtered Data'!X29</f>
        <v>0</v>
      </c>
    </row>
    <row r="31" spans="1:24" x14ac:dyDescent="0.35">
      <c r="A31">
        <f>'Filtered Data'!A30</f>
        <v>0</v>
      </c>
      <c r="B31">
        <f>'Filtered Data'!B30</f>
        <v>0</v>
      </c>
      <c r="C31" t="s">
        <v>2</v>
      </c>
      <c r="D31" t="e">
        <f>VLOOKUP('Filtered Data'!Z30,'Data Mapping'!$A$4:$B$7,2,0)</f>
        <v>#N/A</v>
      </c>
      <c r="E31" t="e">
        <f>VLOOKUP('Filtered Data'!C30,'Data Mapping'!$E$3:$F$97,2,0)</f>
        <v>#N/A</v>
      </c>
      <c r="F31">
        <f>'Filtered Data'!D30</f>
        <v>0</v>
      </c>
      <c r="G31" t="e">
        <f>VLOOKUP('Filtered Data'!E30,'Data Mapping'!$J$3:$K$11,2,0)</f>
        <v>#N/A</v>
      </c>
      <c r="H31">
        <f>'Filtered Data'!F30</f>
        <v>0</v>
      </c>
      <c r="I31" t="s">
        <v>5668</v>
      </c>
      <c r="J31" t="s">
        <v>1609</v>
      </c>
      <c r="K31" t="e">
        <f>VLOOKUP('Filtered Data'!A30,'Input 1 CMDB'!A:I,9,0)</f>
        <v>#N/A</v>
      </c>
      <c r="L31">
        <f>'Filtered Data'!K30</f>
        <v>0</v>
      </c>
      <c r="M31" t="e">
        <f t="shared" si="1"/>
        <v>#VALUE!</v>
      </c>
      <c r="N31">
        <f>'Filtered Data'!P30</f>
        <v>0</v>
      </c>
      <c r="O31">
        <f>'Filtered Data'!N30</f>
        <v>0</v>
      </c>
      <c r="P31" t="s">
        <v>5669</v>
      </c>
      <c r="Q31" t="str">
        <f>IF('Filtered Data'!W30,"ITHybridCloudEngineeringOperationsMgmt@Marathonpetroleum.com","mark.newman2@dxc.com")</f>
        <v>mark.newman2@dxc.com</v>
      </c>
      <c r="R31">
        <f t="shared" si="2"/>
        <v>0</v>
      </c>
      <c r="S31" s="31" t="s">
        <v>5738</v>
      </c>
      <c r="T31" t="s">
        <v>1381</v>
      </c>
      <c r="U31">
        <f>'Filtered Data'!V30</f>
        <v>0</v>
      </c>
      <c r="V31" t="str">
        <f>IF('Filtered Data'!W30,"yes","no")</f>
        <v>no</v>
      </c>
      <c r="W31" t="s">
        <v>15</v>
      </c>
      <c r="X31">
        <f>'Filtered Data'!X30</f>
        <v>0</v>
      </c>
    </row>
    <row r="32" spans="1:24" x14ac:dyDescent="0.35">
      <c r="A32">
        <f>'Filtered Data'!A31</f>
        <v>0</v>
      </c>
      <c r="B32">
        <f>'Filtered Data'!B31</f>
        <v>0</v>
      </c>
      <c r="C32" t="s">
        <v>2</v>
      </c>
      <c r="D32" t="e">
        <f>VLOOKUP('Filtered Data'!Z31,'Data Mapping'!$A$4:$B$7,2,0)</f>
        <v>#N/A</v>
      </c>
      <c r="E32" t="e">
        <f>VLOOKUP('Filtered Data'!C31,'Data Mapping'!$E$3:$F$97,2,0)</f>
        <v>#N/A</v>
      </c>
      <c r="F32">
        <f>'Filtered Data'!D31</f>
        <v>0</v>
      </c>
      <c r="G32" t="e">
        <f>VLOOKUP('Filtered Data'!E31,'Data Mapping'!$J$3:$K$11,2,0)</f>
        <v>#N/A</v>
      </c>
      <c r="H32">
        <f>'Filtered Data'!F31</f>
        <v>0</v>
      </c>
      <c r="I32" t="s">
        <v>5668</v>
      </c>
      <c r="J32" t="s">
        <v>1609</v>
      </c>
      <c r="K32" t="e">
        <f>VLOOKUP('Filtered Data'!A31,'Input 1 CMDB'!A:I,9,0)</f>
        <v>#N/A</v>
      </c>
      <c r="L32">
        <f>'Filtered Data'!K31</f>
        <v>0</v>
      </c>
      <c r="M32" t="e">
        <f t="shared" si="1"/>
        <v>#VALUE!</v>
      </c>
      <c r="N32">
        <f>'Filtered Data'!P31</f>
        <v>0</v>
      </c>
      <c r="O32">
        <f>'Filtered Data'!N31</f>
        <v>0</v>
      </c>
      <c r="P32" t="s">
        <v>5669</v>
      </c>
      <c r="Q32" t="str">
        <f>IF('Filtered Data'!W31,"ITHybridCloudEngineeringOperationsMgmt@Marathonpetroleum.com","mark.newman2@dxc.com")</f>
        <v>mark.newman2@dxc.com</v>
      </c>
      <c r="R32">
        <f t="shared" si="2"/>
        <v>0</v>
      </c>
      <c r="S32" s="31" t="s">
        <v>5738</v>
      </c>
      <c r="T32" t="s">
        <v>1381</v>
      </c>
      <c r="U32">
        <f>'Filtered Data'!V31</f>
        <v>0</v>
      </c>
      <c r="V32" t="str">
        <f>IF('Filtered Data'!W31,"yes","no")</f>
        <v>no</v>
      </c>
      <c r="W32" t="s">
        <v>15</v>
      </c>
      <c r="X32">
        <f>'Filtered Data'!X31</f>
        <v>0</v>
      </c>
    </row>
    <row r="33" spans="1:24" x14ac:dyDescent="0.35">
      <c r="A33">
        <f>'Filtered Data'!A32</f>
        <v>0</v>
      </c>
      <c r="B33">
        <f>'Filtered Data'!B32</f>
        <v>0</v>
      </c>
      <c r="C33" t="s">
        <v>2</v>
      </c>
      <c r="D33" t="e">
        <f>VLOOKUP('Filtered Data'!Z32,'Data Mapping'!$A$4:$B$7,2,0)</f>
        <v>#N/A</v>
      </c>
      <c r="E33" t="e">
        <f>VLOOKUP('Filtered Data'!C32,'Data Mapping'!$E$3:$F$97,2,0)</f>
        <v>#N/A</v>
      </c>
      <c r="F33">
        <f>'Filtered Data'!D32</f>
        <v>0</v>
      </c>
      <c r="G33" t="e">
        <f>VLOOKUP('Filtered Data'!E32,'Data Mapping'!$J$3:$K$11,2,0)</f>
        <v>#N/A</v>
      </c>
      <c r="H33">
        <f>'Filtered Data'!F32</f>
        <v>0</v>
      </c>
      <c r="I33" t="s">
        <v>5668</v>
      </c>
      <c r="J33" t="s">
        <v>1609</v>
      </c>
      <c r="K33" t="e">
        <f>VLOOKUP('Filtered Data'!A32,'Input 1 CMDB'!A:I,9,0)</f>
        <v>#N/A</v>
      </c>
      <c r="L33">
        <f>'Filtered Data'!K32</f>
        <v>0</v>
      </c>
      <c r="M33" t="e">
        <f t="shared" si="1"/>
        <v>#VALUE!</v>
      </c>
      <c r="N33">
        <f>'Filtered Data'!P32</f>
        <v>0</v>
      </c>
      <c r="O33">
        <f>'Filtered Data'!N32</f>
        <v>0</v>
      </c>
      <c r="P33" t="s">
        <v>5669</v>
      </c>
      <c r="Q33" t="str">
        <f>IF('Filtered Data'!W32,"ITHybridCloudEngineeringOperationsMgmt@Marathonpetroleum.com","mark.newman2@dxc.com")</f>
        <v>mark.newman2@dxc.com</v>
      </c>
      <c r="R33">
        <f t="shared" si="2"/>
        <v>0</v>
      </c>
      <c r="S33" s="31" t="s">
        <v>5738</v>
      </c>
      <c r="T33" t="s">
        <v>1381</v>
      </c>
      <c r="U33">
        <f>'Filtered Data'!V32</f>
        <v>0</v>
      </c>
      <c r="V33" t="str">
        <f>IF('Filtered Data'!W32,"yes","no")</f>
        <v>no</v>
      </c>
      <c r="W33" t="s">
        <v>15</v>
      </c>
      <c r="X33">
        <f>'Filtered Data'!X32</f>
        <v>0</v>
      </c>
    </row>
    <row r="34" spans="1:24" x14ac:dyDescent="0.35">
      <c r="A34">
        <f>'Filtered Data'!A33</f>
        <v>0</v>
      </c>
      <c r="B34">
        <f>'Filtered Data'!B33</f>
        <v>0</v>
      </c>
      <c r="C34" t="s">
        <v>2</v>
      </c>
      <c r="D34" t="e">
        <f>VLOOKUP('Filtered Data'!Z33,'Data Mapping'!$A$4:$B$7,2,0)</f>
        <v>#N/A</v>
      </c>
      <c r="E34" t="e">
        <f>VLOOKUP('Filtered Data'!C33,'Data Mapping'!$E$3:$F$97,2,0)</f>
        <v>#N/A</v>
      </c>
      <c r="F34">
        <f>'Filtered Data'!D33</f>
        <v>0</v>
      </c>
      <c r="G34" t="e">
        <f>VLOOKUP('Filtered Data'!E33,'Data Mapping'!$J$3:$K$11,2,0)</f>
        <v>#N/A</v>
      </c>
      <c r="H34">
        <f>'Filtered Data'!F33</f>
        <v>0</v>
      </c>
      <c r="I34" t="s">
        <v>5668</v>
      </c>
      <c r="J34" t="s">
        <v>1609</v>
      </c>
      <c r="K34" t="e">
        <f>VLOOKUP('Filtered Data'!A33,'Input 1 CMDB'!A:I,9,0)</f>
        <v>#N/A</v>
      </c>
      <c r="L34">
        <f>'Filtered Data'!K33</f>
        <v>0</v>
      </c>
      <c r="M34" t="e">
        <f t="shared" si="1"/>
        <v>#VALUE!</v>
      </c>
      <c r="N34">
        <f>'Filtered Data'!P33</f>
        <v>0</v>
      </c>
      <c r="O34">
        <f>'Filtered Data'!N33</f>
        <v>0</v>
      </c>
      <c r="P34" t="s">
        <v>5669</v>
      </c>
      <c r="Q34" t="str">
        <f>IF('Filtered Data'!W33,"ITHybridCloudEngineeringOperationsMgmt@Marathonpetroleum.com","mark.newman2@dxc.com")</f>
        <v>mark.newman2@dxc.com</v>
      </c>
      <c r="R34">
        <f t="shared" si="2"/>
        <v>0</v>
      </c>
      <c r="S34" s="31" t="s">
        <v>5738</v>
      </c>
      <c r="T34" t="s">
        <v>1381</v>
      </c>
      <c r="U34">
        <f>'Filtered Data'!V33</f>
        <v>0</v>
      </c>
      <c r="V34" t="str">
        <f>IF('Filtered Data'!W33,"yes","no")</f>
        <v>no</v>
      </c>
      <c r="W34" t="s">
        <v>15</v>
      </c>
      <c r="X34">
        <f>'Filtered Data'!X33</f>
        <v>0</v>
      </c>
    </row>
    <row r="35" spans="1:24" x14ac:dyDescent="0.35">
      <c r="A35">
        <f>'Filtered Data'!A34</f>
        <v>0</v>
      </c>
      <c r="B35">
        <f>'Filtered Data'!B34</f>
        <v>0</v>
      </c>
      <c r="C35" t="s">
        <v>2</v>
      </c>
      <c r="D35" t="e">
        <f>VLOOKUP('Filtered Data'!Z34,'Data Mapping'!$A$4:$B$7,2,0)</f>
        <v>#N/A</v>
      </c>
      <c r="E35" t="e">
        <f>VLOOKUP('Filtered Data'!C34,'Data Mapping'!$E$3:$F$97,2,0)</f>
        <v>#N/A</v>
      </c>
      <c r="F35">
        <f>'Filtered Data'!D34</f>
        <v>0</v>
      </c>
      <c r="G35" t="e">
        <f>VLOOKUP('Filtered Data'!E34,'Data Mapping'!$J$3:$K$11,2,0)</f>
        <v>#N/A</v>
      </c>
      <c r="H35">
        <f>'Filtered Data'!F34</f>
        <v>0</v>
      </c>
      <c r="I35" t="s">
        <v>5668</v>
      </c>
      <c r="J35" t="s">
        <v>1609</v>
      </c>
      <c r="K35" t="e">
        <f>VLOOKUP('Filtered Data'!A34,'Input 1 CMDB'!A:I,9,0)</f>
        <v>#N/A</v>
      </c>
      <c r="L35">
        <f>'Filtered Data'!K34</f>
        <v>0</v>
      </c>
      <c r="M35" t="e">
        <f t="shared" si="1"/>
        <v>#VALUE!</v>
      </c>
      <c r="N35">
        <f>'Filtered Data'!P34</f>
        <v>0</v>
      </c>
      <c r="O35">
        <f>'Filtered Data'!N34</f>
        <v>0</v>
      </c>
      <c r="P35" t="s">
        <v>5669</v>
      </c>
      <c r="Q35" t="str">
        <f>IF('Filtered Data'!W34,"ITHybridCloudEngineeringOperationsMgmt@Marathonpetroleum.com","mark.newman2@dxc.com")</f>
        <v>mark.newman2@dxc.com</v>
      </c>
      <c r="R35">
        <f t="shared" si="2"/>
        <v>0</v>
      </c>
      <c r="S35" s="31" t="s">
        <v>5738</v>
      </c>
      <c r="T35" t="s">
        <v>1381</v>
      </c>
      <c r="U35">
        <f>'Filtered Data'!V34</f>
        <v>0</v>
      </c>
      <c r="V35" t="str">
        <f>IF('Filtered Data'!W34,"yes","no")</f>
        <v>no</v>
      </c>
      <c r="W35" t="s">
        <v>15</v>
      </c>
      <c r="X35">
        <f>'Filtered Data'!X34</f>
        <v>0</v>
      </c>
    </row>
    <row r="36" spans="1:24" x14ac:dyDescent="0.35">
      <c r="A36">
        <f>'Filtered Data'!A35</f>
        <v>0</v>
      </c>
      <c r="B36">
        <f>'Filtered Data'!B35</f>
        <v>0</v>
      </c>
      <c r="C36" t="s">
        <v>2</v>
      </c>
      <c r="D36" t="e">
        <f>VLOOKUP('Filtered Data'!Z35,'Data Mapping'!$A$4:$B$7,2,0)</f>
        <v>#N/A</v>
      </c>
      <c r="E36" t="e">
        <f>VLOOKUP('Filtered Data'!C35,'Data Mapping'!$E$3:$F$97,2,0)</f>
        <v>#N/A</v>
      </c>
      <c r="F36">
        <f>'Filtered Data'!D35</f>
        <v>0</v>
      </c>
      <c r="G36" t="e">
        <f>VLOOKUP('Filtered Data'!E35,'Data Mapping'!$J$3:$K$11,2,0)</f>
        <v>#N/A</v>
      </c>
      <c r="H36">
        <f>'Filtered Data'!F35</f>
        <v>0</v>
      </c>
      <c r="I36" t="s">
        <v>5668</v>
      </c>
      <c r="J36" t="s">
        <v>1609</v>
      </c>
      <c r="K36" t="e">
        <f>VLOOKUP('Filtered Data'!A35,'Input 1 CMDB'!A:I,9,0)</f>
        <v>#N/A</v>
      </c>
      <c r="L36">
        <f>'Filtered Data'!K35</f>
        <v>0</v>
      </c>
      <c r="M36" t="e">
        <f t="shared" si="1"/>
        <v>#VALUE!</v>
      </c>
      <c r="N36">
        <f>'Filtered Data'!P35</f>
        <v>0</v>
      </c>
      <c r="O36">
        <f>'Filtered Data'!N35</f>
        <v>0</v>
      </c>
      <c r="P36" t="s">
        <v>5669</v>
      </c>
      <c r="Q36" t="str">
        <f>IF('Filtered Data'!W35,"ITHybridCloudEngineeringOperationsMgmt@Marathonpetroleum.com","mark.newman2@dxc.com")</f>
        <v>mark.newman2@dxc.com</v>
      </c>
      <c r="R36">
        <f t="shared" si="2"/>
        <v>0</v>
      </c>
      <c r="S36" s="31" t="s">
        <v>5738</v>
      </c>
      <c r="T36" t="s">
        <v>1381</v>
      </c>
      <c r="U36">
        <f>'Filtered Data'!V35</f>
        <v>0</v>
      </c>
      <c r="V36" t="str">
        <f>IF('Filtered Data'!W35,"yes","no")</f>
        <v>no</v>
      </c>
      <c r="W36" t="s">
        <v>15</v>
      </c>
      <c r="X36">
        <f>'Filtered Data'!X35</f>
        <v>0</v>
      </c>
    </row>
    <row r="37" spans="1:24" x14ac:dyDescent="0.35">
      <c r="A37">
        <f>'Filtered Data'!A36</f>
        <v>0</v>
      </c>
      <c r="B37">
        <f>'Filtered Data'!B36</f>
        <v>0</v>
      </c>
      <c r="C37" t="s">
        <v>2</v>
      </c>
      <c r="D37" t="e">
        <f>VLOOKUP('Filtered Data'!Z36,'Data Mapping'!$A$4:$B$7,2,0)</f>
        <v>#N/A</v>
      </c>
      <c r="E37" t="e">
        <f>VLOOKUP('Filtered Data'!C36,'Data Mapping'!$E$3:$F$97,2,0)</f>
        <v>#N/A</v>
      </c>
      <c r="F37">
        <f>'Filtered Data'!D36</f>
        <v>0</v>
      </c>
      <c r="G37" t="e">
        <f>VLOOKUP('Filtered Data'!E36,'Data Mapping'!$J$3:$K$11,2,0)</f>
        <v>#N/A</v>
      </c>
      <c r="H37">
        <f>'Filtered Data'!F36</f>
        <v>0</v>
      </c>
      <c r="I37" t="s">
        <v>5668</v>
      </c>
      <c r="J37" t="s">
        <v>1609</v>
      </c>
      <c r="K37" t="e">
        <f>VLOOKUP('Filtered Data'!A36,'Input 1 CMDB'!A:I,9,0)</f>
        <v>#N/A</v>
      </c>
      <c r="L37">
        <f>'Filtered Data'!K36</f>
        <v>0</v>
      </c>
      <c r="M37" t="e">
        <f t="shared" si="1"/>
        <v>#VALUE!</v>
      </c>
      <c r="N37">
        <f>'Filtered Data'!P36</f>
        <v>0</v>
      </c>
      <c r="O37">
        <f>'Filtered Data'!N36</f>
        <v>0</v>
      </c>
      <c r="P37" t="s">
        <v>5669</v>
      </c>
      <c r="Q37" t="str">
        <f>IF('Filtered Data'!W36,"ITHybridCloudEngineeringOperationsMgmt@Marathonpetroleum.com","mark.newman2@dxc.com")</f>
        <v>mark.newman2@dxc.com</v>
      </c>
      <c r="R37">
        <f t="shared" si="2"/>
        <v>0</v>
      </c>
      <c r="S37" s="31" t="s">
        <v>5738</v>
      </c>
      <c r="T37" t="s">
        <v>1381</v>
      </c>
      <c r="U37">
        <f>'Filtered Data'!V36</f>
        <v>0</v>
      </c>
      <c r="V37" t="str">
        <f>IF('Filtered Data'!W36,"yes","no")</f>
        <v>no</v>
      </c>
      <c r="W37" t="s">
        <v>15</v>
      </c>
      <c r="X37">
        <f>'Filtered Data'!X36</f>
        <v>0</v>
      </c>
    </row>
    <row r="38" spans="1:24" x14ac:dyDescent="0.35">
      <c r="A38">
        <f>'Filtered Data'!A37</f>
        <v>0</v>
      </c>
      <c r="B38">
        <f>'Filtered Data'!B37</f>
        <v>0</v>
      </c>
      <c r="C38" t="s">
        <v>2</v>
      </c>
      <c r="D38" t="e">
        <f>VLOOKUP('Filtered Data'!Z37,'Data Mapping'!$A$4:$B$7,2,0)</f>
        <v>#N/A</v>
      </c>
      <c r="E38" t="e">
        <f>VLOOKUP('Filtered Data'!C37,'Data Mapping'!$E$3:$F$97,2,0)</f>
        <v>#N/A</v>
      </c>
      <c r="F38">
        <f>'Filtered Data'!D37</f>
        <v>0</v>
      </c>
      <c r="G38" t="e">
        <f>VLOOKUP('Filtered Data'!E37,'Data Mapping'!$J$3:$K$11,2,0)</f>
        <v>#N/A</v>
      </c>
      <c r="H38">
        <f>'Filtered Data'!F37</f>
        <v>0</v>
      </c>
      <c r="I38" t="s">
        <v>5668</v>
      </c>
      <c r="J38" t="s">
        <v>1609</v>
      </c>
      <c r="K38" t="e">
        <f>VLOOKUP('Filtered Data'!A37,'Input 1 CMDB'!A:I,9,0)</f>
        <v>#N/A</v>
      </c>
      <c r="L38">
        <f>'Filtered Data'!K37</f>
        <v>0</v>
      </c>
      <c r="M38" t="e">
        <f t="shared" si="1"/>
        <v>#VALUE!</v>
      </c>
      <c r="N38">
        <f>'Filtered Data'!P37</f>
        <v>0</v>
      </c>
      <c r="O38">
        <f>'Filtered Data'!N37</f>
        <v>0</v>
      </c>
      <c r="P38" t="s">
        <v>5669</v>
      </c>
      <c r="Q38" t="str">
        <f>IF('Filtered Data'!W37,"ITHybridCloudEngineeringOperationsMgmt@Marathonpetroleum.com","mark.newman2@dxc.com")</f>
        <v>mark.newman2@dxc.com</v>
      </c>
      <c r="R38">
        <f t="shared" si="2"/>
        <v>0</v>
      </c>
      <c r="S38" s="31" t="s">
        <v>5738</v>
      </c>
      <c r="T38" t="s">
        <v>1381</v>
      </c>
      <c r="U38">
        <f>'Filtered Data'!V37</f>
        <v>0</v>
      </c>
      <c r="V38" t="str">
        <f>IF('Filtered Data'!W37,"yes","no")</f>
        <v>no</v>
      </c>
      <c r="W38" t="s">
        <v>15</v>
      </c>
      <c r="X38">
        <f>'Filtered Data'!X37</f>
        <v>0</v>
      </c>
    </row>
    <row r="39" spans="1:24" x14ac:dyDescent="0.35">
      <c r="A39">
        <f>'Filtered Data'!A38</f>
        <v>0</v>
      </c>
      <c r="B39">
        <f>'Filtered Data'!B38</f>
        <v>0</v>
      </c>
      <c r="C39" t="s">
        <v>2</v>
      </c>
      <c r="D39" t="e">
        <f>VLOOKUP('Filtered Data'!Z38,'Data Mapping'!$A$4:$B$7,2,0)</f>
        <v>#N/A</v>
      </c>
      <c r="E39" t="e">
        <f>VLOOKUP('Filtered Data'!C38,'Data Mapping'!$E$3:$F$97,2,0)</f>
        <v>#N/A</v>
      </c>
      <c r="F39">
        <f>'Filtered Data'!D38</f>
        <v>0</v>
      </c>
      <c r="G39" t="e">
        <f>VLOOKUP('Filtered Data'!E38,'Data Mapping'!$J$3:$K$11,2,0)</f>
        <v>#N/A</v>
      </c>
      <c r="H39">
        <f>'Filtered Data'!F38</f>
        <v>0</v>
      </c>
      <c r="I39" t="s">
        <v>5668</v>
      </c>
      <c r="J39" t="s">
        <v>1609</v>
      </c>
      <c r="K39" t="e">
        <f>VLOOKUP('Filtered Data'!A38,'Input 1 CMDB'!A:I,9,0)</f>
        <v>#N/A</v>
      </c>
      <c r="L39">
        <f>'Filtered Data'!K38</f>
        <v>0</v>
      </c>
      <c r="M39" t="e">
        <f t="shared" si="1"/>
        <v>#VALUE!</v>
      </c>
      <c r="N39">
        <f>'Filtered Data'!P38</f>
        <v>0</v>
      </c>
      <c r="O39">
        <f>'Filtered Data'!N38</f>
        <v>0</v>
      </c>
      <c r="P39" t="s">
        <v>5669</v>
      </c>
      <c r="Q39" t="str">
        <f>IF('Filtered Data'!W38,"ITHybridCloudEngineeringOperationsMgmt@Marathonpetroleum.com","mark.newman2@dxc.com")</f>
        <v>mark.newman2@dxc.com</v>
      </c>
      <c r="R39">
        <f t="shared" si="2"/>
        <v>0</v>
      </c>
      <c r="S39" s="31" t="s">
        <v>5738</v>
      </c>
      <c r="T39" t="s">
        <v>1381</v>
      </c>
      <c r="U39">
        <f>'Filtered Data'!V38</f>
        <v>0</v>
      </c>
      <c r="V39" t="str">
        <f>IF('Filtered Data'!W38,"yes","no")</f>
        <v>no</v>
      </c>
      <c r="W39" t="s">
        <v>15</v>
      </c>
      <c r="X39">
        <f>'Filtered Data'!X38</f>
        <v>0</v>
      </c>
    </row>
    <row r="40" spans="1:24" x14ac:dyDescent="0.35">
      <c r="A40">
        <f>'Filtered Data'!A39</f>
        <v>0</v>
      </c>
      <c r="B40">
        <f>'Filtered Data'!B39</f>
        <v>0</v>
      </c>
      <c r="C40" t="s">
        <v>2</v>
      </c>
      <c r="D40" t="e">
        <f>VLOOKUP('Filtered Data'!Z39,'Data Mapping'!$A$4:$B$7,2,0)</f>
        <v>#N/A</v>
      </c>
      <c r="E40" t="e">
        <f>VLOOKUP('Filtered Data'!C39,'Data Mapping'!$E$3:$F$97,2,0)</f>
        <v>#N/A</v>
      </c>
      <c r="F40">
        <f>'Filtered Data'!D39</f>
        <v>0</v>
      </c>
      <c r="G40" t="e">
        <f>VLOOKUP('Filtered Data'!E39,'Data Mapping'!$J$3:$K$11,2,0)</f>
        <v>#N/A</v>
      </c>
      <c r="H40">
        <f>'Filtered Data'!F39</f>
        <v>0</v>
      </c>
      <c r="I40" t="s">
        <v>5668</v>
      </c>
      <c r="J40" t="s">
        <v>1609</v>
      </c>
      <c r="K40" t="e">
        <f>VLOOKUP('Filtered Data'!A39,'Input 1 CMDB'!A:I,9,0)</f>
        <v>#N/A</v>
      </c>
      <c r="L40">
        <f>'Filtered Data'!K39</f>
        <v>0</v>
      </c>
      <c r="M40" t="e">
        <f t="shared" si="1"/>
        <v>#VALUE!</v>
      </c>
      <c r="N40">
        <f>'Filtered Data'!P39</f>
        <v>0</v>
      </c>
      <c r="O40">
        <f>'Filtered Data'!N39</f>
        <v>0</v>
      </c>
      <c r="P40" t="s">
        <v>5669</v>
      </c>
      <c r="Q40" t="str">
        <f>IF('Filtered Data'!W39,"ITHybridCloudEngineeringOperationsMgmt@Marathonpetroleum.com","mark.newman2@dxc.com")</f>
        <v>mark.newman2@dxc.com</v>
      </c>
      <c r="R40">
        <f t="shared" si="2"/>
        <v>0</v>
      </c>
      <c r="S40" s="31" t="s">
        <v>5738</v>
      </c>
      <c r="T40" t="s">
        <v>1381</v>
      </c>
      <c r="U40">
        <f>'Filtered Data'!V39</f>
        <v>0</v>
      </c>
      <c r="V40" t="str">
        <f>IF('Filtered Data'!W39,"yes","no")</f>
        <v>no</v>
      </c>
      <c r="W40" t="s">
        <v>15</v>
      </c>
      <c r="X40">
        <f>'Filtered Data'!X39</f>
        <v>0</v>
      </c>
    </row>
    <row r="41" spans="1:24" x14ac:dyDescent="0.35">
      <c r="A41">
        <f>'Filtered Data'!A40</f>
        <v>0</v>
      </c>
      <c r="B41">
        <f>'Filtered Data'!B40</f>
        <v>0</v>
      </c>
      <c r="C41" t="s">
        <v>2</v>
      </c>
      <c r="D41" t="e">
        <f>VLOOKUP('Filtered Data'!Z40,'Data Mapping'!$A$4:$B$7,2,0)</f>
        <v>#N/A</v>
      </c>
      <c r="E41" t="e">
        <f>VLOOKUP('Filtered Data'!C40,'Data Mapping'!$E$3:$F$97,2,0)</f>
        <v>#N/A</v>
      </c>
      <c r="F41">
        <f>'Filtered Data'!D40</f>
        <v>0</v>
      </c>
      <c r="G41" t="e">
        <f>VLOOKUP('Filtered Data'!E40,'Data Mapping'!$J$3:$K$11,2,0)</f>
        <v>#N/A</v>
      </c>
      <c r="H41">
        <f>'Filtered Data'!F40</f>
        <v>0</v>
      </c>
      <c r="I41" t="s">
        <v>5668</v>
      </c>
      <c r="J41" t="s">
        <v>1609</v>
      </c>
      <c r="K41" t="e">
        <f>VLOOKUP('Filtered Data'!A40,'Input 1 CMDB'!A:I,9,0)</f>
        <v>#N/A</v>
      </c>
      <c r="L41">
        <f>'Filtered Data'!K40</f>
        <v>0</v>
      </c>
      <c r="M41" t="e">
        <f t="shared" si="1"/>
        <v>#VALUE!</v>
      </c>
      <c r="N41">
        <f>'Filtered Data'!P40</f>
        <v>0</v>
      </c>
      <c r="O41">
        <f>'Filtered Data'!N40</f>
        <v>0</v>
      </c>
      <c r="P41" t="s">
        <v>5669</v>
      </c>
      <c r="Q41" t="str">
        <f>IF('Filtered Data'!W40,"ITHybridCloudEngineeringOperationsMgmt@Marathonpetroleum.com","mark.newman2@dxc.com")</f>
        <v>mark.newman2@dxc.com</v>
      </c>
      <c r="R41">
        <f t="shared" si="2"/>
        <v>0</v>
      </c>
      <c r="S41" s="31" t="s">
        <v>5738</v>
      </c>
      <c r="T41" t="s">
        <v>1381</v>
      </c>
      <c r="U41">
        <f>'Filtered Data'!V40</f>
        <v>0</v>
      </c>
      <c r="V41" t="str">
        <f>IF('Filtered Data'!W40,"yes","no")</f>
        <v>no</v>
      </c>
      <c r="W41" t="s">
        <v>15</v>
      </c>
      <c r="X41">
        <f>'Filtered Data'!X40</f>
        <v>0</v>
      </c>
    </row>
    <row r="42" spans="1:24" x14ac:dyDescent="0.35">
      <c r="A42">
        <f>'Filtered Data'!A41</f>
        <v>0</v>
      </c>
      <c r="B42">
        <f>'Filtered Data'!B41</f>
        <v>0</v>
      </c>
      <c r="C42" t="s">
        <v>2</v>
      </c>
      <c r="D42" t="e">
        <f>VLOOKUP('Filtered Data'!Z41,'Data Mapping'!$A$4:$B$7,2,0)</f>
        <v>#N/A</v>
      </c>
      <c r="E42" t="e">
        <f>VLOOKUP('Filtered Data'!C41,'Data Mapping'!$E$3:$F$97,2,0)</f>
        <v>#N/A</v>
      </c>
      <c r="F42">
        <f>'Filtered Data'!D41</f>
        <v>0</v>
      </c>
      <c r="G42" t="e">
        <f>VLOOKUP('Filtered Data'!E41,'Data Mapping'!$J$3:$K$11,2,0)</f>
        <v>#N/A</v>
      </c>
      <c r="H42">
        <f>'Filtered Data'!F41</f>
        <v>0</v>
      </c>
      <c r="I42" t="s">
        <v>5668</v>
      </c>
      <c r="J42" t="s">
        <v>1609</v>
      </c>
      <c r="K42" t="e">
        <f>VLOOKUP('Filtered Data'!A41,'Input 1 CMDB'!A:I,9,0)</f>
        <v>#N/A</v>
      </c>
      <c r="L42">
        <f>'Filtered Data'!K41</f>
        <v>0</v>
      </c>
      <c r="M42" t="e">
        <f t="shared" si="1"/>
        <v>#VALUE!</v>
      </c>
      <c r="N42">
        <f>'Filtered Data'!P41</f>
        <v>0</v>
      </c>
      <c r="O42">
        <f>'Filtered Data'!N41</f>
        <v>0</v>
      </c>
      <c r="P42" t="s">
        <v>5669</v>
      </c>
      <c r="Q42" t="str">
        <f>IF('Filtered Data'!W41,"ITHybridCloudEngineeringOperationsMgmt@Marathonpetroleum.com","mark.newman2@dxc.com")</f>
        <v>mark.newman2@dxc.com</v>
      </c>
      <c r="R42">
        <f t="shared" si="2"/>
        <v>0</v>
      </c>
      <c r="S42" s="31" t="s">
        <v>5738</v>
      </c>
      <c r="T42" t="s">
        <v>1381</v>
      </c>
      <c r="U42">
        <f>'Filtered Data'!V41</f>
        <v>0</v>
      </c>
      <c r="V42" t="str">
        <f>IF('Filtered Data'!W41,"yes","no")</f>
        <v>no</v>
      </c>
      <c r="W42" t="s">
        <v>15</v>
      </c>
      <c r="X42">
        <f>'Filtered Data'!X41</f>
        <v>0</v>
      </c>
    </row>
    <row r="43" spans="1:24" x14ac:dyDescent="0.35">
      <c r="A43">
        <f>'Filtered Data'!A42</f>
        <v>0</v>
      </c>
      <c r="B43">
        <f>'Filtered Data'!B42</f>
        <v>0</v>
      </c>
      <c r="C43" t="s">
        <v>2</v>
      </c>
      <c r="D43" t="e">
        <f>VLOOKUP('Filtered Data'!Z42,'Data Mapping'!$A$4:$B$7,2,0)</f>
        <v>#N/A</v>
      </c>
      <c r="E43" t="e">
        <f>VLOOKUP('Filtered Data'!C42,'Data Mapping'!$E$3:$F$97,2,0)</f>
        <v>#N/A</v>
      </c>
      <c r="F43">
        <f>'Filtered Data'!D42</f>
        <v>0</v>
      </c>
      <c r="G43" t="e">
        <f>VLOOKUP('Filtered Data'!E42,'Data Mapping'!$J$3:$K$11,2,0)</f>
        <v>#N/A</v>
      </c>
      <c r="H43">
        <f>'Filtered Data'!F42</f>
        <v>0</v>
      </c>
      <c r="I43" t="s">
        <v>5668</v>
      </c>
      <c r="J43" t="s">
        <v>1609</v>
      </c>
      <c r="K43" t="e">
        <f>VLOOKUP('Filtered Data'!A42,'Input 1 CMDB'!A:I,9,0)</f>
        <v>#N/A</v>
      </c>
      <c r="L43">
        <f>'Filtered Data'!K42</f>
        <v>0</v>
      </c>
      <c r="M43" t="e">
        <f t="shared" si="1"/>
        <v>#VALUE!</v>
      </c>
      <c r="N43">
        <f>'Filtered Data'!P42</f>
        <v>0</v>
      </c>
      <c r="O43">
        <f>'Filtered Data'!N42</f>
        <v>0</v>
      </c>
      <c r="P43" t="s">
        <v>5669</v>
      </c>
      <c r="Q43" t="str">
        <f>IF('Filtered Data'!W42,"ITHybridCloudEngineeringOperationsMgmt@Marathonpetroleum.com","mark.newman2@dxc.com")</f>
        <v>mark.newman2@dxc.com</v>
      </c>
      <c r="R43">
        <f t="shared" si="2"/>
        <v>0</v>
      </c>
      <c r="S43" s="31" t="s">
        <v>5738</v>
      </c>
      <c r="T43" t="s">
        <v>1381</v>
      </c>
      <c r="U43">
        <f>'Filtered Data'!V42</f>
        <v>0</v>
      </c>
      <c r="V43" t="str">
        <f>IF('Filtered Data'!W42,"yes","no")</f>
        <v>no</v>
      </c>
      <c r="W43" t="s">
        <v>15</v>
      </c>
      <c r="X43">
        <f>'Filtered Data'!X42</f>
        <v>0</v>
      </c>
    </row>
    <row r="44" spans="1:24" x14ac:dyDescent="0.35">
      <c r="A44">
        <f>'Filtered Data'!A43</f>
        <v>0</v>
      </c>
      <c r="B44">
        <f>'Filtered Data'!B43</f>
        <v>0</v>
      </c>
      <c r="C44" t="s">
        <v>2</v>
      </c>
      <c r="D44" t="e">
        <f>VLOOKUP('Filtered Data'!Z43,'Data Mapping'!$A$4:$B$7,2,0)</f>
        <v>#N/A</v>
      </c>
      <c r="E44" t="e">
        <f>VLOOKUP('Filtered Data'!C43,'Data Mapping'!$E$3:$F$97,2,0)</f>
        <v>#N/A</v>
      </c>
      <c r="F44">
        <f>'Filtered Data'!D43</f>
        <v>0</v>
      </c>
      <c r="G44" t="e">
        <f>VLOOKUP('Filtered Data'!E43,'Data Mapping'!$J$3:$K$11,2,0)</f>
        <v>#N/A</v>
      </c>
      <c r="H44">
        <f>'Filtered Data'!F43</f>
        <v>0</v>
      </c>
      <c r="I44" t="s">
        <v>5668</v>
      </c>
      <c r="J44" t="s">
        <v>1609</v>
      </c>
      <c r="K44" t="e">
        <f>VLOOKUP('Filtered Data'!A43,'Input 1 CMDB'!A:I,9,0)</f>
        <v>#N/A</v>
      </c>
      <c r="L44">
        <f>'Filtered Data'!K43</f>
        <v>0</v>
      </c>
      <c r="M44" t="e">
        <f t="shared" si="1"/>
        <v>#VALUE!</v>
      </c>
      <c r="N44">
        <f>'Filtered Data'!P43</f>
        <v>0</v>
      </c>
      <c r="O44">
        <f>'Filtered Data'!N43</f>
        <v>0</v>
      </c>
      <c r="P44" t="s">
        <v>5669</v>
      </c>
      <c r="Q44" t="str">
        <f>IF('Filtered Data'!W43,"ITHybridCloudEngineeringOperationsMgmt@Marathonpetroleum.com","mark.newman2@dxc.com")</f>
        <v>mark.newman2@dxc.com</v>
      </c>
      <c r="R44">
        <f t="shared" si="2"/>
        <v>0</v>
      </c>
      <c r="S44" s="31" t="s">
        <v>5738</v>
      </c>
      <c r="T44" t="s">
        <v>1381</v>
      </c>
      <c r="U44">
        <f>'Filtered Data'!V43</f>
        <v>0</v>
      </c>
      <c r="V44" t="str">
        <f>IF('Filtered Data'!W43,"yes","no")</f>
        <v>no</v>
      </c>
      <c r="W44" t="s">
        <v>15</v>
      </c>
      <c r="X44">
        <f>'Filtered Data'!X43</f>
        <v>0</v>
      </c>
    </row>
    <row r="45" spans="1:24" x14ac:dyDescent="0.35">
      <c r="A45">
        <f>'Filtered Data'!A44</f>
        <v>0</v>
      </c>
      <c r="B45">
        <f>'Filtered Data'!B44</f>
        <v>0</v>
      </c>
      <c r="C45" t="s">
        <v>2</v>
      </c>
      <c r="D45" t="e">
        <f>VLOOKUP('Filtered Data'!Z44,'Data Mapping'!$A$4:$B$7,2,0)</f>
        <v>#N/A</v>
      </c>
      <c r="E45" t="e">
        <f>VLOOKUP('Filtered Data'!C44,'Data Mapping'!$E$3:$F$97,2,0)</f>
        <v>#N/A</v>
      </c>
      <c r="F45">
        <f>'Filtered Data'!D44</f>
        <v>0</v>
      </c>
      <c r="G45" t="e">
        <f>VLOOKUP('Filtered Data'!E44,'Data Mapping'!$J$3:$K$11,2,0)</f>
        <v>#N/A</v>
      </c>
      <c r="H45">
        <f>'Filtered Data'!F44</f>
        <v>0</v>
      </c>
      <c r="I45" t="s">
        <v>5668</v>
      </c>
      <c r="J45" t="s">
        <v>1609</v>
      </c>
      <c r="K45" t="e">
        <f>VLOOKUP('Filtered Data'!A44,'Input 1 CMDB'!A:I,9,0)</f>
        <v>#N/A</v>
      </c>
      <c r="L45">
        <f>'Filtered Data'!K44</f>
        <v>0</v>
      </c>
      <c r="M45" t="e">
        <f t="shared" si="1"/>
        <v>#VALUE!</v>
      </c>
      <c r="N45">
        <f>'Filtered Data'!P44</f>
        <v>0</v>
      </c>
      <c r="O45">
        <f>'Filtered Data'!N44</f>
        <v>0</v>
      </c>
      <c r="P45" t="s">
        <v>5669</v>
      </c>
      <c r="Q45" t="str">
        <f>IF('Filtered Data'!W44,"ITHybridCloudEngineeringOperationsMgmt@Marathonpetroleum.com","mark.newman2@dxc.com")</f>
        <v>mark.newman2@dxc.com</v>
      </c>
      <c r="R45">
        <f t="shared" si="2"/>
        <v>0</v>
      </c>
      <c r="S45" s="31" t="s">
        <v>5738</v>
      </c>
      <c r="T45" t="s">
        <v>1381</v>
      </c>
      <c r="U45">
        <f>'Filtered Data'!V44</f>
        <v>0</v>
      </c>
      <c r="V45" t="str">
        <f>IF('Filtered Data'!W44,"yes","no")</f>
        <v>no</v>
      </c>
      <c r="W45" t="s">
        <v>15</v>
      </c>
      <c r="X45">
        <f>'Filtered Data'!X44</f>
        <v>0</v>
      </c>
    </row>
    <row r="46" spans="1:24" x14ac:dyDescent="0.35">
      <c r="A46">
        <f>'Filtered Data'!A45</f>
        <v>0</v>
      </c>
      <c r="B46">
        <f>'Filtered Data'!B45</f>
        <v>0</v>
      </c>
      <c r="C46" t="s">
        <v>2</v>
      </c>
      <c r="D46" t="e">
        <f>VLOOKUP('Filtered Data'!Z45,'Data Mapping'!$A$4:$B$7,2,0)</f>
        <v>#N/A</v>
      </c>
      <c r="E46" t="e">
        <f>VLOOKUP('Filtered Data'!C45,'Data Mapping'!$E$3:$F$97,2,0)</f>
        <v>#N/A</v>
      </c>
      <c r="F46">
        <f>'Filtered Data'!D45</f>
        <v>0</v>
      </c>
      <c r="G46" t="e">
        <f>VLOOKUP('Filtered Data'!E45,'Data Mapping'!$J$3:$K$11,2,0)</f>
        <v>#N/A</v>
      </c>
      <c r="H46">
        <f>'Filtered Data'!F45</f>
        <v>0</v>
      </c>
      <c r="I46" t="s">
        <v>5668</v>
      </c>
      <c r="J46" t="s">
        <v>1609</v>
      </c>
      <c r="K46" t="e">
        <f>VLOOKUP('Filtered Data'!A45,'Input 1 CMDB'!A:I,9,0)</f>
        <v>#N/A</v>
      </c>
      <c r="L46">
        <f>'Filtered Data'!K45</f>
        <v>0</v>
      </c>
      <c r="M46" t="e">
        <f t="shared" si="1"/>
        <v>#VALUE!</v>
      </c>
      <c r="N46">
        <f>'Filtered Data'!P45</f>
        <v>0</v>
      </c>
      <c r="O46">
        <f>'Filtered Data'!N45</f>
        <v>0</v>
      </c>
      <c r="P46" t="s">
        <v>5669</v>
      </c>
      <c r="Q46" t="str">
        <f>IF('Filtered Data'!W45,"ITHybridCloudEngineeringOperationsMgmt@Marathonpetroleum.com","mark.newman2@dxc.com")</f>
        <v>mark.newman2@dxc.com</v>
      </c>
      <c r="R46">
        <f t="shared" si="2"/>
        <v>0</v>
      </c>
      <c r="S46" s="31" t="s">
        <v>5738</v>
      </c>
      <c r="T46" t="s">
        <v>1381</v>
      </c>
      <c r="U46">
        <f>'Filtered Data'!V45</f>
        <v>0</v>
      </c>
      <c r="V46" t="str">
        <f>IF('Filtered Data'!W45,"yes","no")</f>
        <v>no</v>
      </c>
      <c r="W46" t="s">
        <v>15</v>
      </c>
      <c r="X46">
        <f>'Filtered Data'!X45</f>
        <v>0</v>
      </c>
    </row>
    <row r="47" spans="1:24" x14ac:dyDescent="0.35">
      <c r="A47">
        <f>'Filtered Data'!A46</f>
        <v>0</v>
      </c>
      <c r="B47">
        <f>'Filtered Data'!B46</f>
        <v>0</v>
      </c>
      <c r="C47" t="s">
        <v>2</v>
      </c>
      <c r="D47" t="e">
        <f>VLOOKUP('Filtered Data'!Z46,'Data Mapping'!$A$4:$B$7,2,0)</f>
        <v>#N/A</v>
      </c>
      <c r="E47" t="e">
        <f>VLOOKUP('Filtered Data'!C46,'Data Mapping'!$E$3:$F$97,2,0)</f>
        <v>#N/A</v>
      </c>
      <c r="F47">
        <f>'Filtered Data'!D46</f>
        <v>0</v>
      </c>
      <c r="G47" t="e">
        <f>VLOOKUP('Filtered Data'!E46,'Data Mapping'!$J$3:$K$11,2,0)</f>
        <v>#N/A</v>
      </c>
      <c r="H47">
        <f>'Filtered Data'!F46</f>
        <v>0</v>
      </c>
      <c r="I47" t="s">
        <v>5668</v>
      </c>
      <c r="J47" t="s">
        <v>1609</v>
      </c>
      <c r="K47" t="e">
        <f>VLOOKUP('Filtered Data'!A46,'Input 1 CMDB'!A:I,9,0)</f>
        <v>#N/A</v>
      </c>
      <c r="L47">
        <f>'Filtered Data'!K46</f>
        <v>0</v>
      </c>
      <c r="M47" t="e">
        <f t="shared" si="1"/>
        <v>#VALUE!</v>
      </c>
      <c r="N47">
        <f>'Filtered Data'!P46</f>
        <v>0</v>
      </c>
      <c r="O47">
        <f>'Filtered Data'!N46</f>
        <v>0</v>
      </c>
      <c r="P47" t="s">
        <v>5669</v>
      </c>
      <c r="Q47" t="str">
        <f>IF('Filtered Data'!W46,"ITHybridCloudEngineeringOperationsMgmt@Marathonpetroleum.com","mark.newman2@dxc.com")</f>
        <v>mark.newman2@dxc.com</v>
      </c>
      <c r="R47">
        <f t="shared" si="2"/>
        <v>0</v>
      </c>
      <c r="S47" s="31" t="s">
        <v>5738</v>
      </c>
      <c r="T47" t="s">
        <v>1381</v>
      </c>
      <c r="U47">
        <f>'Filtered Data'!V46</f>
        <v>0</v>
      </c>
      <c r="V47" t="str">
        <f>IF('Filtered Data'!W46,"yes","no")</f>
        <v>no</v>
      </c>
      <c r="W47" t="s">
        <v>15</v>
      </c>
      <c r="X47">
        <f>'Filtered Data'!X46</f>
        <v>0</v>
      </c>
    </row>
    <row r="48" spans="1:24" x14ac:dyDescent="0.35">
      <c r="A48">
        <f>'Filtered Data'!A47</f>
        <v>0</v>
      </c>
      <c r="B48">
        <f>'Filtered Data'!B47</f>
        <v>0</v>
      </c>
      <c r="C48" t="s">
        <v>2</v>
      </c>
      <c r="D48" t="e">
        <f>VLOOKUP('Filtered Data'!Z47,'Data Mapping'!$A$4:$B$7,2,0)</f>
        <v>#N/A</v>
      </c>
      <c r="E48" t="e">
        <f>VLOOKUP('Filtered Data'!C47,'Data Mapping'!$E$3:$F$97,2,0)</f>
        <v>#N/A</v>
      </c>
      <c r="F48">
        <f>'Filtered Data'!D47</f>
        <v>0</v>
      </c>
      <c r="G48" t="e">
        <f>VLOOKUP('Filtered Data'!E47,'Data Mapping'!$J$3:$K$11,2,0)</f>
        <v>#N/A</v>
      </c>
      <c r="H48">
        <f>'Filtered Data'!F47</f>
        <v>0</v>
      </c>
      <c r="I48" t="s">
        <v>5668</v>
      </c>
      <c r="J48" t="s">
        <v>1609</v>
      </c>
      <c r="K48" t="e">
        <f>VLOOKUP('Filtered Data'!A47,'Input 1 CMDB'!A:I,9,0)</f>
        <v>#N/A</v>
      </c>
      <c r="L48">
        <f>'Filtered Data'!K47</f>
        <v>0</v>
      </c>
      <c r="M48" t="e">
        <f t="shared" si="1"/>
        <v>#VALUE!</v>
      </c>
      <c r="N48">
        <f>'Filtered Data'!P47</f>
        <v>0</v>
      </c>
      <c r="O48">
        <f>'Filtered Data'!N47</f>
        <v>0</v>
      </c>
      <c r="P48" t="s">
        <v>5669</v>
      </c>
      <c r="Q48" t="str">
        <f>IF('Filtered Data'!W47,"ITHybridCloudEngineeringOperationsMgmt@Marathonpetroleum.com","mark.newman2@dxc.com")</f>
        <v>mark.newman2@dxc.com</v>
      </c>
      <c r="R48">
        <f t="shared" si="2"/>
        <v>0</v>
      </c>
      <c r="S48" s="31" t="s">
        <v>5738</v>
      </c>
      <c r="T48" t="s">
        <v>1381</v>
      </c>
      <c r="U48">
        <f>'Filtered Data'!V47</f>
        <v>0</v>
      </c>
      <c r="V48" t="str">
        <f>IF('Filtered Data'!W47,"yes","no")</f>
        <v>no</v>
      </c>
      <c r="W48" t="s">
        <v>15</v>
      </c>
      <c r="X48">
        <f>'Filtered Data'!X47</f>
        <v>0</v>
      </c>
    </row>
    <row r="49" spans="1:24" x14ac:dyDescent="0.35">
      <c r="A49">
        <f>'Filtered Data'!A48</f>
        <v>0</v>
      </c>
      <c r="B49">
        <f>'Filtered Data'!B48</f>
        <v>0</v>
      </c>
      <c r="C49" t="s">
        <v>2</v>
      </c>
      <c r="D49" t="e">
        <f>VLOOKUP('Filtered Data'!Z48,'Data Mapping'!$A$4:$B$7,2,0)</f>
        <v>#N/A</v>
      </c>
      <c r="E49" t="e">
        <f>VLOOKUP('Filtered Data'!C48,'Data Mapping'!$E$3:$F$97,2,0)</f>
        <v>#N/A</v>
      </c>
      <c r="F49">
        <f>'Filtered Data'!D48</f>
        <v>0</v>
      </c>
      <c r="G49" t="e">
        <f>VLOOKUP('Filtered Data'!E48,'Data Mapping'!$J$3:$K$11,2,0)</f>
        <v>#N/A</v>
      </c>
      <c r="H49">
        <f>'Filtered Data'!F48</f>
        <v>0</v>
      </c>
      <c r="I49" t="s">
        <v>5668</v>
      </c>
      <c r="J49" t="s">
        <v>1609</v>
      </c>
      <c r="K49" t="e">
        <f>VLOOKUP('Filtered Data'!A48,'Input 1 CMDB'!A:I,9,0)</f>
        <v>#N/A</v>
      </c>
      <c r="L49">
        <f>'Filtered Data'!K48</f>
        <v>0</v>
      </c>
      <c r="M49" t="e">
        <f t="shared" si="1"/>
        <v>#VALUE!</v>
      </c>
      <c r="N49">
        <f>'Filtered Data'!P48</f>
        <v>0</v>
      </c>
      <c r="O49">
        <f>'Filtered Data'!N48</f>
        <v>0</v>
      </c>
      <c r="P49" t="s">
        <v>5669</v>
      </c>
      <c r="Q49" t="str">
        <f>IF('Filtered Data'!W48,"ITHybridCloudEngineeringOperationsMgmt@Marathonpetroleum.com","mark.newman2@dxc.com")</f>
        <v>mark.newman2@dxc.com</v>
      </c>
      <c r="R49">
        <f t="shared" si="2"/>
        <v>0</v>
      </c>
      <c r="S49" s="31" t="s">
        <v>5738</v>
      </c>
      <c r="T49" t="s">
        <v>1381</v>
      </c>
      <c r="U49">
        <f>'Filtered Data'!V48</f>
        <v>0</v>
      </c>
      <c r="V49" t="str">
        <f>IF('Filtered Data'!W48,"yes","no")</f>
        <v>no</v>
      </c>
      <c r="W49" t="s">
        <v>15</v>
      </c>
      <c r="X49">
        <f>'Filtered Data'!X48</f>
        <v>0</v>
      </c>
    </row>
    <row r="50" spans="1:24" x14ac:dyDescent="0.35">
      <c r="A50">
        <f>'Filtered Data'!A49</f>
        <v>0</v>
      </c>
      <c r="B50">
        <f>'Filtered Data'!B49</f>
        <v>0</v>
      </c>
      <c r="C50" t="s">
        <v>2</v>
      </c>
      <c r="D50" t="e">
        <f>VLOOKUP('Filtered Data'!Z49,'Data Mapping'!$A$4:$B$7,2,0)</f>
        <v>#N/A</v>
      </c>
      <c r="E50" t="e">
        <f>VLOOKUP('Filtered Data'!C49,'Data Mapping'!$E$3:$F$97,2,0)</f>
        <v>#N/A</v>
      </c>
      <c r="F50">
        <f>'Filtered Data'!D49</f>
        <v>0</v>
      </c>
      <c r="G50" t="e">
        <f>VLOOKUP('Filtered Data'!E49,'Data Mapping'!$J$3:$K$11,2,0)</f>
        <v>#N/A</v>
      </c>
      <c r="H50">
        <f>'Filtered Data'!F49</f>
        <v>0</v>
      </c>
      <c r="I50" t="s">
        <v>5668</v>
      </c>
      <c r="J50" t="s">
        <v>1609</v>
      </c>
      <c r="K50" t="e">
        <f>VLOOKUP('Filtered Data'!A49,'Input 1 CMDB'!A:I,9,0)</f>
        <v>#N/A</v>
      </c>
      <c r="L50">
        <f>'Filtered Data'!K49</f>
        <v>0</v>
      </c>
      <c r="M50" t="e">
        <f t="shared" si="1"/>
        <v>#VALUE!</v>
      </c>
      <c r="N50">
        <f>'Filtered Data'!P49</f>
        <v>0</v>
      </c>
      <c r="O50">
        <f>'Filtered Data'!N49</f>
        <v>0</v>
      </c>
      <c r="P50" t="s">
        <v>5669</v>
      </c>
      <c r="Q50" t="str">
        <f>IF('Filtered Data'!W49,"ITHybridCloudEngineeringOperationsMgmt@Marathonpetroleum.com","mark.newman2@dxc.com")</f>
        <v>mark.newman2@dxc.com</v>
      </c>
      <c r="R50">
        <f t="shared" si="2"/>
        <v>0</v>
      </c>
      <c r="S50" s="31" t="s">
        <v>5738</v>
      </c>
      <c r="T50" t="s">
        <v>1381</v>
      </c>
      <c r="U50">
        <f>'Filtered Data'!V49</f>
        <v>0</v>
      </c>
      <c r="V50" t="str">
        <f>IF('Filtered Data'!W49,"yes","no")</f>
        <v>no</v>
      </c>
      <c r="W50" t="s">
        <v>15</v>
      </c>
      <c r="X50">
        <f>'Filtered Data'!X49</f>
        <v>0</v>
      </c>
    </row>
    <row r="51" spans="1:24" x14ac:dyDescent="0.35">
      <c r="A51">
        <f>'Filtered Data'!A50</f>
        <v>0</v>
      </c>
      <c r="B51">
        <f>'Filtered Data'!B50</f>
        <v>0</v>
      </c>
      <c r="C51" t="s">
        <v>2</v>
      </c>
      <c r="D51" t="e">
        <f>VLOOKUP('Filtered Data'!Z50,'Data Mapping'!$A$4:$B$7,2,0)</f>
        <v>#N/A</v>
      </c>
      <c r="E51" t="e">
        <f>VLOOKUP('Filtered Data'!C50,'Data Mapping'!$E$3:$F$97,2,0)</f>
        <v>#N/A</v>
      </c>
      <c r="F51">
        <f>'Filtered Data'!D50</f>
        <v>0</v>
      </c>
      <c r="G51" t="e">
        <f>VLOOKUP('Filtered Data'!E50,'Data Mapping'!$J$3:$K$11,2,0)</f>
        <v>#N/A</v>
      </c>
      <c r="H51">
        <f>'Filtered Data'!F50</f>
        <v>0</v>
      </c>
      <c r="I51" t="s">
        <v>5668</v>
      </c>
      <c r="J51" t="s">
        <v>1609</v>
      </c>
      <c r="K51" t="e">
        <f>VLOOKUP('Filtered Data'!A50,'Input 1 CMDB'!A:I,9,0)</f>
        <v>#N/A</v>
      </c>
      <c r="L51">
        <f>'Filtered Data'!K50</f>
        <v>0</v>
      </c>
      <c r="M51" t="e">
        <f t="shared" si="1"/>
        <v>#VALUE!</v>
      </c>
      <c r="N51">
        <f>'Filtered Data'!P50</f>
        <v>0</v>
      </c>
      <c r="O51">
        <f>'Filtered Data'!N50</f>
        <v>0</v>
      </c>
      <c r="P51" t="s">
        <v>5669</v>
      </c>
      <c r="Q51" t="str">
        <f>IF('Filtered Data'!W50,"ITHybridCloudEngineeringOperationsMgmt@Marathonpetroleum.com","mark.newman2@dxc.com")</f>
        <v>mark.newman2@dxc.com</v>
      </c>
      <c r="R51">
        <f t="shared" si="2"/>
        <v>0</v>
      </c>
      <c r="S51" s="31" t="s">
        <v>5738</v>
      </c>
      <c r="T51" t="s">
        <v>1381</v>
      </c>
      <c r="U51">
        <f>'Filtered Data'!V50</f>
        <v>0</v>
      </c>
      <c r="V51" t="str">
        <f>IF('Filtered Data'!W50,"yes","no")</f>
        <v>no</v>
      </c>
      <c r="W51" t="s">
        <v>15</v>
      </c>
      <c r="X51">
        <f>'Filtered Data'!X50</f>
        <v>0</v>
      </c>
    </row>
    <row r="52" spans="1:24" x14ac:dyDescent="0.35">
      <c r="A52">
        <f>'Filtered Data'!A51</f>
        <v>0</v>
      </c>
      <c r="B52">
        <f>'Filtered Data'!B51</f>
        <v>0</v>
      </c>
      <c r="C52" t="s">
        <v>2</v>
      </c>
      <c r="D52" t="e">
        <f>VLOOKUP('Filtered Data'!Z51,'Data Mapping'!$A$4:$B$7,2,0)</f>
        <v>#N/A</v>
      </c>
      <c r="E52" t="e">
        <f>VLOOKUP('Filtered Data'!C51,'Data Mapping'!$E$3:$F$97,2,0)</f>
        <v>#N/A</v>
      </c>
      <c r="F52">
        <f>'Filtered Data'!D51</f>
        <v>0</v>
      </c>
      <c r="G52" t="e">
        <f>VLOOKUP('Filtered Data'!E51,'Data Mapping'!$J$3:$K$11,2,0)</f>
        <v>#N/A</v>
      </c>
      <c r="H52">
        <f>'Filtered Data'!F51</f>
        <v>0</v>
      </c>
      <c r="I52" t="s">
        <v>5668</v>
      </c>
      <c r="J52" t="s">
        <v>1609</v>
      </c>
      <c r="K52" t="e">
        <f>VLOOKUP('Filtered Data'!A51,'Input 1 CMDB'!A:I,9,0)</f>
        <v>#N/A</v>
      </c>
      <c r="L52">
        <f>'Filtered Data'!K51</f>
        <v>0</v>
      </c>
      <c r="M52" t="e">
        <f t="shared" si="1"/>
        <v>#VALUE!</v>
      </c>
      <c r="N52">
        <f>'Filtered Data'!P51</f>
        <v>0</v>
      </c>
      <c r="O52">
        <f>'Filtered Data'!N51</f>
        <v>0</v>
      </c>
      <c r="P52" t="s">
        <v>5669</v>
      </c>
      <c r="Q52" t="str">
        <f>IF('Filtered Data'!W51,"ITHybridCloudEngineeringOperationsMgmt@Marathonpetroleum.com","mark.newman2@dxc.com")</f>
        <v>mark.newman2@dxc.com</v>
      </c>
      <c r="R52">
        <f t="shared" si="2"/>
        <v>0</v>
      </c>
      <c r="S52" s="31" t="s">
        <v>5738</v>
      </c>
      <c r="T52" t="s">
        <v>1381</v>
      </c>
      <c r="U52">
        <f>'Filtered Data'!V51</f>
        <v>0</v>
      </c>
      <c r="V52" t="str">
        <f>IF('Filtered Data'!W51,"yes","no")</f>
        <v>no</v>
      </c>
      <c r="W52" t="s">
        <v>15</v>
      </c>
      <c r="X52">
        <f>'Filtered Data'!X51</f>
        <v>0</v>
      </c>
    </row>
    <row r="53" spans="1:24" x14ac:dyDescent="0.35">
      <c r="A53">
        <f>'Filtered Data'!A52</f>
        <v>0</v>
      </c>
      <c r="B53">
        <f>'Filtered Data'!B52</f>
        <v>0</v>
      </c>
      <c r="C53" t="s">
        <v>2</v>
      </c>
      <c r="D53" t="e">
        <f>VLOOKUP('Filtered Data'!Z52,'Data Mapping'!$A$4:$B$7,2,0)</f>
        <v>#N/A</v>
      </c>
      <c r="E53" t="e">
        <f>VLOOKUP('Filtered Data'!C52,'Data Mapping'!$E$3:$F$97,2,0)</f>
        <v>#N/A</v>
      </c>
      <c r="F53">
        <f>'Filtered Data'!D52</f>
        <v>0</v>
      </c>
      <c r="G53" t="e">
        <f>VLOOKUP('Filtered Data'!E52,'Data Mapping'!$J$3:$K$11,2,0)</f>
        <v>#N/A</v>
      </c>
      <c r="H53">
        <f>'Filtered Data'!F52</f>
        <v>0</v>
      </c>
      <c r="I53" t="s">
        <v>5668</v>
      </c>
      <c r="J53" t="s">
        <v>1609</v>
      </c>
      <c r="K53" t="e">
        <f>VLOOKUP('Filtered Data'!A52,'Input 1 CMDB'!A:I,9,0)</f>
        <v>#N/A</v>
      </c>
      <c r="L53">
        <f>'Filtered Data'!K52</f>
        <v>0</v>
      </c>
      <c r="M53" t="e">
        <f t="shared" si="1"/>
        <v>#VALUE!</v>
      </c>
      <c r="N53">
        <f>'Filtered Data'!P52</f>
        <v>0</v>
      </c>
      <c r="O53">
        <f>'Filtered Data'!N52</f>
        <v>0</v>
      </c>
      <c r="P53" t="s">
        <v>5669</v>
      </c>
      <c r="Q53" t="str">
        <f>IF('Filtered Data'!W52,"ITHybridCloudEngineeringOperationsMgmt@Marathonpetroleum.com","mark.newman2@dxc.com")</f>
        <v>mark.newman2@dxc.com</v>
      </c>
      <c r="R53">
        <f t="shared" si="2"/>
        <v>0</v>
      </c>
      <c r="S53" s="31" t="s">
        <v>5738</v>
      </c>
      <c r="T53" t="s">
        <v>1381</v>
      </c>
      <c r="U53">
        <f>'Filtered Data'!V52</f>
        <v>0</v>
      </c>
      <c r="V53" t="str">
        <f>IF('Filtered Data'!W52,"yes","no")</f>
        <v>no</v>
      </c>
      <c r="W53" t="s">
        <v>15</v>
      </c>
      <c r="X53">
        <f>'Filtered Data'!X52</f>
        <v>0</v>
      </c>
    </row>
    <row r="54" spans="1:24" x14ac:dyDescent="0.35">
      <c r="A54">
        <f>'Filtered Data'!A53</f>
        <v>0</v>
      </c>
      <c r="B54">
        <f>'Filtered Data'!B53</f>
        <v>0</v>
      </c>
      <c r="C54" t="s">
        <v>2</v>
      </c>
      <c r="D54" t="e">
        <f>VLOOKUP('Filtered Data'!Z53,'Data Mapping'!$A$4:$B$7,2,0)</f>
        <v>#N/A</v>
      </c>
      <c r="E54" t="e">
        <f>VLOOKUP('Filtered Data'!C53,'Data Mapping'!$E$3:$F$97,2,0)</f>
        <v>#N/A</v>
      </c>
      <c r="F54">
        <f>'Filtered Data'!D53</f>
        <v>0</v>
      </c>
      <c r="G54" t="e">
        <f>VLOOKUP('Filtered Data'!E53,'Data Mapping'!$J$3:$K$11,2,0)</f>
        <v>#N/A</v>
      </c>
      <c r="H54">
        <f>'Filtered Data'!F53</f>
        <v>0</v>
      </c>
      <c r="I54" t="s">
        <v>5668</v>
      </c>
      <c r="J54" t="s">
        <v>1609</v>
      </c>
      <c r="K54" t="e">
        <f>VLOOKUP('Filtered Data'!A53,'Input 1 CMDB'!A:I,9,0)</f>
        <v>#N/A</v>
      </c>
      <c r="L54">
        <f>'Filtered Data'!K53</f>
        <v>0</v>
      </c>
      <c r="M54" t="e">
        <f t="shared" si="1"/>
        <v>#VALUE!</v>
      </c>
      <c r="N54">
        <f>'Filtered Data'!P53</f>
        <v>0</v>
      </c>
      <c r="O54">
        <f>'Filtered Data'!N53</f>
        <v>0</v>
      </c>
      <c r="P54" t="s">
        <v>5669</v>
      </c>
      <c r="Q54" t="str">
        <f>IF('Filtered Data'!W53,"ITHybridCloudEngineeringOperationsMgmt@Marathonpetroleum.com","mark.newman2@dxc.com")</f>
        <v>mark.newman2@dxc.com</v>
      </c>
      <c r="R54">
        <f t="shared" si="2"/>
        <v>0</v>
      </c>
      <c r="S54" s="31" t="s">
        <v>5738</v>
      </c>
      <c r="T54" t="s">
        <v>1381</v>
      </c>
      <c r="U54">
        <f>'Filtered Data'!V53</f>
        <v>0</v>
      </c>
      <c r="V54" t="str">
        <f>IF('Filtered Data'!W53,"yes","no")</f>
        <v>no</v>
      </c>
      <c r="W54" t="s">
        <v>15</v>
      </c>
      <c r="X54">
        <f>'Filtered Data'!X53</f>
        <v>0</v>
      </c>
    </row>
    <row r="55" spans="1:24" x14ac:dyDescent="0.35">
      <c r="A55">
        <f>'Filtered Data'!A54</f>
        <v>0</v>
      </c>
      <c r="B55">
        <f>'Filtered Data'!B54</f>
        <v>0</v>
      </c>
      <c r="C55" t="s">
        <v>2</v>
      </c>
      <c r="D55" t="e">
        <f>VLOOKUP('Filtered Data'!Z54,'Data Mapping'!$A$4:$B$7,2,0)</f>
        <v>#N/A</v>
      </c>
      <c r="E55" t="e">
        <f>VLOOKUP('Filtered Data'!C54,'Data Mapping'!$E$3:$F$97,2,0)</f>
        <v>#N/A</v>
      </c>
      <c r="F55">
        <f>'Filtered Data'!D54</f>
        <v>0</v>
      </c>
      <c r="G55" t="e">
        <f>VLOOKUP('Filtered Data'!E54,'Data Mapping'!$J$3:$K$11,2,0)</f>
        <v>#N/A</v>
      </c>
      <c r="H55">
        <f>'Filtered Data'!F54</f>
        <v>0</v>
      </c>
      <c r="I55" t="s">
        <v>5668</v>
      </c>
      <c r="J55" t="s">
        <v>1609</v>
      </c>
      <c r="K55" t="e">
        <f>VLOOKUP('Filtered Data'!A54,'Input 1 CMDB'!A:I,9,0)</f>
        <v>#N/A</v>
      </c>
      <c r="L55">
        <f>'Filtered Data'!K54</f>
        <v>0</v>
      </c>
      <c r="M55" t="e">
        <f t="shared" si="1"/>
        <v>#VALUE!</v>
      </c>
      <c r="N55">
        <f>'Filtered Data'!P54</f>
        <v>0</v>
      </c>
      <c r="O55">
        <f>'Filtered Data'!N54</f>
        <v>0</v>
      </c>
      <c r="P55" t="s">
        <v>5669</v>
      </c>
      <c r="Q55" t="str">
        <f>IF('Filtered Data'!W54,"ITHybridCloudEngineeringOperationsMgmt@Marathonpetroleum.com","mark.newman2@dxc.com")</f>
        <v>mark.newman2@dxc.com</v>
      </c>
      <c r="R55">
        <f t="shared" si="2"/>
        <v>0</v>
      </c>
      <c r="S55" s="31" t="s">
        <v>5738</v>
      </c>
      <c r="T55" t="s">
        <v>1381</v>
      </c>
      <c r="U55">
        <f>'Filtered Data'!V54</f>
        <v>0</v>
      </c>
      <c r="V55" t="str">
        <f>IF('Filtered Data'!W54,"yes","no")</f>
        <v>no</v>
      </c>
      <c r="W55" t="s">
        <v>15</v>
      </c>
      <c r="X55">
        <f>'Filtered Data'!X54</f>
        <v>0</v>
      </c>
    </row>
    <row r="56" spans="1:24" x14ac:dyDescent="0.35">
      <c r="A56">
        <f>'Filtered Data'!A55</f>
        <v>0</v>
      </c>
      <c r="B56">
        <f>'Filtered Data'!B55</f>
        <v>0</v>
      </c>
      <c r="C56" t="s">
        <v>2</v>
      </c>
      <c r="D56" t="e">
        <f>VLOOKUP('Filtered Data'!Z55,'Data Mapping'!$A$4:$B$7,2,0)</f>
        <v>#N/A</v>
      </c>
      <c r="E56" t="e">
        <f>VLOOKUP('Filtered Data'!C55,'Data Mapping'!$E$3:$F$97,2,0)</f>
        <v>#N/A</v>
      </c>
      <c r="F56">
        <f>'Filtered Data'!D55</f>
        <v>0</v>
      </c>
      <c r="G56" t="e">
        <f>VLOOKUP('Filtered Data'!E55,'Data Mapping'!$J$3:$K$11,2,0)</f>
        <v>#N/A</v>
      </c>
      <c r="H56">
        <f>'Filtered Data'!F55</f>
        <v>0</v>
      </c>
      <c r="I56" t="s">
        <v>5668</v>
      </c>
      <c r="J56" t="s">
        <v>1609</v>
      </c>
      <c r="K56" t="e">
        <f>VLOOKUP('Filtered Data'!A55,'Input 1 CMDB'!A:I,9,0)</f>
        <v>#N/A</v>
      </c>
      <c r="L56">
        <f>'Filtered Data'!K55</f>
        <v>0</v>
      </c>
      <c r="M56" t="e">
        <f t="shared" si="1"/>
        <v>#VALUE!</v>
      </c>
      <c r="N56">
        <f>'Filtered Data'!P55</f>
        <v>0</v>
      </c>
      <c r="O56">
        <f>'Filtered Data'!N55</f>
        <v>0</v>
      </c>
      <c r="P56" t="s">
        <v>5669</v>
      </c>
      <c r="Q56" t="str">
        <f>IF('Filtered Data'!W55,"ITHybridCloudEngineeringOperationsMgmt@Marathonpetroleum.com","mark.newman2@dxc.com")</f>
        <v>mark.newman2@dxc.com</v>
      </c>
      <c r="R56">
        <f t="shared" si="2"/>
        <v>0</v>
      </c>
      <c r="S56" s="31" t="s">
        <v>5738</v>
      </c>
      <c r="T56" t="s">
        <v>1381</v>
      </c>
      <c r="U56">
        <f>'Filtered Data'!V55</f>
        <v>0</v>
      </c>
      <c r="V56" t="str">
        <f>IF('Filtered Data'!W55,"yes","no")</f>
        <v>no</v>
      </c>
      <c r="W56" t="s">
        <v>15</v>
      </c>
      <c r="X56">
        <f>'Filtered Data'!X55</f>
        <v>0</v>
      </c>
    </row>
    <row r="57" spans="1:24" x14ac:dyDescent="0.35">
      <c r="A57">
        <f>'Filtered Data'!A56</f>
        <v>0</v>
      </c>
      <c r="B57">
        <f>'Filtered Data'!B56</f>
        <v>0</v>
      </c>
      <c r="C57" t="s">
        <v>2</v>
      </c>
      <c r="D57" t="e">
        <f>VLOOKUP('Filtered Data'!Z56,'Data Mapping'!$A$4:$B$7,2,0)</f>
        <v>#N/A</v>
      </c>
      <c r="E57" t="e">
        <f>VLOOKUP('Filtered Data'!C56,'Data Mapping'!$E$3:$F$97,2,0)</f>
        <v>#N/A</v>
      </c>
      <c r="F57">
        <f>'Filtered Data'!D56</f>
        <v>0</v>
      </c>
      <c r="G57" t="e">
        <f>VLOOKUP('Filtered Data'!E56,'Data Mapping'!$J$3:$K$11,2,0)</f>
        <v>#N/A</v>
      </c>
      <c r="H57">
        <f>'Filtered Data'!F56</f>
        <v>0</v>
      </c>
      <c r="I57" t="s">
        <v>5668</v>
      </c>
      <c r="J57" t="s">
        <v>1609</v>
      </c>
      <c r="K57" t="e">
        <f>VLOOKUP('Filtered Data'!A56,'Input 1 CMDB'!A:I,9,0)</f>
        <v>#N/A</v>
      </c>
      <c r="L57">
        <f>'Filtered Data'!K56</f>
        <v>0</v>
      </c>
      <c r="M57" t="e">
        <f t="shared" si="1"/>
        <v>#VALUE!</v>
      </c>
      <c r="N57">
        <f>'Filtered Data'!P56</f>
        <v>0</v>
      </c>
      <c r="O57">
        <f>'Filtered Data'!N56</f>
        <v>0</v>
      </c>
      <c r="P57" t="s">
        <v>5669</v>
      </c>
      <c r="Q57" t="str">
        <f>IF('Filtered Data'!W56,"ITHybridCloudEngineeringOperationsMgmt@Marathonpetroleum.com","mark.newman2@dxc.com")</f>
        <v>mark.newman2@dxc.com</v>
      </c>
      <c r="R57">
        <f t="shared" si="2"/>
        <v>0</v>
      </c>
      <c r="S57" s="31" t="s">
        <v>5738</v>
      </c>
      <c r="T57" t="s">
        <v>1381</v>
      </c>
      <c r="U57">
        <f>'Filtered Data'!V56</f>
        <v>0</v>
      </c>
      <c r="V57" t="str">
        <f>IF('Filtered Data'!W56,"yes","no")</f>
        <v>no</v>
      </c>
      <c r="W57" t="s">
        <v>15</v>
      </c>
      <c r="X57">
        <f>'Filtered Data'!X56</f>
        <v>0</v>
      </c>
    </row>
    <row r="58" spans="1:24" x14ac:dyDescent="0.35">
      <c r="A58">
        <f>'Filtered Data'!A57</f>
        <v>0</v>
      </c>
      <c r="B58">
        <f>'Filtered Data'!B57</f>
        <v>0</v>
      </c>
      <c r="C58" t="s">
        <v>2</v>
      </c>
      <c r="D58" t="e">
        <f>VLOOKUP('Filtered Data'!Z57,'Data Mapping'!$A$4:$B$7,2,0)</f>
        <v>#N/A</v>
      </c>
      <c r="E58" t="e">
        <f>VLOOKUP('Filtered Data'!C57,'Data Mapping'!$E$3:$F$97,2,0)</f>
        <v>#N/A</v>
      </c>
      <c r="F58">
        <f>'Filtered Data'!D57</f>
        <v>0</v>
      </c>
      <c r="G58" t="e">
        <f>VLOOKUP('Filtered Data'!E57,'Data Mapping'!$J$3:$K$11,2,0)</f>
        <v>#N/A</v>
      </c>
      <c r="H58">
        <f>'Filtered Data'!F57</f>
        <v>0</v>
      </c>
      <c r="I58" t="s">
        <v>5668</v>
      </c>
      <c r="J58" t="s">
        <v>1609</v>
      </c>
      <c r="K58" t="e">
        <f>VLOOKUP('Filtered Data'!A57,'Input 1 CMDB'!A:I,9,0)</f>
        <v>#N/A</v>
      </c>
      <c r="L58">
        <f>'Filtered Data'!K57</f>
        <v>0</v>
      </c>
      <c r="M58" t="e">
        <f t="shared" si="1"/>
        <v>#VALUE!</v>
      </c>
      <c r="N58">
        <f>'Filtered Data'!P57</f>
        <v>0</v>
      </c>
      <c r="O58">
        <f>'Filtered Data'!N57</f>
        <v>0</v>
      </c>
      <c r="P58" t="s">
        <v>5669</v>
      </c>
      <c r="Q58" t="str">
        <f>IF('Filtered Data'!W57,"ITHybridCloudEngineeringOperationsMgmt@Marathonpetroleum.com","mark.newman2@dxc.com")</f>
        <v>mark.newman2@dxc.com</v>
      </c>
      <c r="R58">
        <f t="shared" si="2"/>
        <v>0</v>
      </c>
      <c r="S58" s="31" t="s">
        <v>5738</v>
      </c>
      <c r="T58" t="s">
        <v>1381</v>
      </c>
      <c r="U58">
        <f>'Filtered Data'!V57</f>
        <v>0</v>
      </c>
      <c r="V58" t="str">
        <f>IF('Filtered Data'!W57,"yes","no")</f>
        <v>no</v>
      </c>
      <c r="W58" t="s">
        <v>15</v>
      </c>
      <c r="X58">
        <f>'Filtered Data'!X57</f>
        <v>0</v>
      </c>
    </row>
    <row r="59" spans="1:24" x14ac:dyDescent="0.35">
      <c r="A59">
        <f>'Filtered Data'!A58</f>
        <v>0</v>
      </c>
      <c r="B59">
        <f>'Filtered Data'!B58</f>
        <v>0</v>
      </c>
      <c r="C59" t="s">
        <v>2</v>
      </c>
      <c r="D59" t="e">
        <f>VLOOKUP('Filtered Data'!Z58,'Data Mapping'!$A$4:$B$7,2,0)</f>
        <v>#N/A</v>
      </c>
      <c r="E59" t="e">
        <f>VLOOKUP('Filtered Data'!C58,'Data Mapping'!$E$3:$F$97,2,0)</f>
        <v>#N/A</v>
      </c>
      <c r="F59">
        <f>'Filtered Data'!D58</f>
        <v>0</v>
      </c>
      <c r="G59" t="e">
        <f>VLOOKUP('Filtered Data'!E58,'Data Mapping'!$J$3:$K$11,2,0)</f>
        <v>#N/A</v>
      </c>
      <c r="H59">
        <f>'Filtered Data'!F58</f>
        <v>0</v>
      </c>
      <c r="I59" t="s">
        <v>5668</v>
      </c>
      <c r="J59" t="s">
        <v>1609</v>
      </c>
      <c r="K59" t="e">
        <f>VLOOKUP('Filtered Data'!A58,'Input 1 CMDB'!A:I,9,0)</f>
        <v>#N/A</v>
      </c>
      <c r="L59">
        <f>'Filtered Data'!K58</f>
        <v>0</v>
      </c>
      <c r="M59" t="e">
        <f t="shared" si="1"/>
        <v>#VALUE!</v>
      </c>
      <c r="N59">
        <f>'Filtered Data'!P58</f>
        <v>0</v>
      </c>
      <c r="O59">
        <f>'Filtered Data'!N58</f>
        <v>0</v>
      </c>
      <c r="P59" t="s">
        <v>5669</v>
      </c>
      <c r="Q59" t="str">
        <f>IF('Filtered Data'!W58,"ITHybridCloudEngineeringOperationsMgmt@Marathonpetroleum.com","mark.newman2@dxc.com")</f>
        <v>mark.newman2@dxc.com</v>
      </c>
      <c r="R59">
        <f t="shared" si="2"/>
        <v>0</v>
      </c>
      <c r="S59" s="31" t="s">
        <v>5738</v>
      </c>
      <c r="T59" t="s">
        <v>1381</v>
      </c>
      <c r="U59">
        <f>'Filtered Data'!V58</f>
        <v>0</v>
      </c>
      <c r="V59" t="str">
        <f>IF('Filtered Data'!W58,"yes","no")</f>
        <v>no</v>
      </c>
      <c r="W59" t="s">
        <v>15</v>
      </c>
      <c r="X59">
        <f>'Filtered Data'!X58</f>
        <v>0</v>
      </c>
    </row>
    <row r="60" spans="1:24" x14ac:dyDescent="0.35">
      <c r="A60">
        <f>'Filtered Data'!A59</f>
        <v>0</v>
      </c>
      <c r="B60">
        <f>'Filtered Data'!B59</f>
        <v>0</v>
      </c>
      <c r="C60" t="s">
        <v>2</v>
      </c>
      <c r="D60" t="e">
        <f>VLOOKUP('Filtered Data'!Z59,'Data Mapping'!$A$4:$B$7,2,0)</f>
        <v>#N/A</v>
      </c>
      <c r="E60" t="e">
        <f>VLOOKUP('Filtered Data'!C59,'Data Mapping'!$E$3:$F$97,2,0)</f>
        <v>#N/A</v>
      </c>
      <c r="F60">
        <f>'Filtered Data'!D59</f>
        <v>0</v>
      </c>
      <c r="G60" t="e">
        <f>VLOOKUP('Filtered Data'!E59,'Data Mapping'!$J$3:$K$11,2,0)</f>
        <v>#N/A</v>
      </c>
      <c r="H60">
        <f>'Filtered Data'!F59</f>
        <v>0</v>
      </c>
      <c r="I60" t="s">
        <v>5668</v>
      </c>
      <c r="J60" t="s">
        <v>1609</v>
      </c>
      <c r="K60" t="e">
        <f>VLOOKUP('Filtered Data'!A59,'Input 1 CMDB'!A:I,9,0)</f>
        <v>#N/A</v>
      </c>
      <c r="L60">
        <f>'Filtered Data'!K59</f>
        <v>0</v>
      </c>
      <c r="M60" t="e">
        <f t="shared" si="1"/>
        <v>#VALUE!</v>
      </c>
      <c r="N60">
        <f>'Filtered Data'!P59</f>
        <v>0</v>
      </c>
      <c r="O60">
        <f>'Filtered Data'!N59</f>
        <v>0</v>
      </c>
      <c r="P60" t="s">
        <v>5669</v>
      </c>
      <c r="Q60" t="str">
        <f>IF('Filtered Data'!W59,"ITHybridCloudEngineeringOperationsMgmt@Marathonpetroleum.com","mark.newman2@dxc.com")</f>
        <v>mark.newman2@dxc.com</v>
      </c>
      <c r="R60">
        <f t="shared" si="2"/>
        <v>0</v>
      </c>
      <c r="S60" s="31" t="s">
        <v>5738</v>
      </c>
      <c r="T60" t="s">
        <v>1381</v>
      </c>
      <c r="U60">
        <f>'Filtered Data'!V59</f>
        <v>0</v>
      </c>
      <c r="V60" t="str">
        <f>IF('Filtered Data'!W59,"yes","no")</f>
        <v>no</v>
      </c>
      <c r="W60" t="s">
        <v>15</v>
      </c>
      <c r="X60">
        <f>'Filtered Data'!X59</f>
        <v>0</v>
      </c>
    </row>
    <row r="61" spans="1:24" x14ac:dyDescent="0.35">
      <c r="A61">
        <f>'Filtered Data'!A60</f>
        <v>0</v>
      </c>
      <c r="B61">
        <f>'Filtered Data'!B60</f>
        <v>0</v>
      </c>
      <c r="C61" t="s">
        <v>2</v>
      </c>
      <c r="D61" t="e">
        <f>VLOOKUP('Filtered Data'!Z60,'Data Mapping'!$A$4:$B$7,2,0)</f>
        <v>#N/A</v>
      </c>
      <c r="E61" t="e">
        <f>VLOOKUP('Filtered Data'!C60,'Data Mapping'!$E$3:$F$97,2,0)</f>
        <v>#N/A</v>
      </c>
      <c r="F61">
        <f>'Filtered Data'!D60</f>
        <v>0</v>
      </c>
      <c r="G61" t="e">
        <f>VLOOKUP('Filtered Data'!E60,'Data Mapping'!$J$3:$K$11,2,0)</f>
        <v>#N/A</v>
      </c>
      <c r="H61">
        <f>'Filtered Data'!F60</f>
        <v>0</v>
      </c>
      <c r="I61" t="s">
        <v>5668</v>
      </c>
      <c r="J61" t="s">
        <v>1609</v>
      </c>
      <c r="K61" t="e">
        <f>VLOOKUP('Filtered Data'!A60,'Input 1 CMDB'!A:I,9,0)</f>
        <v>#N/A</v>
      </c>
      <c r="L61">
        <f>'Filtered Data'!K60</f>
        <v>0</v>
      </c>
      <c r="M61" t="e">
        <f t="shared" si="1"/>
        <v>#VALUE!</v>
      </c>
      <c r="N61">
        <f>'Filtered Data'!P60</f>
        <v>0</v>
      </c>
      <c r="O61">
        <f>'Filtered Data'!N60</f>
        <v>0</v>
      </c>
      <c r="P61" t="s">
        <v>5669</v>
      </c>
      <c r="Q61" t="str">
        <f>IF('Filtered Data'!W60,"ITHybridCloudEngineeringOperationsMgmt@Marathonpetroleum.com","mark.newman2@dxc.com")</f>
        <v>mark.newman2@dxc.com</v>
      </c>
      <c r="R61">
        <f t="shared" si="2"/>
        <v>0</v>
      </c>
      <c r="S61" s="31" t="s">
        <v>5738</v>
      </c>
      <c r="T61" t="s">
        <v>1381</v>
      </c>
      <c r="U61">
        <f>'Filtered Data'!V60</f>
        <v>0</v>
      </c>
      <c r="V61" t="str">
        <f>IF('Filtered Data'!W60,"yes","no")</f>
        <v>no</v>
      </c>
      <c r="W61" t="s">
        <v>15</v>
      </c>
      <c r="X61">
        <f>'Filtered Data'!X60</f>
        <v>0</v>
      </c>
    </row>
    <row r="62" spans="1:24" x14ac:dyDescent="0.35">
      <c r="A62">
        <f>'Filtered Data'!A61</f>
        <v>0</v>
      </c>
      <c r="B62">
        <f>'Filtered Data'!B61</f>
        <v>0</v>
      </c>
      <c r="C62" t="s">
        <v>2</v>
      </c>
      <c r="D62" t="e">
        <f>VLOOKUP('Filtered Data'!Z61,'Data Mapping'!$A$4:$B$7,2,0)</f>
        <v>#N/A</v>
      </c>
      <c r="E62" t="e">
        <f>VLOOKUP('Filtered Data'!C61,'Data Mapping'!$E$3:$F$97,2,0)</f>
        <v>#N/A</v>
      </c>
      <c r="F62">
        <f>'Filtered Data'!D61</f>
        <v>0</v>
      </c>
      <c r="G62" t="e">
        <f>VLOOKUP('Filtered Data'!E61,'Data Mapping'!$J$3:$K$11,2,0)</f>
        <v>#N/A</v>
      </c>
      <c r="H62">
        <f>'Filtered Data'!F61</f>
        <v>0</v>
      </c>
      <c r="I62" t="s">
        <v>5668</v>
      </c>
      <c r="J62" t="s">
        <v>1609</v>
      </c>
      <c r="K62" t="e">
        <f>VLOOKUP('Filtered Data'!A61,'Input 1 CMDB'!A:I,9,0)</f>
        <v>#N/A</v>
      </c>
      <c r="L62">
        <f>'Filtered Data'!K61</f>
        <v>0</v>
      </c>
      <c r="M62" t="e">
        <f t="shared" si="1"/>
        <v>#VALUE!</v>
      </c>
      <c r="N62">
        <f>'Filtered Data'!P61</f>
        <v>0</v>
      </c>
      <c r="O62">
        <f>'Filtered Data'!N61</f>
        <v>0</v>
      </c>
      <c r="P62" t="s">
        <v>5669</v>
      </c>
      <c r="Q62" t="str">
        <f>IF('Filtered Data'!W61,"ITHybridCloudEngineeringOperationsMgmt@Marathonpetroleum.com","mark.newman2@dxc.com")</f>
        <v>mark.newman2@dxc.com</v>
      </c>
      <c r="R62">
        <f t="shared" si="2"/>
        <v>0</v>
      </c>
      <c r="S62" s="31" t="s">
        <v>5738</v>
      </c>
      <c r="T62" t="s">
        <v>1381</v>
      </c>
      <c r="U62">
        <f>'Filtered Data'!V61</f>
        <v>0</v>
      </c>
      <c r="V62" t="str">
        <f>IF('Filtered Data'!W61,"yes","no")</f>
        <v>no</v>
      </c>
      <c r="W62" t="s">
        <v>15</v>
      </c>
      <c r="X62">
        <f>'Filtered Data'!X61</f>
        <v>0</v>
      </c>
    </row>
    <row r="63" spans="1:24" x14ac:dyDescent="0.35">
      <c r="A63">
        <f>'Filtered Data'!A62</f>
        <v>0</v>
      </c>
      <c r="B63">
        <f>'Filtered Data'!B62</f>
        <v>0</v>
      </c>
      <c r="C63" t="s">
        <v>2</v>
      </c>
      <c r="D63" t="e">
        <f>VLOOKUP('Filtered Data'!Z62,'Data Mapping'!$A$4:$B$7,2,0)</f>
        <v>#N/A</v>
      </c>
      <c r="E63" t="e">
        <f>VLOOKUP('Filtered Data'!C62,'Data Mapping'!$E$3:$F$97,2,0)</f>
        <v>#N/A</v>
      </c>
      <c r="F63">
        <f>'Filtered Data'!D62</f>
        <v>0</v>
      </c>
      <c r="G63" t="e">
        <f>VLOOKUP('Filtered Data'!E62,'Data Mapping'!$J$3:$K$11,2,0)</f>
        <v>#N/A</v>
      </c>
      <c r="H63">
        <f>'Filtered Data'!F62</f>
        <v>0</v>
      </c>
      <c r="I63" t="s">
        <v>5668</v>
      </c>
      <c r="J63" t="s">
        <v>1609</v>
      </c>
      <c r="K63" t="e">
        <f>VLOOKUP('Filtered Data'!A62,'Input 1 CMDB'!A:I,9,0)</f>
        <v>#N/A</v>
      </c>
      <c r="L63">
        <f>'Filtered Data'!K62</f>
        <v>0</v>
      </c>
      <c r="M63" t="e">
        <f t="shared" si="1"/>
        <v>#VALUE!</v>
      </c>
      <c r="N63">
        <f>'Filtered Data'!P62</f>
        <v>0</v>
      </c>
      <c r="O63">
        <f>'Filtered Data'!N62</f>
        <v>0</v>
      </c>
      <c r="P63" t="s">
        <v>5669</v>
      </c>
      <c r="Q63" t="str">
        <f>IF('Filtered Data'!W62,"ITHybridCloudEngineeringOperationsMgmt@Marathonpetroleum.com","mark.newman2@dxc.com")</f>
        <v>mark.newman2@dxc.com</v>
      </c>
      <c r="R63">
        <f t="shared" si="2"/>
        <v>0</v>
      </c>
      <c r="S63" s="31" t="s">
        <v>5738</v>
      </c>
      <c r="T63" t="s">
        <v>1381</v>
      </c>
      <c r="U63">
        <f>'Filtered Data'!V62</f>
        <v>0</v>
      </c>
      <c r="V63" t="str">
        <f>IF('Filtered Data'!W62,"yes","no")</f>
        <v>no</v>
      </c>
      <c r="W63" t="s">
        <v>15</v>
      </c>
      <c r="X63">
        <f>'Filtered Data'!X62</f>
        <v>0</v>
      </c>
    </row>
    <row r="64" spans="1:24" x14ac:dyDescent="0.35">
      <c r="A64">
        <f>'Filtered Data'!A63</f>
        <v>0</v>
      </c>
      <c r="B64">
        <f>'Filtered Data'!B63</f>
        <v>0</v>
      </c>
      <c r="C64" t="s">
        <v>2</v>
      </c>
      <c r="D64" t="e">
        <f>VLOOKUP('Filtered Data'!Z63,'Data Mapping'!$A$4:$B$7,2,0)</f>
        <v>#N/A</v>
      </c>
      <c r="E64" t="e">
        <f>VLOOKUP('Filtered Data'!C63,'Data Mapping'!$E$3:$F$97,2,0)</f>
        <v>#N/A</v>
      </c>
      <c r="F64">
        <f>'Filtered Data'!D63</f>
        <v>0</v>
      </c>
      <c r="G64" t="e">
        <f>VLOOKUP('Filtered Data'!E63,'Data Mapping'!$J$3:$K$11,2,0)</f>
        <v>#N/A</v>
      </c>
      <c r="H64">
        <f>'Filtered Data'!F63</f>
        <v>0</v>
      </c>
      <c r="I64" t="s">
        <v>5668</v>
      </c>
      <c r="J64" t="s">
        <v>1609</v>
      </c>
      <c r="K64" t="e">
        <f>VLOOKUP('Filtered Data'!A63,'Input 1 CMDB'!A:I,9,0)</f>
        <v>#N/A</v>
      </c>
      <c r="L64">
        <f>'Filtered Data'!K63</f>
        <v>0</v>
      </c>
      <c r="M64" t="e">
        <f t="shared" si="1"/>
        <v>#VALUE!</v>
      </c>
      <c r="N64">
        <f>'Filtered Data'!P63</f>
        <v>0</v>
      </c>
      <c r="O64">
        <f>'Filtered Data'!N63</f>
        <v>0</v>
      </c>
      <c r="P64" t="s">
        <v>5669</v>
      </c>
      <c r="Q64" t="str">
        <f>IF('Filtered Data'!W63,"ITHybridCloudEngineeringOperationsMgmt@Marathonpetroleum.com","mark.newman2@dxc.com")</f>
        <v>mark.newman2@dxc.com</v>
      </c>
      <c r="R64">
        <f t="shared" si="2"/>
        <v>0</v>
      </c>
      <c r="S64" s="31" t="s">
        <v>5738</v>
      </c>
      <c r="T64" t="s">
        <v>1381</v>
      </c>
      <c r="U64">
        <f>'Filtered Data'!V63</f>
        <v>0</v>
      </c>
      <c r="V64" t="str">
        <f>IF('Filtered Data'!W63,"yes","no")</f>
        <v>no</v>
      </c>
      <c r="W64" t="s">
        <v>15</v>
      </c>
      <c r="X64">
        <f>'Filtered Data'!X63</f>
        <v>0</v>
      </c>
    </row>
    <row r="65" spans="1:24" x14ac:dyDescent="0.35">
      <c r="A65">
        <f>'Filtered Data'!A64</f>
        <v>0</v>
      </c>
      <c r="B65">
        <f>'Filtered Data'!B64</f>
        <v>0</v>
      </c>
      <c r="C65" t="s">
        <v>2</v>
      </c>
      <c r="D65" t="e">
        <f>VLOOKUP('Filtered Data'!Z64,'Data Mapping'!$A$4:$B$7,2,0)</f>
        <v>#N/A</v>
      </c>
      <c r="E65" t="e">
        <f>VLOOKUP('Filtered Data'!C64,'Data Mapping'!$E$3:$F$97,2,0)</f>
        <v>#N/A</v>
      </c>
      <c r="F65">
        <f>'Filtered Data'!D64</f>
        <v>0</v>
      </c>
      <c r="G65" t="e">
        <f>VLOOKUP('Filtered Data'!E64,'Data Mapping'!$J$3:$K$11,2,0)</f>
        <v>#N/A</v>
      </c>
      <c r="H65">
        <f>'Filtered Data'!F64</f>
        <v>0</v>
      </c>
      <c r="I65" t="s">
        <v>5668</v>
      </c>
      <c r="J65" t="s">
        <v>1609</v>
      </c>
      <c r="K65" t="e">
        <f>VLOOKUP('Filtered Data'!A64,'Input 1 CMDB'!A:I,9,0)</f>
        <v>#N/A</v>
      </c>
      <c r="L65">
        <f>'Filtered Data'!K64</f>
        <v>0</v>
      </c>
      <c r="M65" t="e">
        <f t="shared" si="1"/>
        <v>#VALUE!</v>
      </c>
      <c r="N65">
        <f>'Filtered Data'!P64</f>
        <v>0</v>
      </c>
      <c r="O65">
        <f>'Filtered Data'!N64</f>
        <v>0</v>
      </c>
      <c r="P65" t="s">
        <v>5669</v>
      </c>
      <c r="Q65" t="str">
        <f>IF('Filtered Data'!W64,"ITHybridCloudEngineeringOperationsMgmt@Marathonpetroleum.com","mark.newman2@dxc.com")</f>
        <v>mark.newman2@dxc.com</v>
      </c>
      <c r="R65">
        <f t="shared" si="2"/>
        <v>0</v>
      </c>
      <c r="S65" s="31" t="s">
        <v>5738</v>
      </c>
      <c r="T65" t="s">
        <v>1381</v>
      </c>
      <c r="U65">
        <f>'Filtered Data'!V64</f>
        <v>0</v>
      </c>
      <c r="V65" t="str">
        <f>IF('Filtered Data'!W64,"yes","no")</f>
        <v>no</v>
      </c>
      <c r="W65" t="s">
        <v>15</v>
      </c>
      <c r="X65">
        <f>'Filtered Data'!X64</f>
        <v>0</v>
      </c>
    </row>
    <row r="66" spans="1:24" x14ac:dyDescent="0.35">
      <c r="A66">
        <f>'Filtered Data'!A65</f>
        <v>0</v>
      </c>
      <c r="B66">
        <f>'Filtered Data'!B65</f>
        <v>0</v>
      </c>
      <c r="C66" t="s">
        <v>2</v>
      </c>
      <c r="D66" t="e">
        <f>VLOOKUP('Filtered Data'!Z65,'Data Mapping'!$A$4:$B$7,2,0)</f>
        <v>#N/A</v>
      </c>
      <c r="E66" t="e">
        <f>VLOOKUP('Filtered Data'!C65,'Data Mapping'!$E$3:$F$97,2,0)</f>
        <v>#N/A</v>
      </c>
      <c r="F66">
        <f>'Filtered Data'!D65</f>
        <v>0</v>
      </c>
      <c r="G66" t="e">
        <f>VLOOKUP('Filtered Data'!E65,'Data Mapping'!$J$3:$K$11,2,0)</f>
        <v>#N/A</v>
      </c>
      <c r="H66">
        <f>'Filtered Data'!F65</f>
        <v>0</v>
      </c>
      <c r="I66" t="s">
        <v>5668</v>
      </c>
      <c r="J66" t="s">
        <v>1609</v>
      </c>
      <c r="K66" t="e">
        <f>VLOOKUP('Filtered Data'!A65,'Input 1 CMDB'!A:I,9,0)</f>
        <v>#N/A</v>
      </c>
      <c r="L66">
        <f>'Filtered Data'!K65</f>
        <v>0</v>
      </c>
      <c r="M66" t="e">
        <f t="shared" si="1"/>
        <v>#VALUE!</v>
      </c>
      <c r="N66">
        <f>'Filtered Data'!P65</f>
        <v>0</v>
      </c>
      <c r="O66">
        <f>'Filtered Data'!N65</f>
        <v>0</v>
      </c>
      <c r="P66" t="s">
        <v>5669</v>
      </c>
      <c r="Q66" t="str">
        <f>IF('Filtered Data'!W65,"ITHybridCloudEngineeringOperationsMgmt@Marathonpetroleum.com","mark.newman2@dxc.com")</f>
        <v>mark.newman2@dxc.com</v>
      </c>
      <c r="R66">
        <f t="shared" si="2"/>
        <v>0</v>
      </c>
      <c r="S66" s="31" t="s">
        <v>5738</v>
      </c>
      <c r="T66" t="s">
        <v>1381</v>
      </c>
      <c r="U66">
        <f>'Filtered Data'!V65</f>
        <v>0</v>
      </c>
      <c r="V66" t="str">
        <f>IF('Filtered Data'!W65,"yes","no")</f>
        <v>no</v>
      </c>
      <c r="W66" t="s">
        <v>15</v>
      </c>
      <c r="X66">
        <f>'Filtered Data'!X65</f>
        <v>0</v>
      </c>
    </row>
    <row r="67" spans="1:24" x14ac:dyDescent="0.35">
      <c r="A67">
        <f>'Filtered Data'!A66</f>
        <v>0</v>
      </c>
      <c r="B67">
        <f>'Filtered Data'!B66</f>
        <v>0</v>
      </c>
      <c r="C67" t="s">
        <v>2</v>
      </c>
      <c r="D67" t="e">
        <f>VLOOKUP('Filtered Data'!Z66,'Data Mapping'!$A$4:$B$7,2,0)</f>
        <v>#N/A</v>
      </c>
      <c r="E67" t="e">
        <f>VLOOKUP('Filtered Data'!C66,'Data Mapping'!$E$3:$F$97,2,0)</f>
        <v>#N/A</v>
      </c>
      <c r="F67">
        <f>'Filtered Data'!D66</f>
        <v>0</v>
      </c>
      <c r="G67" t="e">
        <f>VLOOKUP('Filtered Data'!E66,'Data Mapping'!$J$3:$K$11,2,0)</f>
        <v>#N/A</v>
      </c>
      <c r="H67">
        <f>'Filtered Data'!F66</f>
        <v>0</v>
      </c>
      <c r="I67" t="s">
        <v>5668</v>
      </c>
      <c r="J67" t="s">
        <v>1609</v>
      </c>
      <c r="K67" t="e">
        <f>VLOOKUP('Filtered Data'!A66,'Input 1 CMDB'!A:I,9,0)</f>
        <v>#N/A</v>
      </c>
      <c r="L67">
        <f>'Filtered Data'!K66</f>
        <v>0</v>
      </c>
      <c r="M67" t="e">
        <f t="shared" si="1"/>
        <v>#VALUE!</v>
      </c>
      <c r="N67">
        <f>'Filtered Data'!P66</f>
        <v>0</v>
      </c>
      <c r="O67">
        <f>'Filtered Data'!N66</f>
        <v>0</v>
      </c>
      <c r="P67" t="s">
        <v>5669</v>
      </c>
      <c r="Q67" t="str">
        <f>IF('Filtered Data'!W66,"ITHybridCloudEngineeringOperationsMgmt@Marathonpetroleum.com","mark.newman2@dxc.com")</f>
        <v>mark.newman2@dxc.com</v>
      </c>
      <c r="R67">
        <f t="shared" si="2"/>
        <v>0</v>
      </c>
      <c r="S67" s="31" t="s">
        <v>5738</v>
      </c>
      <c r="T67" t="s">
        <v>1381</v>
      </c>
      <c r="U67">
        <f>'Filtered Data'!V66</f>
        <v>0</v>
      </c>
      <c r="V67" t="str">
        <f>IF('Filtered Data'!W66,"yes","no")</f>
        <v>no</v>
      </c>
      <c r="W67" t="s">
        <v>15</v>
      </c>
      <c r="X67">
        <f>'Filtered Data'!X66</f>
        <v>0</v>
      </c>
    </row>
    <row r="68" spans="1:24" x14ac:dyDescent="0.35">
      <c r="A68">
        <f>'Filtered Data'!A67</f>
        <v>0</v>
      </c>
      <c r="B68">
        <f>'Filtered Data'!B67</f>
        <v>0</v>
      </c>
      <c r="C68" t="s">
        <v>2</v>
      </c>
      <c r="D68" t="e">
        <f>VLOOKUP('Filtered Data'!Z67,'Data Mapping'!$A$4:$B$7,2,0)</f>
        <v>#N/A</v>
      </c>
      <c r="E68" t="e">
        <f>VLOOKUP('Filtered Data'!C67,'Data Mapping'!$E$3:$F$97,2,0)</f>
        <v>#N/A</v>
      </c>
      <c r="F68">
        <f>'Filtered Data'!D67</f>
        <v>0</v>
      </c>
      <c r="G68" t="e">
        <f>VLOOKUP('Filtered Data'!E67,'Data Mapping'!$J$3:$K$11,2,0)</f>
        <v>#N/A</v>
      </c>
      <c r="H68">
        <f>'Filtered Data'!F67</f>
        <v>0</v>
      </c>
      <c r="I68" t="s">
        <v>5668</v>
      </c>
      <c r="J68" t="s">
        <v>1609</v>
      </c>
      <c r="K68" t="e">
        <f>VLOOKUP('Filtered Data'!A67,'Input 1 CMDB'!A:I,9,0)</f>
        <v>#N/A</v>
      </c>
      <c r="L68">
        <f>'Filtered Data'!K67</f>
        <v>0</v>
      </c>
      <c r="M68" t="e">
        <f t="shared" si="1"/>
        <v>#VALUE!</v>
      </c>
      <c r="N68">
        <f>'Filtered Data'!P67</f>
        <v>0</v>
      </c>
      <c r="O68">
        <f>'Filtered Data'!N67</f>
        <v>0</v>
      </c>
      <c r="P68" t="s">
        <v>5669</v>
      </c>
      <c r="Q68" t="str">
        <f>IF('Filtered Data'!W67,"ITHybridCloudEngineeringOperationsMgmt@Marathonpetroleum.com","mark.newman2@dxc.com")</f>
        <v>mark.newman2@dxc.com</v>
      </c>
      <c r="R68">
        <f t="shared" si="2"/>
        <v>0</v>
      </c>
      <c r="S68" s="31" t="s">
        <v>5738</v>
      </c>
      <c r="T68" t="s">
        <v>1381</v>
      </c>
      <c r="U68">
        <f>'Filtered Data'!V67</f>
        <v>0</v>
      </c>
      <c r="V68" t="str">
        <f>IF('Filtered Data'!W67,"yes","no")</f>
        <v>no</v>
      </c>
      <c r="W68" t="s">
        <v>15</v>
      </c>
      <c r="X68">
        <f>'Filtered Data'!X67</f>
        <v>0</v>
      </c>
    </row>
    <row r="69" spans="1:24" x14ac:dyDescent="0.35">
      <c r="A69">
        <f>'Filtered Data'!A68</f>
        <v>0</v>
      </c>
      <c r="B69">
        <f>'Filtered Data'!B68</f>
        <v>0</v>
      </c>
      <c r="C69" t="s">
        <v>2</v>
      </c>
      <c r="D69" t="e">
        <f>VLOOKUP('Filtered Data'!Z68,'Data Mapping'!$A$4:$B$7,2,0)</f>
        <v>#N/A</v>
      </c>
      <c r="E69" t="e">
        <f>VLOOKUP('Filtered Data'!C68,'Data Mapping'!$E$3:$F$97,2,0)</f>
        <v>#N/A</v>
      </c>
      <c r="F69">
        <f>'Filtered Data'!D68</f>
        <v>0</v>
      </c>
      <c r="G69" t="e">
        <f>VLOOKUP('Filtered Data'!E68,'Data Mapping'!$J$3:$K$11,2,0)</f>
        <v>#N/A</v>
      </c>
      <c r="H69">
        <f>'Filtered Data'!F68</f>
        <v>0</v>
      </c>
      <c r="I69" t="s">
        <v>5668</v>
      </c>
      <c r="J69" t="s">
        <v>1609</v>
      </c>
      <c r="K69" t="e">
        <f>VLOOKUP('Filtered Data'!A68,'Input 1 CMDB'!A:I,9,0)</f>
        <v>#N/A</v>
      </c>
      <c r="L69">
        <f>'Filtered Data'!K68</f>
        <v>0</v>
      </c>
      <c r="M69" t="e">
        <f t="shared" ref="M69:M102" si="3">MID(B69,FIND(".",B69)+1,(LEN(B69)-FIND(".",B69)))</f>
        <v>#VALUE!</v>
      </c>
      <c r="N69">
        <f>'Filtered Data'!P68</f>
        <v>0</v>
      </c>
      <c r="O69">
        <f>'Filtered Data'!N68</f>
        <v>0</v>
      </c>
      <c r="P69" t="s">
        <v>5669</v>
      </c>
      <c r="Q69" t="str">
        <f>IF('Filtered Data'!W68,"ITHybridCloudEngineeringOperationsMgmt@Marathonpetroleum.com","mark.newman2@dxc.com")</f>
        <v>mark.newman2@dxc.com</v>
      </c>
      <c r="R69">
        <f t="shared" si="2"/>
        <v>0</v>
      </c>
      <c r="S69" s="31" t="s">
        <v>5738</v>
      </c>
      <c r="T69" t="s">
        <v>1381</v>
      </c>
      <c r="U69">
        <f>'Filtered Data'!V68</f>
        <v>0</v>
      </c>
      <c r="V69" t="str">
        <f>IF('Filtered Data'!W68,"yes","no")</f>
        <v>no</v>
      </c>
      <c r="W69" t="s">
        <v>15</v>
      </c>
      <c r="X69">
        <f>'Filtered Data'!X68</f>
        <v>0</v>
      </c>
    </row>
    <row r="70" spans="1:24" x14ac:dyDescent="0.35">
      <c r="A70">
        <f>'Filtered Data'!A69</f>
        <v>0</v>
      </c>
      <c r="B70">
        <f>'Filtered Data'!B69</f>
        <v>0</v>
      </c>
      <c r="C70" t="s">
        <v>2</v>
      </c>
      <c r="D70" t="e">
        <f>VLOOKUP('Filtered Data'!Z69,'Data Mapping'!$A$4:$B$7,2,0)</f>
        <v>#N/A</v>
      </c>
      <c r="E70" t="e">
        <f>VLOOKUP('Filtered Data'!C69,'Data Mapping'!$E$3:$F$97,2,0)</f>
        <v>#N/A</v>
      </c>
      <c r="F70">
        <f>'Filtered Data'!D69</f>
        <v>0</v>
      </c>
      <c r="G70" t="e">
        <f>VLOOKUP('Filtered Data'!E69,'Data Mapping'!$J$3:$K$11,2,0)</f>
        <v>#N/A</v>
      </c>
      <c r="H70">
        <f>'Filtered Data'!F69</f>
        <v>0</v>
      </c>
      <c r="I70" t="s">
        <v>5668</v>
      </c>
      <c r="J70" t="s">
        <v>1609</v>
      </c>
      <c r="K70" t="e">
        <f>VLOOKUP('Filtered Data'!A69,'Input 1 CMDB'!A:I,9,0)</f>
        <v>#N/A</v>
      </c>
      <c r="L70">
        <f>'Filtered Data'!K69</f>
        <v>0</v>
      </c>
      <c r="M70" t="e">
        <f t="shared" si="3"/>
        <v>#VALUE!</v>
      </c>
      <c r="N70">
        <f>'Filtered Data'!P69</f>
        <v>0</v>
      </c>
      <c r="O70">
        <f>'Filtered Data'!N69</f>
        <v>0</v>
      </c>
      <c r="P70" t="s">
        <v>5669</v>
      </c>
      <c r="Q70" t="str">
        <f>IF('Filtered Data'!W69,"ITHybridCloudEngineeringOperationsMgmt@Marathonpetroleum.com","mark.newman2@dxc.com")</f>
        <v>mark.newman2@dxc.com</v>
      </c>
      <c r="R70">
        <f t="shared" si="2"/>
        <v>0</v>
      </c>
      <c r="S70" s="31" t="s">
        <v>5738</v>
      </c>
      <c r="T70" t="s">
        <v>1381</v>
      </c>
      <c r="U70">
        <f>'Filtered Data'!V69</f>
        <v>0</v>
      </c>
      <c r="V70" t="str">
        <f>IF('Filtered Data'!W69,"yes","no")</f>
        <v>no</v>
      </c>
      <c r="W70" t="s">
        <v>15</v>
      </c>
      <c r="X70">
        <f>'Filtered Data'!X69</f>
        <v>0</v>
      </c>
    </row>
    <row r="71" spans="1:24" x14ac:dyDescent="0.35">
      <c r="A71">
        <f>'Filtered Data'!A70</f>
        <v>0</v>
      </c>
      <c r="B71">
        <f>'Filtered Data'!B70</f>
        <v>0</v>
      </c>
      <c r="C71" t="s">
        <v>2</v>
      </c>
      <c r="D71" t="e">
        <f>VLOOKUP('Filtered Data'!Z70,'Data Mapping'!$A$4:$B$7,2,0)</f>
        <v>#N/A</v>
      </c>
      <c r="E71" t="e">
        <f>VLOOKUP('Filtered Data'!C70,'Data Mapping'!$E$3:$F$97,2,0)</f>
        <v>#N/A</v>
      </c>
      <c r="F71">
        <f>'Filtered Data'!D70</f>
        <v>0</v>
      </c>
      <c r="G71" t="e">
        <f>VLOOKUP('Filtered Data'!E70,'Data Mapping'!$J$3:$K$11,2,0)</f>
        <v>#N/A</v>
      </c>
      <c r="H71">
        <f>'Filtered Data'!F70</f>
        <v>0</v>
      </c>
      <c r="I71" t="s">
        <v>5668</v>
      </c>
      <c r="J71" t="s">
        <v>1609</v>
      </c>
      <c r="K71" t="e">
        <f>VLOOKUP('Filtered Data'!A70,'Input 1 CMDB'!A:I,9,0)</f>
        <v>#N/A</v>
      </c>
      <c r="L71">
        <f>'Filtered Data'!K70</f>
        <v>0</v>
      </c>
      <c r="M71" t="e">
        <f t="shared" si="3"/>
        <v>#VALUE!</v>
      </c>
      <c r="N71">
        <f>'Filtered Data'!P70</f>
        <v>0</v>
      </c>
      <c r="O71">
        <f>'Filtered Data'!N70</f>
        <v>0</v>
      </c>
      <c r="P71" t="s">
        <v>5669</v>
      </c>
      <c r="Q71" t="str">
        <f>IF('Filtered Data'!W70,"ITHybridCloudEngineeringOperationsMgmt@Marathonpetroleum.com","mark.newman2@dxc.com")</f>
        <v>mark.newman2@dxc.com</v>
      </c>
      <c r="R71">
        <f t="shared" si="2"/>
        <v>0</v>
      </c>
      <c r="S71" s="31" t="s">
        <v>5738</v>
      </c>
      <c r="T71" t="s">
        <v>1381</v>
      </c>
      <c r="U71">
        <f>'Filtered Data'!V70</f>
        <v>0</v>
      </c>
      <c r="V71" t="str">
        <f>IF('Filtered Data'!W70,"yes","no")</f>
        <v>no</v>
      </c>
      <c r="W71" t="s">
        <v>15</v>
      </c>
      <c r="X71">
        <f>'Filtered Data'!X70</f>
        <v>0</v>
      </c>
    </row>
    <row r="72" spans="1:24" x14ac:dyDescent="0.35">
      <c r="A72">
        <f>'Filtered Data'!A71</f>
        <v>0</v>
      </c>
      <c r="B72">
        <f>'Filtered Data'!B71</f>
        <v>0</v>
      </c>
      <c r="C72" t="s">
        <v>2</v>
      </c>
      <c r="D72" t="e">
        <f>VLOOKUP('Filtered Data'!Z71,'Data Mapping'!$A$4:$B$7,2,0)</f>
        <v>#N/A</v>
      </c>
      <c r="E72" t="e">
        <f>VLOOKUP('Filtered Data'!C71,'Data Mapping'!$E$3:$F$97,2,0)</f>
        <v>#N/A</v>
      </c>
      <c r="F72">
        <f>'Filtered Data'!D71</f>
        <v>0</v>
      </c>
      <c r="G72" t="e">
        <f>VLOOKUP('Filtered Data'!E71,'Data Mapping'!$J$3:$K$11,2,0)</f>
        <v>#N/A</v>
      </c>
      <c r="H72">
        <f>'Filtered Data'!F71</f>
        <v>0</v>
      </c>
      <c r="I72" t="s">
        <v>5668</v>
      </c>
      <c r="J72" t="s">
        <v>1609</v>
      </c>
      <c r="K72" t="e">
        <f>VLOOKUP('Filtered Data'!A71,'Input 1 CMDB'!A:I,9,0)</f>
        <v>#N/A</v>
      </c>
      <c r="L72">
        <f>'Filtered Data'!K71</f>
        <v>0</v>
      </c>
      <c r="M72" t="e">
        <f t="shared" si="3"/>
        <v>#VALUE!</v>
      </c>
      <c r="N72">
        <f>'Filtered Data'!P71</f>
        <v>0</v>
      </c>
      <c r="O72">
        <f>'Filtered Data'!N71</f>
        <v>0</v>
      </c>
      <c r="P72" t="s">
        <v>5669</v>
      </c>
      <c r="Q72" t="str">
        <f>IF('Filtered Data'!W71,"ITHybridCloudEngineeringOperationsMgmt@Marathonpetroleum.com","mark.newman2@dxc.com")</f>
        <v>mark.newman2@dxc.com</v>
      </c>
      <c r="R72">
        <f t="shared" si="2"/>
        <v>0</v>
      </c>
      <c r="S72" s="31" t="s">
        <v>5738</v>
      </c>
      <c r="T72" t="s">
        <v>1381</v>
      </c>
      <c r="U72">
        <f>'Filtered Data'!V71</f>
        <v>0</v>
      </c>
      <c r="V72" t="str">
        <f>IF('Filtered Data'!W71,"yes","no")</f>
        <v>no</v>
      </c>
      <c r="W72" t="s">
        <v>15</v>
      </c>
      <c r="X72">
        <f>'Filtered Data'!X71</f>
        <v>0</v>
      </c>
    </row>
    <row r="73" spans="1:24" x14ac:dyDescent="0.35">
      <c r="A73">
        <f>'Filtered Data'!A72</f>
        <v>0</v>
      </c>
      <c r="B73">
        <f>'Filtered Data'!B72</f>
        <v>0</v>
      </c>
      <c r="C73" t="s">
        <v>2</v>
      </c>
      <c r="D73" t="e">
        <f>VLOOKUP('Filtered Data'!Z72,'Data Mapping'!$A$4:$B$7,2,0)</f>
        <v>#N/A</v>
      </c>
      <c r="E73" t="e">
        <f>VLOOKUP('Filtered Data'!C72,'Data Mapping'!$E$3:$F$97,2,0)</f>
        <v>#N/A</v>
      </c>
      <c r="F73">
        <f>'Filtered Data'!D72</f>
        <v>0</v>
      </c>
      <c r="G73" t="e">
        <f>VLOOKUP('Filtered Data'!E72,'Data Mapping'!$J$3:$K$11,2,0)</f>
        <v>#N/A</v>
      </c>
      <c r="H73">
        <f>'Filtered Data'!F72</f>
        <v>0</v>
      </c>
      <c r="I73" t="s">
        <v>5668</v>
      </c>
      <c r="J73" t="s">
        <v>1609</v>
      </c>
      <c r="K73" t="e">
        <f>VLOOKUP('Filtered Data'!A72,'Input 1 CMDB'!A:I,9,0)</f>
        <v>#N/A</v>
      </c>
      <c r="L73">
        <f>'Filtered Data'!K72</f>
        <v>0</v>
      </c>
      <c r="M73" t="e">
        <f t="shared" si="3"/>
        <v>#VALUE!</v>
      </c>
      <c r="N73">
        <f>'Filtered Data'!P72</f>
        <v>0</v>
      </c>
      <c r="O73">
        <f>'Filtered Data'!N72</f>
        <v>0</v>
      </c>
      <c r="P73" t="s">
        <v>5669</v>
      </c>
      <c r="Q73" t="str">
        <f>IF('Filtered Data'!W72,"ITHybridCloudEngineeringOperationsMgmt@Marathonpetroleum.com","mark.newman2@dxc.com")</f>
        <v>mark.newman2@dxc.com</v>
      </c>
      <c r="R73">
        <f t="shared" si="2"/>
        <v>0</v>
      </c>
      <c r="S73" s="31" t="s">
        <v>5738</v>
      </c>
      <c r="T73" t="s">
        <v>1381</v>
      </c>
      <c r="U73">
        <f>'Filtered Data'!V72</f>
        <v>0</v>
      </c>
      <c r="V73" t="str">
        <f>IF('Filtered Data'!W72,"yes","no")</f>
        <v>no</v>
      </c>
      <c r="W73" t="s">
        <v>15</v>
      </c>
      <c r="X73">
        <f>'Filtered Data'!X72</f>
        <v>0</v>
      </c>
    </row>
    <row r="74" spans="1:24" x14ac:dyDescent="0.35">
      <c r="A74">
        <f>'Filtered Data'!A73</f>
        <v>0</v>
      </c>
      <c r="B74">
        <f>'Filtered Data'!B73</f>
        <v>0</v>
      </c>
      <c r="C74" t="s">
        <v>2</v>
      </c>
      <c r="D74" t="e">
        <f>VLOOKUP('Filtered Data'!Z73,'Data Mapping'!$A$4:$B$7,2,0)</f>
        <v>#N/A</v>
      </c>
      <c r="E74" t="e">
        <f>VLOOKUP('Filtered Data'!C73,'Data Mapping'!$E$3:$F$97,2,0)</f>
        <v>#N/A</v>
      </c>
      <c r="F74">
        <f>'Filtered Data'!D73</f>
        <v>0</v>
      </c>
      <c r="G74" t="e">
        <f>VLOOKUP('Filtered Data'!E73,'Data Mapping'!$J$3:$K$11,2,0)</f>
        <v>#N/A</v>
      </c>
      <c r="H74">
        <f>'Filtered Data'!F73</f>
        <v>0</v>
      </c>
      <c r="I74" t="s">
        <v>5668</v>
      </c>
      <c r="J74" t="s">
        <v>1609</v>
      </c>
      <c r="K74" t="e">
        <f>VLOOKUP('Filtered Data'!A73,'Input 1 CMDB'!A:I,9,0)</f>
        <v>#N/A</v>
      </c>
      <c r="L74">
        <f>'Filtered Data'!K73</f>
        <v>0</v>
      </c>
      <c r="M74" t="e">
        <f t="shared" si="3"/>
        <v>#VALUE!</v>
      </c>
      <c r="N74">
        <f>'Filtered Data'!P73</f>
        <v>0</v>
      </c>
      <c r="O74">
        <f>'Filtered Data'!N73</f>
        <v>0</v>
      </c>
      <c r="P74" t="s">
        <v>5669</v>
      </c>
      <c r="Q74" t="str">
        <f>IF('Filtered Data'!W73,"ITHybridCloudEngineeringOperationsMgmt@Marathonpetroleum.com","mark.newman2@dxc.com")</f>
        <v>mark.newman2@dxc.com</v>
      </c>
      <c r="R74">
        <f t="shared" si="2"/>
        <v>0</v>
      </c>
      <c r="S74" s="31" t="s">
        <v>5738</v>
      </c>
      <c r="T74" t="s">
        <v>1381</v>
      </c>
      <c r="U74">
        <f>'Filtered Data'!V73</f>
        <v>0</v>
      </c>
      <c r="V74" t="str">
        <f>IF('Filtered Data'!W73,"yes","no")</f>
        <v>no</v>
      </c>
      <c r="W74" t="s">
        <v>15</v>
      </c>
      <c r="X74">
        <f>'Filtered Data'!X73</f>
        <v>0</v>
      </c>
    </row>
    <row r="75" spans="1:24" x14ac:dyDescent="0.35">
      <c r="A75">
        <f>'Filtered Data'!A74</f>
        <v>0</v>
      </c>
      <c r="B75">
        <f>'Filtered Data'!B74</f>
        <v>0</v>
      </c>
      <c r="C75" t="s">
        <v>2</v>
      </c>
      <c r="D75" t="e">
        <f>VLOOKUP('Filtered Data'!Z74,'Data Mapping'!$A$4:$B$7,2,0)</f>
        <v>#N/A</v>
      </c>
      <c r="E75" t="e">
        <f>VLOOKUP('Filtered Data'!C74,'Data Mapping'!$E$3:$F$97,2,0)</f>
        <v>#N/A</v>
      </c>
      <c r="F75">
        <f>'Filtered Data'!D74</f>
        <v>0</v>
      </c>
      <c r="G75" t="e">
        <f>VLOOKUP('Filtered Data'!E74,'Data Mapping'!$J$3:$K$11,2,0)</f>
        <v>#N/A</v>
      </c>
      <c r="H75">
        <f>'Filtered Data'!F74</f>
        <v>0</v>
      </c>
      <c r="I75" t="s">
        <v>5668</v>
      </c>
      <c r="J75" t="s">
        <v>1609</v>
      </c>
      <c r="K75" t="e">
        <f>VLOOKUP('Filtered Data'!A74,'Input 1 CMDB'!A:I,9,0)</f>
        <v>#N/A</v>
      </c>
      <c r="L75">
        <f>'Filtered Data'!K74</f>
        <v>0</v>
      </c>
      <c r="M75" t="e">
        <f t="shared" si="3"/>
        <v>#VALUE!</v>
      </c>
      <c r="N75">
        <f>'Filtered Data'!P74</f>
        <v>0</v>
      </c>
      <c r="O75">
        <f>'Filtered Data'!N74</f>
        <v>0</v>
      </c>
      <c r="P75" t="s">
        <v>5669</v>
      </c>
      <c r="Q75" t="str">
        <f>IF('Filtered Data'!W74,"ITHybridCloudEngineeringOperationsMgmt@Marathonpetroleum.com","mark.newman2@dxc.com")</f>
        <v>mark.newman2@dxc.com</v>
      </c>
      <c r="R75">
        <f t="shared" si="2"/>
        <v>0</v>
      </c>
      <c r="S75" s="31" t="s">
        <v>5738</v>
      </c>
      <c r="T75" t="s">
        <v>1381</v>
      </c>
      <c r="U75">
        <f>'Filtered Data'!V74</f>
        <v>0</v>
      </c>
      <c r="V75" t="str">
        <f>IF('Filtered Data'!W74,"yes","no")</f>
        <v>no</v>
      </c>
      <c r="W75" t="s">
        <v>15</v>
      </c>
      <c r="X75">
        <f>'Filtered Data'!X74</f>
        <v>0</v>
      </c>
    </row>
    <row r="76" spans="1:24" x14ac:dyDescent="0.35">
      <c r="A76">
        <f>'Filtered Data'!A75</f>
        <v>0</v>
      </c>
      <c r="B76">
        <f>'Filtered Data'!B75</f>
        <v>0</v>
      </c>
      <c r="C76" t="s">
        <v>2</v>
      </c>
      <c r="D76" t="e">
        <f>VLOOKUP('Filtered Data'!Z75,'Data Mapping'!$A$4:$B$7,2,0)</f>
        <v>#N/A</v>
      </c>
      <c r="E76" t="e">
        <f>VLOOKUP('Filtered Data'!C75,'Data Mapping'!$E$3:$F$97,2,0)</f>
        <v>#N/A</v>
      </c>
      <c r="F76">
        <f>'Filtered Data'!D75</f>
        <v>0</v>
      </c>
      <c r="G76" t="e">
        <f>VLOOKUP('Filtered Data'!E75,'Data Mapping'!$J$3:$K$11,2,0)</f>
        <v>#N/A</v>
      </c>
      <c r="H76">
        <f>'Filtered Data'!F75</f>
        <v>0</v>
      </c>
      <c r="I76" t="s">
        <v>5668</v>
      </c>
      <c r="J76" t="s">
        <v>1609</v>
      </c>
      <c r="K76" t="e">
        <f>VLOOKUP('Filtered Data'!A75,'Input 1 CMDB'!A:I,9,0)</f>
        <v>#N/A</v>
      </c>
      <c r="L76">
        <f>'Filtered Data'!K75</f>
        <v>0</v>
      </c>
      <c r="M76" t="e">
        <f t="shared" si="3"/>
        <v>#VALUE!</v>
      </c>
      <c r="N76">
        <f>'Filtered Data'!P75</f>
        <v>0</v>
      </c>
      <c r="O76">
        <f>'Filtered Data'!N75</f>
        <v>0</v>
      </c>
      <c r="P76" t="s">
        <v>5669</v>
      </c>
      <c r="Q76" t="str">
        <f>IF('Filtered Data'!W75,"ITHybridCloudEngineeringOperationsMgmt@Marathonpetroleum.com","mark.newman2@dxc.com")</f>
        <v>mark.newman2@dxc.com</v>
      </c>
      <c r="R76">
        <f t="shared" si="2"/>
        <v>0</v>
      </c>
      <c r="S76" s="31" t="s">
        <v>5738</v>
      </c>
      <c r="T76" t="s">
        <v>1381</v>
      </c>
      <c r="U76">
        <f>'Filtered Data'!V75</f>
        <v>0</v>
      </c>
      <c r="V76" t="str">
        <f>IF('Filtered Data'!W75,"yes","no")</f>
        <v>no</v>
      </c>
      <c r="W76" t="s">
        <v>15</v>
      </c>
      <c r="X76">
        <f>'Filtered Data'!X75</f>
        <v>0</v>
      </c>
    </row>
    <row r="77" spans="1:24" x14ac:dyDescent="0.35">
      <c r="A77">
        <f>'Filtered Data'!A76</f>
        <v>0</v>
      </c>
      <c r="B77">
        <f>'Filtered Data'!B76</f>
        <v>0</v>
      </c>
      <c r="C77" t="s">
        <v>2</v>
      </c>
      <c r="D77" t="e">
        <f>VLOOKUP('Filtered Data'!Z76,'Data Mapping'!$A$4:$B$7,2,0)</f>
        <v>#N/A</v>
      </c>
      <c r="E77" t="e">
        <f>VLOOKUP('Filtered Data'!C76,'Data Mapping'!$E$3:$F$97,2,0)</f>
        <v>#N/A</v>
      </c>
      <c r="F77">
        <f>'Filtered Data'!D76</f>
        <v>0</v>
      </c>
      <c r="G77" t="e">
        <f>VLOOKUP('Filtered Data'!E76,'Data Mapping'!$J$3:$K$11,2,0)</f>
        <v>#N/A</v>
      </c>
      <c r="H77">
        <f>'Filtered Data'!F76</f>
        <v>0</v>
      </c>
      <c r="I77" t="s">
        <v>5668</v>
      </c>
      <c r="J77" t="s">
        <v>1609</v>
      </c>
      <c r="K77" t="e">
        <f>VLOOKUP('Filtered Data'!A76,'Input 1 CMDB'!A:I,9,0)</f>
        <v>#N/A</v>
      </c>
      <c r="L77">
        <f>'Filtered Data'!K76</f>
        <v>0</v>
      </c>
      <c r="M77" t="e">
        <f t="shared" si="3"/>
        <v>#VALUE!</v>
      </c>
      <c r="N77">
        <f>'Filtered Data'!P76</f>
        <v>0</v>
      </c>
      <c r="O77">
        <f>'Filtered Data'!N76</f>
        <v>0</v>
      </c>
      <c r="P77" t="s">
        <v>5669</v>
      </c>
      <c r="Q77" t="str">
        <f>IF('Filtered Data'!W76,"ITHybridCloudEngineeringOperationsMgmt@Marathonpetroleum.com","mark.newman2@dxc.com")</f>
        <v>mark.newman2@dxc.com</v>
      </c>
      <c r="R77">
        <f t="shared" si="2"/>
        <v>0</v>
      </c>
      <c r="S77" s="31" t="s">
        <v>5738</v>
      </c>
      <c r="T77" t="s">
        <v>1381</v>
      </c>
      <c r="U77">
        <f>'Filtered Data'!V76</f>
        <v>0</v>
      </c>
      <c r="V77" t="str">
        <f>IF('Filtered Data'!W76,"yes","no")</f>
        <v>no</v>
      </c>
      <c r="W77" t="s">
        <v>15</v>
      </c>
      <c r="X77">
        <f>'Filtered Data'!X76</f>
        <v>0</v>
      </c>
    </row>
    <row r="78" spans="1:24" x14ac:dyDescent="0.35">
      <c r="A78">
        <f>'Filtered Data'!A77</f>
        <v>0</v>
      </c>
      <c r="B78">
        <f>'Filtered Data'!B77</f>
        <v>0</v>
      </c>
      <c r="C78" t="s">
        <v>2</v>
      </c>
      <c r="D78" t="e">
        <f>VLOOKUP('Filtered Data'!Z77,'Data Mapping'!$A$4:$B$7,2,0)</f>
        <v>#N/A</v>
      </c>
      <c r="E78" t="e">
        <f>VLOOKUP('Filtered Data'!C77,'Data Mapping'!$E$3:$F$97,2,0)</f>
        <v>#N/A</v>
      </c>
      <c r="F78">
        <f>'Filtered Data'!D77</f>
        <v>0</v>
      </c>
      <c r="G78" t="e">
        <f>VLOOKUP('Filtered Data'!E77,'Data Mapping'!$J$3:$K$11,2,0)</f>
        <v>#N/A</v>
      </c>
      <c r="H78">
        <f>'Filtered Data'!F77</f>
        <v>0</v>
      </c>
      <c r="I78" t="s">
        <v>5668</v>
      </c>
      <c r="J78" t="s">
        <v>1609</v>
      </c>
      <c r="K78" t="e">
        <f>VLOOKUP('Filtered Data'!A77,'Input 1 CMDB'!A:I,9,0)</f>
        <v>#N/A</v>
      </c>
      <c r="L78">
        <f>'Filtered Data'!K77</f>
        <v>0</v>
      </c>
      <c r="M78" t="e">
        <f t="shared" si="3"/>
        <v>#VALUE!</v>
      </c>
      <c r="N78">
        <f>'Filtered Data'!P77</f>
        <v>0</v>
      </c>
      <c r="O78">
        <f>'Filtered Data'!N77</f>
        <v>0</v>
      </c>
      <c r="P78" t="s">
        <v>5669</v>
      </c>
      <c r="Q78" t="str">
        <f>IF('Filtered Data'!W77,"ITHybridCloudEngineeringOperationsMgmt@Marathonpetroleum.com","mark.newman2@dxc.com")</f>
        <v>mark.newman2@dxc.com</v>
      </c>
      <c r="R78">
        <f t="shared" si="2"/>
        <v>0</v>
      </c>
      <c r="S78" s="31" t="s">
        <v>5738</v>
      </c>
      <c r="T78" t="s">
        <v>1381</v>
      </c>
      <c r="U78">
        <f>'Filtered Data'!V77</f>
        <v>0</v>
      </c>
      <c r="V78" t="str">
        <f>IF('Filtered Data'!W77,"yes","no")</f>
        <v>no</v>
      </c>
      <c r="W78" t="s">
        <v>15</v>
      </c>
      <c r="X78">
        <f>'Filtered Data'!X77</f>
        <v>0</v>
      </c>
    </row>
    <row r="79" spans="1:24" x14ac:dyDescent="0.35">
      <c r="A79">
        <f>'Filtered Data'!A78</f>
        <v>0</v>
      </c>
      <c r="B79">
        <f>'Filtered Data'!B78</f>
        <v>0</v>
      </c>
      <c r="C79" t="s">
        <v>2</v>
      </c>
      <c r="D79" t="e">
        <f>VLOOKUP('Filtered Data'!Z78,'Data Mapping'!$A$4:$B$7,2,0)</f>
        <v>#N/A</v>
      </c>
      <c r="E79" t="e">
        <f>VLOOKUP('Filtered Data'!C78,'Data Mapping'!$E$3:$F$97,2,0)</f>
        <v>#N/A</v>
      </c>
      <c r="F79">
        <f>'Filtered Data'!D78</f>
        <v>0</v>
      </c>
      <c r="G79" t="e">
        <f>VLOOKUP('Filtered Data'!E78,'Data Mapping'!$J$3:$K$11,2,0)</f>
        <v>#N/A</v>
      </c>
      <c r="H79">
        <f>'Filtered Data'!F78</f>
        <v>0</v>
      </c>
      <c r="I79" t="s">
        <v>5668</v>
      </c>
      <c r="J79" t="s">
        <v>1609</v>
      </c>
      <c r="K79" t="e">
        <f>VLOOKUP('Filtered Data'!A78,'Input 1 CMDB'!A:I,9,0)</f>
        <v>#N/A</v>
      </c>
      <c r="L79">
        <f>'Filtered Data'!K78</f>
        <v>0</v>
      </c>
      <c r="M79" t="e">
        <f t="shared" si="3"/>
        <v>#VALUE!</v>
      </c>
      <c r="N79">
        <f>'Filtered Data'!P78</f>
        <v>0</v>
      </c>
      <c r="O79">
        <f>'Filtered Data'!N78</f>
        <v>0</v>
      </c>
      <c r="P79" t="s">
        <v>5669</v>
      </c>
      <c r="Q79" t="str">
        <f>IF('Filtered Data'!W78,"ITHybridCloudEngineeringOperationsMgmt@Marathonpetroleum.com","mark.newman2@dxc.com")</f>
        <v>mark.newman2@dxc.com</v>
      </c>
      <c r="R79">
        <f t="shared" si="2"/>
        <v>0</v>
      </c>
      <c r="S79" s="31" t="s">
        <v>5738</v>
      </c>
      <c r="T79" t="s">
        <v>1381</v>
      </c>
      <c r="U79">
        <f>'Filtered Data'!V78</f>
        <v>0</v>
      </c>
      <c r="V79" t="str">
        <f>IF('Filtered Data'!W78,"yes","no")</f>
        <v>no</v>
      </c>
      <c r="W79" t="s">
        <v>15</v>
      </c>
      <c r="X79">
        <f>'Filtered Data'!X78</f>
        <v>0</v>
      </c>
    </row>
    <row r="80" spans="1:24" x14ac:dyDescent="0.35">
      <c r="A80">
        <f>'Filtered Data'!A79</f>
        <v>0</v>
      </c>
      <c r="B80">
        <f>'Filtered Data'!B79</f>
        <v>0</v>
      </c>
      <c r="C80" t="s">
        <v>2</v>
      </c>
      <c r="D80" t="e">
        <f>VLOOKUP('Filtered Data'!Z79,'Data Mapping'!$A$4:$B$7,2,0)</f>
        <v>#N/A</v>
      </c>
      <c r="E80" t="e">
        <f>VLOOKUP('Filtered Data'!C79,'Data Mapping'!$E$3:$F$97,2,0)</f>
        <v>#N/A</v>
      </c>
      <c r="F80">
        <f>'Filtered Data'!D79</f>
        <v>0</v>
      </c>
      <c r="G80" t="e">
        <f>VLOOKUP('Filtered Data'!E79,'Data Mapping'!$J$3:$K$11,2,0)</f>
        <v>#N/A</v>
      </c>
      <c r="H80">
        <f>'Filtered Data'!F79</f>
        <v>0</v>
      </c>
      <c r="I80" t="s">
        <v>5668</v>
      </c>
      <c r="J80" t="s">
        <v>1609</v>
      </c>
      <c r="K80" t="e">
        <f>VLOOKUP('Filtered Data'!A79,'Input 1 CMDB'!A:I,9,0)</f>
        <v>#N/A</v>
      </c>
      <c r="L80">
        <f>'Filtered Data'!K79</f>
        <v>0</v>
      </c>
      <c r="M80" t="e">
        <f t="shared" si="3"/>
        <v>#VALUE!</v>
      </c>
      <c r="N80">
        <f>'Filtered Data'!P79</f>
        <v>0</v>
      </c>
      <c r="O80">
        <f>'Filtered Data'!N79</f>
        <v>0</v>
      </c>
      <c r="P80" t="s">
        <v>5669</v>
      </c>
      <c r="Q80" t="str">
        <f>IF('Filtered Data'!W79,"ITHybridCloudEngineeringOperationsMgmt@Marathonpetroleum.com","mark.newman2@dxc.com")</f>
        <v>mark.newman2@dxc.com</v>
      </c>
      <c r="R80">
        <f t="shared" si="2"/>
        <v>0</v>
      </c>
      <c r="S80" s="31" t="s">
        <v>5738</v>
      </c>
      <c r="T80" t="s">
        <v>1381</v>
      </c>
      <c r="U80">
        <f>'Filtered Data'!V79</f>
        <v>0</v>
      </c>
      <c r="V80" t="str">
        <f>IF('Filtered Data'!W79,"yes","no")</f>
        <v>no</v>
      </c>
      <c r="W80" t="s">
        <v>15</v>
      </c>
      <c r="X80">
        <f>'Filtered Data'!X79</f>
        <v>0</v>
      </c>
    </row>
    <row r="81" spans="1:24" x14ac:dyDescent="0.35">
      <c r="A81">
        <f>'Filtered Data'!A80</f>
        <v>0</v>
      </c>
      <c r="B81">
        <f>'Filtered Data'!B80</f>
        <v>0</v>
      </c>
      <c r="C81" t="s">
        <v>2</v>
      </c>
      <c r="D81" t="e">
        <f>VLOOKUP('Filtered Data'!Z80,'Data Mapping'!$A$4:$B$7,2,0)</f>
        <v>#N/A</v>
      </c>
      <c r="E81" t="e">
        <f>VLOOKUP('Filtered Data'!C80,'Data Mapping'!$E$3:$F$97,2,0)</f>
        <v>#N/A</v>
      </c>
      <c r="F81">
        <f>'Filtered Data'!D80</f>
        <v>0</v>
      </c>
      <c r="G81" t="e">
        <f>VLOOKUP('Filtered Data'!E80,'Data Mapping'!$J$3:$K$11,2,0)</f>
        <v>#N/A</v>
      </c>
      <c r="H81">
        <f>'Filtered Data'!F80</f>
        <v>0</v>
      </c>
      <c r="I81" t="s">
        <v>5668</v>
      </c>
      <c r="J81" t="s">
        <v>1609</v>
      </c>
      <c r="K81" t="e">
        <f>VLOOKUP('Filtered Data'!A80,'Input 1 CMDB'!A:I,9,0)</f>
        <v>#N/A</v>
      </c>
      <c r="L81">
        <f>'Filtered Data'!K80</f>
        <v>0</v>
      </c>
      <c r="M81" t="e">
        <f t="shared" si="3"/>
        <v>#VALUE!</v>
      </c>
      <c r="N81">
        <f>'Filtered Data'!P80</f>
        <v>0</v>
      </c>
      <c r="O81">
        <f>'Filtered Data'!N80</f>
        <v>0</v>
      </c>
      <c r="P81" t="s">
        <v>5669</v>
      </c>
      <c r="Q81" t="str">
        <f>IF('Filtered Data'!W80,"ITHybridCloudEngineeringOperationsMgmt@Marathonpetroleum.com","mark.newman2@dxc.com")</f>
        <v>mark.newman2@dxc.com</v>
      </c>
      <c r="R81">
        <f t="shared" si="2"/>
        <v>0</v>
      </c>
      <c r="S81" s="31" t="s">
        <v>5738</v>
      </c>
      <c r="T81" t="s">
        <v>1381</v>
      </c>
      <c r="U81">
        <f>'Filtered Data'!V80</f>
        <v>0</v>
      </c>
      <c r="V81" t="str">
        <f>IF('Filtered Data'!W80,"yes","no")</f>
        <v>no</v>
      </c>
      <c r="W81" t="s">
        <v>15</v>
      </c>
      <c r="X81">
        <f>'Filtered Data'!X80</f>
        <v>0</v>
      </c>
    </row>
    <row r="82" spans="1:24" x14ac:dyDescent="0.35">
      <c r="A82">
        <f>'Filtered Data'!A81</f>
        <v>0</v>
      </c>
      <c r="B82">
        <f>'Filtered Data'!B81</f>
        <v>0</v>
      </c>
      <c r="C82" t="s">
        <v>2</v>
      </c>
      <c r="D82" t="e">
        <f>VLOOKUP('Filtered Data'!Z81,'Data Mapping'!$A$4:$B$7,2,0)</f>
        <v>#N/A</v>
      </c>
      <c r="E82" t="e">
        <f>VLOOKUP('Filtered Data'!C81,'Data Mapping'!$E$3:$F$97,2,0)</f>
        <v>#N/A</v>
      </c>
      <c r="F82">
        <f>'Filtered Data'!D81</f>
        <v>0</v>
      </c>
      <c r="G82" t="e">
        <f>VLOOKUP('Filtered Data'!E81,'Data Mapping'!$J$3:$K$11,2,0)</f>
        <v>#N/A</v>
      </c>
      <c r="H82">
        <f>'Filtered Data'!F81</f>
        <v>0</v>
      </c>
      <c r="I82" t="s">
        <v>5668</v>
      </c>
      <c r="J82" t="s">
        <v>1609</v>
      </c>
      <c r="K82" t="e">
        <f>VLOOKUP('Filtered Data'!A81,'Input 1 CMDB'!A:I,9,0)</f>
        <v>#N/A</v>
      </c>
      <c r="L82">
        <f>'Filtered Data'!K81</f>
        <v>0</v>
      </c>
      <c r="M82" t="e">
        <f t="shared" si="3"/>
        <v>#VALUE!</v>
      </c>
      <c r="N82">
        <f>'Filtered Data'!P81</f>
        <v>0</v>
      </c>
      <c r="O82">
        <f>'Filtered Data'!N81</f>
        <v>0</v>
      </c>
      <c r="P82" t="s">
        <v>5669</v>
      </c>
      <c r="Q82" t="str">
        <f>IF('Filtered Data'!W81,"ITHybridCloudEngineeringOperationsMgmt@Marathonpetroleum.com","mark.newman2@dxc.com")</f>
        <v>mark.newman2@dxc.com</v>
      </c>
      <c r="R82">
        <f t="shared" si="2"/>
        <v>0</v>
      </c>
      <c r="S82" s="31" t="s">
        <v>5738</v>
      </c>
      <c r="T82" t="s">
        <v>1381</v>
      </c>
      <c r="U82">
        <f>'Filtered Data'!V81</f>
        <v>0</v>
      </c>
      <c r="V82" t="str">
        <f>IF('Filtered Data'!W81,"yes","no")</f>
        <v>no</v>
      </c>
      <c r="W82" t="s">
        <v>15</v>
      </c>
      <c r="X82">
        <f>'Filtered Data'!X81</f>
        <v>0</v>
      </c>
    </row>
    <row r="83" spans="1:24" x14ac:dyDescent="0.35">
      <c r="A83">
        <f>'Filtered Data'!A82</f>
        <v>0</v>
      </c>
      <c r="B83">
        <f>'Filtered Data'!B82</f>
        <v>0</v>
      </c>
      <c r="C83" t="s">
        <v>2</v>
      </c>
      <c r="D83" t="e">
        <f>VLOOKUP('Filtered Data'!Z82,'Data Mapping'!$A$4:$B$7,2,0)</f>
        <v>#N/A</v>
      </c>
      <c r="E83" t="e">
        <f>VLOOKUP('Filtered Data'!C82,'Data Mapping'!$E$3:$F$97,2,0)</f>
        <v>#N/A</v>
      </c>
      <c r="F83">
        <f>'Filtered Data'!D82</f>
        <v>0</v>
      </c>
      <c r="G83" t="e">
        <f>VLOOKUP('Filtered Data'!E82,'Data Mapping'!$J$3:$K$11,2,0)</f>
        <v>#N/A</v>
      </c>
      <c r="H83">
        <f>'Filtered Data'!F82</f>
        <v>0</v>
      </c>
      <c r="I83" t="s">
        <v>5668</v>
      </c>
      <c r="J83" t="s">
        <v>1609</v>
      </c>
      <c r="K83" t="e">
        <f>VLOOKUP('Filtered Data'!A82,'Input 1 CMDB'!A:I,9,0)</f>
        <v>#N/A</v>
      </c>
      <c r="L83">
        <f>'Filtered Data'!K82</f>
        <v>0</v>
      </c>
      <c r="M83" t="e">
        <f t="shared" si="3"/>
        <v>#VALUE!</v>
      </c>
      <c r="N83">
        <f>'Filtered Data'!P82</f>
        <v>0</v>
      </c>
      <c r="O83">
        <f>'Filtered Data'!N82</f>
        <v>0</v>
      </c>
      <c r="P83" t="s">
        <v>5669</v>
      </c>
      <c r="Q83" t="str">
        <f>IF('Filtered Data'!W82,"ITHybridCloudEngineeringOperationsMgmt@Marathonpetroleum.com","mark.newman2@dxc.com")</f>
        <v>mark.newman2@dxc.com</v>
      </c>
      <c r="R83">
        <f t="shared" si="2"/>
        <v>0</v>
      </c>
      <c r="S83" s="31" t="s">
        <v>5738</v>
      </c>
      <c r="T83" t="s">
        <v>1381</v>
      </c>
      <c r="U83">
        <f>'Filtered Data'!V82</f>
        <v>0</v>
      </c>
      <c r="V83" t="str">
        <f>IF('Filtered Data'!W82,"yes","no")</f>
        <v>no</v>
      </c>
      <c r="W83" t="s">
        <v>15</v>
      </c>
      <c r="X83">
        <f>'Filtered Data'!X82</f>
        <v>0</v>
      </c>
    </row>
    <row r="84" spans="1:24" x14ac:dyDescent="0.35">
      <c r="A84">
        <f>'Filtered Data'!A83</f>
        <v>0</v>
      </c>
      <c r="B84">
        <f>'Filtered Data'!B83</f>
        <v>0</v>
      </c>
      <c r="C84" t="s">
        <v>2</v>
      </c>
      <c r="D84" t="e">
        <f>VLOOKUP('Filtered Data'!Z83,'Data Mapping'!$A$4:$B$7,2,0)</f>
        <v>#N/A</v>
      </c>
      <c r="E84" t="e">
        <f>VLOOKUP('Filtered Data'!C83,'Data Mapping'!$E$3:$F$97,2,0)</f>
        <v>#N/A</v>
      </c>
      <c r="F84">
        <f>'Filtered Data'!D83</f>
        <v>0</v>
      </c>
      <c r="G84" t="e">
        <f>VLOOKUP('Filtered Data'!E83,'Data Mapping'!$J$3:$K$11,2,0)</f>
        <v>#N/A</v>
      </c>
      <c r="H84">
        <f>'Filtered Data'!F83</f>
        <v>0</v>
      </c>
      <c r="I84" t="s">
        <v>5668</v>
      </c>
      <c r="J84" t="s">
        <v>1609</v>
      </c>
      <c r="K84" t="e">
        <f>VLOOKUP('Filtered Data'!A83,'Input 1 CMDB'!A:I,9,0)</f>
        <v>#N/A</v>
      </c>
      <c r="L84">
        <f>'Filtered Data'!K83</f>
        <v>0</v>
      </c>
      <c r="M84" t="e">
        <f t="shared" si="3"/>
        <v>#VALUE!</v>
      </c>
      <c r="N84">
        <f>'Filtered Data'!P83</f>
        <v>0</v>
      </c>
      <c r="O84">
        <f>'Filtered Data'!N83</f>
        <v>0</v>
      </c>
      <c r="P84" t="s">
        <v>5669</v>
      </c>
      <c r="Q84" t="str">
        <f>IF('Filtered Data'!W83,"ITHybridCloudEngineeringOperationsMgmt@Marathonpetroleum.com","mark.newman2@dxc.com")</f>
        <v>mark.newman2@dxc.com</v>
      </c>
      <c r="R84">
        <f t="shared" ref="R84:R102" si="4">N84</f>
        <v>0</v>
      </c>
      <c r="S84" s="31" t="s">
        <v>5738</v>
      </c>
      <c r="T84" t="s">
        <v>1381</v>
      </c>
      <c r="U84">
        <f>'Filtered Data'!V83</f>
        <v>0</v>
      </c>
      <c r="V84" t="str">
        <f>IF('Filtered Data'!W83,"yes","no")</f>
        <v>no</v>
      </c>
      <c r="W84" t="s">
        <v>15</v>
      </c>
      <c r="X84">
        <f>'Filtered Data'!X83</f>
        <v>0</v>
      </c>
    </row>
    <row r="85" spans="1:24" x14ac:dyDescent="0.35">
      <c r="A85">
        <f>'Filtered Data'!A84</f>
        <v>0</v>
      </c>
      <c r="B85">
        <f>'Filtered Data'!B84</f>
        <v>0</v>
      </c>
      <c r="C85" t="s">
        <v>2</v>
      </c>
      <c r="D85" t="e">
        <f>VLOOKUP('Filtered Data'!Z84,'Data Mapping'!$A$4:$B$7,2,0)</f>
        <v>#N/A</v>
      </c>
      <c r="E85" t="e">
        <f>VLOOKUP('Filtered Data'!C84,'Data Mapping'!$E$3:$F$97,2,0)</f>
        <v>#N/A</v>
      </c>
      <c r="F85">
        <f>'Filtered Data'!D84</f>
        <v>0</v>
      </c>
      <c r="G85" t="e">
        <f>VLOOKUP('Filtered Data'!E84,'Data Mapping'!$J$3:$K$11,2,0)</f>
        <v>#N/A</v>
      </c>
      <c r="H85">
        <f>'Filtered Data'!F84</f>
        <v>0</v>
      </c>
      <c r="I85" t="s">
        <v>5668</v>
      </c>
      <c r="J85" t="s">
        <v>1609</v>
      </c>
      <c r="K85" t="e">
        <f>VLOOKUP('Filtered Data'!A84,'Input 1 CMDB'!A:I,9,0)</f>
        <v>#N/A</v>
      </c>
      <c r="L85">
        <f>'Filtered Data'!K84</f>
        <v>0</v>
      </c>
      <c r="M85" t="e">
        <f t="shared" si="3"/>
        <v>#VALUE!</v>
      </c>
      <c r="N85">
        <f>'Filtered Data'!P84</f>
        <v>0</v>
      </c>
      <c r="O85">
        <f>'Filtered Data'!N84</f>
        <v>0</v>
      </c>
      <c r="P85" t="s">
        <v>5669</v>
      </c>
      <c r="Q85" t="str">
        <f>IF('Filtered Data'!W84,"ITHybridCloudEngineeringOperationsMgmt@Marathonpetroleum.com","mark.newman2@dxc.com")</f>
        <v>mark.newman2@dxc.com</v>
      </c>
      <c r="R85">
        <f t="shared" si="4"/>
        <v>0</v>
      </c>
      <c r="S85" s="31" t="s">
        <v>5738</v>
      </c>
      <c r="T85" t="s">
        <v>1381</v>
      </c>
      <c r="U85">
        <f>'Filtered Data'!V84</f>
        <v>0</v>
      </c>
      <c r="V85" t="str">
        <f>IF('Filtered Data'!W84,"yes","no")</f>
        <v>no</v>
      </c>
      <c r="W85" t="s">
        <v>15</v>
      </c>
      <c r="X85">
        <f>'Filtered Data'!X84</f>
        <v>0</v>
      </c>
    </row>
    <row r="86" spans="1:24" x14ac:dyDescent="0.35">
      <c r="A86">
        <f>'Filtered Data'!A85</f>
        <v>0</v>
      </c>
      <c r="B86">
        <f>'Filtered Data'!B85</f>
        <v>0</v>
      </c>
      <c r="C86" t="s">
        <v>2</v>
      </c>
      <c r="D86" t="e">
        <f>VLOOKUP('Filtered Data'!Z85,'Data Mapping'!$A$4:$B$7,2,0)</f>
        <v>#N/A</v>
      </c>
      <c r="E86" t="e">
        <f>VLOOKUP('Filtered Data'!C85,'Data Mapping'!$E$3:$F$97,2,0)</f>
        <v>#N/A</v>
      </c>
      <c r="F86">
        <f>'Filtered Data'!D85</f>
        <v>0</v>
      </c>
      <c r="G86" t="e">
        <f>VLOOKUP('Filtered Data'!E85,'Data Mapping'!$J$3:$K$11,2,0)</f>
        <v>#N/A</v>
      </c>
      <c r="H86">
        <f>'Filtered Data'!F85</f>
        <v>0</v>
      </c>
      <c r="I86" t="s">
        <v>5668</v>
      </c>
      <c r="J86" t="s">
        <v>1609</v>
      </c>
      <c r="K86" t="e">
        <f>VLOOKUP('Filtered Data'!A85,'Input 1 CMDB'!A:I,9,0)</f>
        <v>#N/A</v>
      </c>
      <c r="L86">
        <f>'Filtered Data'!K85</f>
        <v>0</v>
      </c>
      <c r="M86" t="e">
        <f t="shared" si="3"/>
        <v>#VALUE!</v>
      </c>
      <c r="N86">
        <f>'Filtered Data'!P85</f>
        <v>0</v>
      </c>
      <c r="O86">
        <f>'Filtered Data'!N85</f>
        <v>0</v>
      </c>
      <c r="P86" t="s">
        <v>5669</v>
      </c>
      <c r="Q86" t="str">
        <f>IF('Filtered Data'!W85,"ITHybridCloudEngineeringOperationsMgmt@Marathonpetroleum.com","mark.newman2@dxc.com")</f>
        <v>mark.newman2@dxc.com</v>
      </c>
      <c r="R86">
        <f t="shared" si="4"/>
        <v>0</v>
      </c>
      <c r="S86" s="31" t="s">
        <v>5738</v>
      </c>
      <c r="T86" t="s">
        <v>1381</v>
      </c>
      <c r="U86">
        <f>'Filtered Data'!V85</f>
        <v>0</v>
      </c>
      <c r="V86" t="str">
        <f>IF('Filtered Data'!W85,"yes","no")</f>
        <v>no</v>
      </c>
      <c r="W86" t="s">
        <v>15</v>
      </c>
      <c r="X86">
        <f>'Filtered Data'!X85</f>
        <v>0</v>
      </c>
    </row>
    <row r="87" spans="1:24" x14ac:dyDescent="0.35">
      <c r="A87">
        <f>'Filtered Data'!A86</f>
        <v>0</v>
      </c>
      <c r="B87">
        <f>'Filtered Data'!B86</f>
        <v>0</v>
      </c>
      <c r="C87" t="s">
        <v>2</v>
      </c>
      <c r="D87" t="e">
        <f>VLOOKUP('Filtered Data'!Z86,'Data Mapping'!$A$4:$B$7,2,0)</f>
        <v>#N/A</v>
      </c>
      <c r="E87" t="e">
        <f>VLOOKUP('Filtered Data'!C86,'Data Mapping'!$E$3:$F$97,2,0)</f>
        <v>#N/A</v>
      </c>
      <c r="F87">
        <f>'Filtered Data'!D86</f>
        <v>0</v>
      </c>
      <c r="G87" t="e">
        <f>VLOOKUP('Filtered Data'!E86,'Data Mapping'!$J$3:$K$11,2,0)</f>
        <v>#N/A</v>
      </c>
      <c r="H87">
        <f>'Filtered Data'!F86</f>
        <v>0</v>
      </c>
      <c r="I87" t="s">
        <v>5668</v>
      </c>
      <c r="J87" t="s">
        <v>1609</v>
      </c>
      <c r="K87" t="e">
        <f>VLOOKUP('Filtered Data'!A86,'Input 1 CMDB'!A:I,9,0)</f>
        <v>#N/A</v>
      </c>
      <c r="L87">
        <f>'Filtered Data'!K86</f>
        <v>0</v>
      </c>
      <c r="M87" t="e">
        <f t="shared" si="3"/>
        <v>#VALUE!</v>
      </c>
      <c r="N87">
        <f>'Filtered Data'!P86</f>
        <v>0</v>
      </c>
      <c r="O87">
        <f>'Filtered Data'!N86</f>
        <v>0</v>
      </c>
      <c r="P87" t="s">
        <v>5669</v>
      </c>
      <c r="Q87" t="str">
        <f>IF('Filtered Data'!W86,"ITHybridCloudEngineeringOperationsMgmt@Marathonpetroleum.com","mark.newman2@dxc.com")</f>
        <v>mark.newman2@dxc.com</v>
      </c>
      <c r="R87">
        <f t="shared" si="4"/>
        <v>0</v>
      </c>
      <c r="S87" s="31" t="s">
        <v>5738</v>
      </c>
      <c r="T87" t="s">
        <v>1381</v>
      </c>
      <c r="U87">
        <f>'Filtered Data'!V86</f>
        <v>0</v>
      </c>
      <c r="V87" t="str">
        <f>IF('Filtered Data'!W86,"yes","no")</f>
        <v>no</v>
      </c>
      <c r="W87" t="s">
        <v>15</v>
      </c>
      <c r="X87">
        <f>'Filtered Data'!X86</f>
        <v>0</v>
      </c>
    </row>
    <row r="88" spans="1:24" x14ac:dyDescent="0.35">
      <c r="A88">
        <f>'Filtered Data'!A87</f>
        <v>0</v>
      </c>
      <c r="B88">
        <f>'Filtered Data'!B87</f>
        <v>0</v>
      </c>
      <c r="C88" t="s">
        <v>2</v>
      </c>
      <c r="D88" t="e">
        <f>VLOOKUP('Filtered Data'!Z87,'Data Mapping'!$A$4:$B$7,2,0)</f>
        <v>#N/A</v>
      </c>
      <c r="E88" t="e">
        <f>VLOOKUP('Filtered Data'!C87,'Data Mapping'!$E$3:$F$97,2,0)</f>
        <v>#N/A</v>
      </c>
      <c r="F88">
        <f>'Filtered Data'!D87</f>
        <v>0</v>
      </c>
      <c r="G88" t="e">
        <f>VLOOKUP('Filtered Data'!E87,'Data Mapping'!$J$3:$K$11,2,0)</f>
        <v>#N/A</v>
      </c>
      <c r="H88">
        <f>'Filtered Data'!F87</f>
        <v>0</v>
      </c>
      <c r="I88" t="s">
        <v>5668</v>
      </c>
      <c r="J88" t="s">
        <v>1609</v>
      </c>
      <c r="K88" t="e">
        <f>VLOOKUP('Filtered Data'!A87,'Input 1 CMDB'!A:I,9,0)</f>
        <v>#N/A</v>
      </c>
      <c r="L88">
        <f>'Filtered Data'!K87</f>
        <v>0</v>
      </c>
      <c r="M88" t="e">
        <f t="shared" si="3"/>
        <v>#VALUE!</v>
      </c>
      <c r="N88">
        <f>'Filtered Data'!P87</f>
        <v>0</v>
      </c>
      <c r="O88">
        <f>'Filtered Data'!N87</f>
        <v>0</v>
      </c>
      <c r="P88" t="s">
        <v>5669</v>
      </c>
      <c r="Q88" t="str">
        <f>IF('Filtered Data'!W87,"ITHybridCloudEngineeringOperationsMgmt@Marathonpetroleum.com","mark.newman2@dxc.com")</f>
        <v>mark.newman2@dxc.com</v>
      </c>
      <c r="R88">
        <f t="shared" si="4"/>
        <v>0</v>
      </c>
      <c r="S88" s="31" t="s">
        <v>5738</v>
      </c>
      <c r="T88" t="s">
        <v>1381</v>
      </c>
      <c r="U88">
        <f>'Filtered Data'!V87</f>
        <v>0</v>
      </c>
      <c r="V88" t="str">
        <f>IF('Filtered Data'!W87,"yes","no")</f>
        <v>no</v>
      </c>
      <c r="W88" t="s">
        <v>15</v>
      </c>
      <c r="X88">
        <f>'Filtered Data'!X87</f>
        <v>0</v>
      </c>
    </row>
    <row r="89" spans="1:24" x14ac:dyDescent="0.35">
      <c r="A89">
        <f>'Filtered Data'!A88</f>
        <v>0</v>
      </c>
      <c r="B89">
        <f>'Filtered Data'!B88</f>
        <v>0</v>
      </c>
      <c r="C89" t="s">
        <v>2</v>
      </c>
      <c r="D89" t="e">
        <f>VLOOKUP('Filtered Data'!Z88,'Data Mapping'!$A$4:$B$7,2,0)</f>
        <v>#N/A</v>
      </c>
      <c r="E89" t="e">
        <f>VLOOKUP('Filtered Data'!C88,'Data Mapping'!$E$3:$F$97,2,0)</f>
        <v>#N/A</v>
      </c>
      <c r="F89">
        <f>'Filtered Data'!D88</f>
        <v>0</v>
      </c>
      <c r="G89" t="e">
        <f>VLOOKUP('Filtered Data'!E88,'Data Mapping'!$J$3:$K$11,2,0)</f>
        <v>#N/A</v>
      </c>
      <c r="H89">
        <f>'Filtered Data'!F88</f>
        <v>0</v>
      </c>
      <c r="I89" t="s">
        <v>5668</v>
      </c>
      <c r="J89" t="s">
        <v>1609</v>
      </c>
      <c r="K89" t="e">
        <f>VLOOKUP('Filtered Data'!A88,'Input 1 CMDB'!A:I,9,0)</f>
        <v>#N/A</v>
      </c>
      <c r="L89">
        <f>'Filtered Data'!K88</f>
        <v>0</v>
      </c>
      <c r="M89" t="e">
        <f t="shared" si="3"/>
        <v>#VALUE!</v>
      </c>
      <c r="N89">
        <f>'Filtered Data'!P88</f>
        <v>0</v>
      </c>
      <c r="O89">
        <f>'Filtered Data'!N88</f>
        <v>0</v>
      </c>
      <c r="P89" t="s">
        <v>5669</v>
      </c>
      <c r="Q89" t="str">
        <f>IF('Filtered Data'!W88,"ITHybridCloudEngineeringOperationsMgmt@Marathonpetroleum.com","mark.newman2@dxc.com")</f>
        <v>mark.newman2@dxc.com</v>
      </c>
      <c r="R89">
        <f t="shared" si="4"/>
        <v>0</v>
      </c>
      <c r="S89" s="31" t="s">
        <v>5738</v>
      </c>
      <c r="T89" t="s">
        <v>1381</v>
      </c>
      <c r="U89">
        <f>'Filtered Data'!V88</f>
        <v>0</v>
      </c>
      <c r="V89" t="str">
        <f>IF('Filtered Data'!W88,"yes","no")</f>
        <v>no</v>
      </c>
      <c r="W89" t="s">
        <v>15</v>
      </c>
      <c r="X89">
        <f>'Filtered Data'!X88</f>
        <v>0</v>
      </c>
    </row>
    <row r="90" spans="1:24" x14ac:dyDescent="0.35">
      <c r="A90">
        <f>'Filtered Data'!A89</f>
        <v>0</v>
      </c>
      <c r="B90">
        <f>'Filtered Data'!B89</f>
        <v>0</v>
      </c>
      <c r="C90" t="s">
        <v>2</v>
      </c>
      <c r="D90" t="e">
        <f>VLOOKUP('Filtered Data'!Z89,'Data Mapping'!$A$4:$B$7,2,0)</f>
        <v>#N/A</v>
      </c>
      <c r="E90" t="e">
        <f>VLOOKUP('Filtered Data'!C89,'Data Mapping'!$E$3:$F$97,2,0)</f>
        <v>#N/A</v>
      </c>
      <c r="F90">
        <f>'Filtered Data'!D89</f>
        <v>0</v>
      </c>
      <c r="G90" t="e">
        <f>VLOOKUP('Filtered Data'!E89,'Data Mapping'!$J$3:$K$11,2,0)</f>
        <v>#N/A</v>
      </c>
      <c r="H90">
        <f>'Filtered Data'!F89</f>
        <v>0</v>
      </c>
      <c r="I90" t="s">
        <v>5668</v>
      </c>
      <c r="J90" t="s">
        <v>1609</v>
      </c>
      <c r="K90" t="e">
        <f>VLOOKUP('Filtered Data'!A89,'Input 1 CMDB'!A:I,9,0)</f>
        <v>#N/A</v>
      </c>
      <c r="L90">
        <f>'Filtered Data'!K89</f>
        <v>0</v>
      </c>
      <c r="M90" t="e">
        <f t="shared" si="3"/>
        <v>#VALUE!</v>
      </c>
      <c r="N90">
        <f>'Filtered Data'!P89</f>
        <v>0</v>
      </c>
      <c r="O90">
        <f>'Filtered Data'!N89</f>
        <v>0</v>
      </c>
      <c r="P90" t="s">
        <v>5669</v>
      </c>
      <c r="Q90" t="str">
        <f>IF('Filtered Data'!W89,"ITHybridCloudEngineeringOperationsMgmt@Marathonpetroleum.com","mark.newman2@dxc.com")</f>
        <v>mark.newman2@dxc.com</v>
      </c>
      <c r="R90">
        <f t="shared" si="4"/>
        <v>0</v>
      </c>
      <c r="S90" s="31" t="s">
        <v>5738</v>
      </c>
      <c r="T90" t="s">
        <v>1381</v>
      </c>
      <c r="U90">
        <f>'Filtered Data'!V89</f>
        <v>0</v>
      </c>
      <c r="V90" t="str">
        <f>IF('Filtered Data'!W89,"yes","no")</f>
        <v>no</v>
      </c>
      <c r="W90" t="s">
        <v>15</v>
      </c>
      <c r="X90">
        <f>'Filtered Data'!X89</f>
        <v>0</v>
      </c>
    </row>
    <row r="91" spans="1:24" x14ac:dyDescent="0.35">
      <c r="A91">
        <f>'Filtered Data'!A90</f>
        <v>0</v>
      </c>
      <c r="B91">
        <f>'Filtered Data'!B90</f>
        <v>0</v>
      </c>
      <c r="C91" t="s">
        <v>2</v>
      </c>
      <c r="D91" t="e">
        <f>VLOOKUP('Filtered Data'!Z90,'Data Mapping'!$A$4:$B$7,2,0)</f>
        <v>#N/A</v>
      </c>
      <c r="E91" t="e">
        <f>VLOOKUP('Filtered Data'!C90,'Data Mapping'!$E$3:$F$97,2,0)</f>
        <v>#N/A</v>
      </c>
      <c r="F91">
        <f>'Filtered Data'!D90</f>
        <v>0</v>
      </c>
      <c r="G91" t="e">
        <f>VLOOKUP('Filtered Data'!E90,'Data Mapping'!$J$3:$K$11,2,0)</f>
        <v>#N/A</v>
      </c>
      <c r="H91">
        <f>'Filtered Data'!F90</f>
        <v>0</v>
      </c>
      <c r="I91" t="s">
        <v>5668</v>
      </c>
      <c r="J91" t="s">
        <v>1609</v>
      </c>
      <c r="K91" t="e">
        <f>VLOOKUP('Filtered Data'!A90,'Input 1 CMDB'!A:I,9,0)</f>
        <v>#N/A</v>
      </c>
      <c r="L91">
        <f>'Filtered Data'!K90</f>
        <v>0</v>
      </c>
      <c r="M91" t="e">
        <f t="shared" si="3"/>
        <v>#VALUE!</v>
      </c>
      <c r="N91">
        <f>'Filtered Data'!P90</f>
        <v>0</v>
      </c>
      <c r="O91">
        <f>'Filtered Data'!N90</f>
        <v>0</v>
      </c>
      <c r="P91" t="s">
        <v>5669</v>
      </c>
      <c r="Q91" t="str">
        <f>IF('Filtered Data'!W90,"ITHybridCloudEngineeringOperationsMgmt@Marathonpetroleum.com","mark.newman2@dxc.com")</f>
        <v>mark.newman2@dxc.com</v>
      </c>
      <c r="R91">
        <f t="shared" si="4"/>
        <v>0</v>
      </c>
      <c r="S91" s="31" t="s">
        <v>5738</v>
      </c>
      <c r="T91" t="s">
        <v>1381</v>
      </c>
      <c r="U91">
        <f>'Filtered Data'!V90</f>
        <v>0</v>
      </c>
      <c r="V91" t="str">
        <f>IF('Filtered Data'!W90,"yes","no")</f>
        <v>no</v>
      </c>
      <c r="W91" t="s">
        <v>15</v>
      </c>
      <c r="X91">
        <f>'Filtered Data'!X90</f>
        <v>0</v>
      </c>
    </row>
    <row r="92" spans="1:24" x14ac:dyDescent="0.35">
      <c r="A92">
        <f>'Filtered Data'!A91</f>
        <v>0</v>
      </c>
      <c r="B92">
        <f>'Filtered Data'!B91</f>
        <v>0</v>
      </c>
      <c r="C92" t="s">
        <v>2</v>
      </c>
      <c r="D92" t="e">
        <f>VLOOKUP('Filtered Data'!Z91,'Data Mapping'!$A$4:$B$7,2,0)</f>
        <v>#N/A</v>
      </c>
      <c r="E92" t="e">
        <f>VLOOKUP('Filtered Data'!C91,'Data Mapping'!$E$3:$F$97,2,0)</f>
        <v>#N/A</v>
      </c>
      <c r="F92">
        <f>'Filtered Data'!D91</f>
        <v>0</v>
      </c>
      <c r="G92" t="e">
        <f>VLOOKUP('Filtered Data'!E91,'Data Mapping'!$J$3:$K$11,2,0)</f>
        <v>#N/A</v>
      </c>
      <c r="H92">
        <f>'Filtered Data'!F91</f>
        <v>0</v>
      </c>
      <c r="I92" t="s">
        <v>5668</v>
      </c>
      <c r="J92" t="s">
        <v>1609</v>
      </c>
      <c r="K92" t="e">
        <f>VLOOKUP('Filtered Data'!A91,'Input 1 CMDB'!A:I,9,0)</f>
        <v>#N/A</v>
      </c>
      <c r="L92">
        <f>'Filtered Data'!K91</f>
        <v>0</v>
      </c>
      <c r="M92" t="e">
        <f t="shared" si="3"/>
        <v>#VALUE!</v>
      </c>
      <c r="N92">
        <f>'Filtered Data'!P91</f>
        <v>0</v>
      </c>
      <c r="O92">
        <f>'Filtered Data'!N91</f>
        <v>0</v>
      </c>
      <c r="P92" t="s">
        <v>5669</v>
      </c>
      <c r="Q92" t="str">
        <f>IF('Filtered Data'!W91,"ITHybridCloudEngineeringOperationsMgmt@Marathonpetroleum.com","mark.newman2@dxc.com")</f>
        <v>mark.newman2@dxc.com</v>
      </c>
      <c r="R92">
        <f t="shared" si="4"/>
        <v>0</v>
      </c>
      <c r="S92" s="31" t="s">
        <v>5738</v>
      </c>
      <c r="T92" t="s">
        <v>1381</v>
      </c>
      <c r="U92">
        <f>'Filtered Data'!V91</f>
        <v>0</v>
      </c>
      <c r="V92" t="str">
        <f>IF('Filtered Data'!W91,"yes","no")</f>
        <v>no</v>
      </c>
      <c r="W92" t="s">
        <v>15</v>
      </c>
      <c r="X92">
        <f>'Filtered Data'!X91</f>
        <v>0</v>
      </c>
    </row>
    <row r="93" spans="1:24" x14ac:dyDescent="0.35">
      <c r="A93">
        <f>'Filtered Data'!A92</f>
        <v>0</v>
      </c>
      <c r="B93">
        <f>'Filtered Data'!B92</f>
        <v>0</v>
      </c>
      <c r="C93" t="s">
        <v>2</v>
      </c>
      <c r="D93" t="e">
        <f>VLOOKUP('Filtered Data'!Z92,'Data Mapping'!$A$4:$B$7,2,0)</f>
        <v>#N/A</v>
      </c>
      <c r="E93" t="e">
        <f>VLOOKUP('Filtered Data'!C92,'Data Mapping'!$E$3:$F$97,2,0)</f>
        <v>#N/A</v>
      </c>
      <c r="F93">
        <f>'Filtered Data'!D92</f>
        <v>0</v>
      </c>
      <c r="G93" t="e">
        <f>VLOOKUP('Filtered Data'!E92,'Data Mapping'!$J$3:$K$11,2,0)</f>
        <v>#N/A</v>
      </c>
      <c r="H93">
        <f>'Filtered Data'!F92</f>
        <v>0</v>
      </c>
      <c r="I93" t="s">
        <v>5668</v>
      </c>
      <c r="J93" t="s">
        <v>1609</v>
      </c>
      <c r="K93" t="e">
        <f>VLOOKUP('Filtered Data'!A92,'Input 1 CMDB'!A:I,9,0)</f>
        <v>#N/A</v>
      </c>
      <c r="L93">
        <f>'Filtered Data'!K92</f>
        <v>0</v>
      </c>
      <c r="M93" t="e">
        <f t="shared" si="3"/>
        <v>#VALUE!</v>
      </c>
      <c r="N93">
        <f>'Filtered Data'!P92</f>
        <v>0</v>
      </c>
      <c r="O93">
        <f>'Filtered Data'!N92</f>
        <v>0</v>
      </c>
      <c r="P93" t="s">
        <v>5669</v>
      </c>
      <c r="Q93" t="str">
        <f>IF('Filtered Data'!W92,"ITHybridCloudEngineeringOperationsMgmt@Marathonpetroleum.com","mark.newman2@dxc.com")</f>
        <v>mark.newman2@dxc.com</v>
      </c>
      <c r="R93">
        <f t="shared" si="4"/>
        <v>0</v>
      </c>
      <c r="S93" s="31" t="s">
        <v>5738</v>
      </c>
      <c r="T93" t="s">
        <v>1381</v>
      </c>
      <c r="U93">
        <f>'Filtered Data'!V92</f>
        <v>0</v>
      </c>
      <c r="V93" t="str">
        <f>IF('Filtered Data'!W92,"yes","no")</f>
        <v>no</v>
      </c>
      <c r="W93" t="s">
        <v>15</v>
      </c>
      <c r="X93">
        <f>'Filtered Data'!X92</f>
        <v>0</v>
      </c>
    </row>
    <row r="94" spans="1:24" x14ac:dyDescent="0.35">
      <c r="A94">
        <f>'Filtered Data'!A93</f>
        <v>0</v>
      </c>
      <c r="B94">
        <f>'Filtered Data'!B93</f>
        <v>0</v>
      </c>
      <c r="C94" t="s">
        <v>2</v>
      </c>
      <c r="D94" t="e">
        <f>VLOOKUP('Filtered Data'!Z93,'Data Mapping'!$A$4:$B$7,2,0)</f>
        <v>#N/A</v>
      </c>
      <c r="E94" t="e">
        <f>VLOOKUP('Filtered Data'!C93,'Data Mapping'!$E$3:$F$97,2,0)</f>
        <v>#N/A</v>
      </c>
      <c r="F94">
        <f>'Filtered Data'!D93</f>
        <v>0</v>
      </c>
      <c r="G94" t="e">
        <f>VLOOKUP('Filtered Data'!E93,'Data Mapping'!$J$3:$K$11,2,0)</f>
        <v>#N/A</v>
      </c>
      <c r="H94">
        <f>'Filtered Data'!F93</f>
        <v>0</v>
      </c>
      <c r="I94" t="s">
        <v>5668</v>
      </c>
      <c r="J94" t="s">
        <v>1609</v>
      </c>
      <c r="K94" t="e">
        <f>VLOOKUP('Filtered Data'!A93,'Input 1 CMDB'!A:I,9,0)</f>
        <v>#N/A</v>
      </c>
      <c r="L94">
        <f>'Filtered Data'!K93</f>
        <v>0</v>
      </c>
      <c r="M94" t="e">
        <f t="shared" si="3"/>
        <v>#VALUE!</v>
      </c>
      <c r="N94">
        <f>'Filtered Data'!P93</f>
        <v>0</v>
      </c>
      <c r="O94">
        <f>'Filtered Data'!N93</f>
        <v>0</v>
      </c>
      <c r="P94" t="s">
        <v>5669</v>
      </c>
      <c r="Q94" t="str">
        <f>IF('Filtered Data'!W93,"ITHybridCloudEngineeringOperationsMgmt@Marathonpetroleum.com","mark.newman2@dxc.com")</f>
        <v>mark.newman2@dxc.com</v>
      </c>
      <c r="R94">
        <f t="shared" si="4"/>
        <v>0</v>
      </c>
      <c r="S94" s="31" t="s">
        <v>5738</v>
      </c>
      <c r="T94" t="s">
        <v>1381</v>
      </c>
      <c r="U94">
        <f>'Filtered Data'!V93</f>
        <v>0</v>
      </c>
      <c r="V94" t="str">
        <f>IF('Filtered Data'!W93,"yes","no")</f>
        <v>no</v>
      </c>
      <c r="W94" t="s">
        <v>15</v>
      </c>
      <c r="X94">
        <f>'Filtered Data'!X93</f>
        <v>0</v>
      </c>
    </row>
    <row r="95" spans="1:24" x14ac:dyDescent="0.35">
      <c r="A95">
        <f>'Filtered Data'!A94</f>
        <v>0</v>
      </c>
      <c r="B95">
        <f>'Filtered Data'!B94</f>
        <v>0</v>
      </c>
      <c r="C95" t="s">
        <v>2</v>
      </c>
      <c r="D95" t="e">
        <f>VLOOKUP('Filtered Data'!Z94,'Data Mapping'!$A$4:$B$7,2,0)</f>
        <v>#N/A</v>
      </c>
      <c r="E95" t="e">
        <f>VLOOKUP('Filtered Data'!C94,'Data Mapping'!$E$3:$F$97,2,0)</f>
        <v>#N/A</v>
      </c>
      <c r="F95">
        <f>'Filtered Data'!D94</f>
        <v>0</v>
      </c>
      <c r="G95" t="e">
        <f>VLOOKUP('Filtered Data'!E94,'Data Mapping'!$J$3:$K$11,2,0)</f>
        <v>#N/A</v>
      </c>
      <c r="H95">
        <f>'Filtered Data'!F94</f>
        <v>0</v>
      </c>
      <c r="I95" t="s">
        <v>5668</v>
      </c>
      <c r="J95" t="s">
        <v>1609</v>
      </c>
      <c r="K95" t="e">
        <f>VLOOKUP('Filtered Data'!A94,'Input 1 CMDB'!A:I,9,0)</f>
        <v>#N/A</v>
      </c>
      <c r="L95">
        <f>'Filtered Data'!K94</f>
        <v>0</v>
      </c>
      <c r="M95" t="e">
        <f t="shared" si="3"/>
        <v>#VALUE!</v>
      </c>
      <c r="N95">
        <f>'Filtered Data'!P94</f>
        <v>0</v>
      </c>
      <c r="O95">
        <f>'Filtered Data'!N94</f>
        <v>0</v>
      </c>
      <c r="P95" t="s">
        <v>5669</v>
      </c>
      <c r="Q95" t="str">
        <f>IF('Filtered Data'!W94,"ITHybridCloudEngineeringOperationsMgmt@Marathonpetroleum.com","mark.newman2@dxc.com")</f>
        <v>mark.newman2@dxc.com</v>
      </c>
      <c r="R95">
        <f t="shared" si="4"/>
        <v>0</v>
      </c>
      <c r="S95" s="31" t="s">
        <v>5738</v>
      </c>
      <c r="T95" t="s">
        <v>1381</v>
      </c>
      <c r="U95">
        <f>'Filtered Data'!V94</f>
        <v>0</v>
      </c>
      <c r="V95" t="str">
        <f>IF('Filtered Data'!W94,"yes","no")</f>
        <v>no</v>
      </c>
      <c r="W95" t="s">
        <v>15</v>
      </c>
      <c r="X95">
        <f>'Filtered Data'!X94</f>
        <v>0</v>
      </c>
    </row>
    <row r="96" spans="1:24" x14ac:dyDescent="0.35">
      <c r="A96">
        <f>'Filtered Data'!A95</f>
        <v>0</v>
      </c>
      <c r="B96">
        <f>'Filtered Data'!B95</f>
        <v>0</v>
      </c>
      <c r="C96" t="s">
        <v>2</v>
      </c>
      <c r="D96" t="e">
        <f>VLOOKUP('Filtered Data'!Z95,'Data Mapping'!$A$4:$B$7,2,0)</f>
        <v>#N/A</v>
      </c>
      <c r="E96" t="e">
        <f>VLOOKUP('Filtered Data'!C95,'Data Mapping'!$E$3:$F$97,2,0)</f>
        <v>#N/A</v>
      </c>
      <c r="F96">
        <f>'Filtered Data'!D95</f>
        <v>0</v>
      </c>
      <c r="G96" t="e">
        <f>VLOOKUP('Filtered Data'!E95,'Data Mapping'!$J$3:$K$11,2,0)</f>
        <v>#N/A</v>
      </c>
      <c r="H96">
        <f>'Filtered Data'!F95</f>
        <v>0</v>
      </c>
      <c r="I96" t="s">
        <v>5668</v>
      </c>
      <c r="J96" t="s">
        <v>1609</v>
      </c>
      <c r="K96" t="e">
        <f>VLOOKUP('Filtered Data'!A95,'Input 1 CMDB'!A:I,9,0)</f>
        <v>#N/A</v>
      </c>
      <c r="L96">
        <f>'Filtered Data'!K95</f>
        <v>0</v>
      </c>
      <c r="M96" t="e">
        <f t="shared" si="3"/>
        <v>#VALUE!</v>
      </c>
      <c r="N96">
        <f>'Filtered Data'!P95</f>
        <v>0</v>
      </c>
      <c r="O96">
        <f>'Filtered Data'!N95</f>
        <v>0</v>
      </c>
      <c r="P96" t="s">
        <v>5669</v>
      </c>
      <c r="Q96" t="str">
        <f>IF('Filtered Data'!W95,"ITHybridCloudEngineeringOperationsMgmt@Marathonpetroleum.com","mark.newman2@dxc.com")</f>
        <v>mark.newman2@dxc.com</v>
      </c>
      <c r="R96">
        <f t="shared" si="4"/>
        <v>0</v>
      </c>
      <c r="S96" s="31" t="s">
        <v>5738</v>
      </c>
      <c r="T96" t="s">
        <v>1381</v>
      </c>
      <c r="U96">
        <f>'Filtered Data'!V95</f>
        <v>0</v>
      </c>
      <c r="V96" t="str">
        <f>IF('Filtered Data'!W95,"yes","no")</f>
        <v>no</v>
      </c>
      <c r="W96" t="s">
        <v>15</v>
      </c>
      <c r="X96">
        <f>'Filtered Data'!X95</f>
        <v>0</v>
      </c>
    </row>
    <row r="97" spans="1:24" x14ac:dyDescent="0.35">
      <c r="A97">
        <f>'Filtered Data'!A96</f>
        <v>0</v>
      </c>
      <c r="B97">
        <f>'Filtered Data'!B96</f>
        <v>0</v>
      </c>
      <c r="C97" t="s">
        <v>2</v>
      </c>
      <c r="D97" t="e">
        <f>VLOOKUP('Filtered Data'!Z96,'Data Mapping'!$A$4:$B$7,2,0)</f>
        <v>#N/A</v>
      </c>
      <c r="E97" t="e">
        <f>VLOOKUP('Filtered Data'!C96,'Data Mapping'!$E$3:$F$97,2,0)</f>
        <v>#N/A</v>
      </c>
      <c r="F97">
        <f>'Filtered Data'!D96</f>
        <v>0</v>
      </c>
      <c r="G97" t="e">
        <f>VLOOKUP('Filtered Data'!E96,'Data Mapping'!$J$3:$K$11,2,0)</f>
        <v>#N/A</v>
      </c>
      <c r="H97">
        <f>'Filtered Data'!F96</f>
        <v>0</v>
      </c>
      <c r="I97" t="s">
        <v>5668</v>
      </c>
      <c r="J97" t="s">
        <v>1609</v>
      </c>
      <c r="K97" t="e">
        <f>VLOOKUP('Filtered Data'!A96,'Input 1 CMDB'!A:I,9,0)</f>
        <v>#N/A</v>
      </c>
      <c r="L97">
        <f>'Filtered Data'!K96</f>
        <v>0</v>
      </c>
      <c r="M97" t="e">
        <f t="shared" si="3"/>
        <v>#VALUE!</v>
      </c>
      <c r="N97">
        <f>'Filtered Data'!P96</f>
        <v>0</v>
      </c>
      <c r="O97">
        <f>'Filtered Data'!N96</f>
        <v>0</v>
      </c>
      <c r="P97" t="s">
        <v>5669</v>
      </c>
      <c r="Q97" t="str">
        <f>IF('Filtered Data'!W96,"ITHybridCloudEngineeringOperationsMgmt@Marathonpetroleum.com","mark.newman2@dxc.com")</f>
        <v>mark.newman2@dxc.com</v>
      </c>
      <c r="R97">
        <f t="shared" si="4"/>
        <v>0</v>
      </c>
      <c r="S97" s="31" t="s">
        <v>5738</v>
      </c>
      <c r="T97" t="s">
        <v>1381</v>
      </c>
      <c r="U97">
        <f>'Filtered Data'!V96</f>
        <v>0</v>
      </c>
      <c r="V97" t="str">
        <f>IF('Filtered Data'!W96,"yes","no")</f>
        <v>no</v>
      </c>
      <c r="W97" t="s">
        <v>15</v>
      </c>
      <c r="X97">
        <f>'Filtered Data'!X96</f>
        <v>0</v>
      </c>
    </row>
    <row r="98" spans="1:24" x14ac:dyDescent="0.35">
      <c r="A98">
        <f>'Filtered Data'!A97</f>
        <v>0</v>
      </c>
      <c r="B98">
        <f>'Filtered Data'!B97</f>
        <v>0</v>
      </c>
      <c r="C98" t="s">
        <v>2</v>
      </c>
      <c r="D98" t="e">
        <f>VLOOKUP('Filtered Data'!Z97,'Data Mapping'!$A$4:$B$7,2,0)</f>
        <v>#N/A</v>
      </c>
      <c r="E98" t="e">
        <f>VLOOKUP('Filtered Data'!C97,'Data Mapping'!$E$3:$F$97,2,0)</f>
        <v>#N/A</v>
      </c>
      <c r="F98">
        <f>'Filtered Data'!D97</f>
        <v>0</v>
      </c>
      <c r="G98" t="e">
        <f>VLOOKUP('Filtered Data'!E97,'Data Mapping'!$J$3:$K$11,2,0)</f>
        <v>#N/A</v>
      </c>
      <c r="H98">
        <f>'Filtered Data'!F97</f>
        <v>0</v>
      </c>
      <c r="I98" t="s">
        <v>5668</v>
      </c>
      <c r="J98" t="s">
        <v>1609</v>
      </c>
      <c r="K98" t="e">
        <f>VLOOKUP('Filtered Data'!A97,'Input 1 CMDB'!A:I,9,0)</f>
        <v>#N/A</v>
      </c>
      <c r="L98">
        <f>'Filtered Data'!K97</f>
        <v>0</v>
      </c>
      <c r="M98" t="e">
        <f t="shared" si="3"/>
        <v>#VALUE!</v>
      </c>
      <c r="N98">
        <f>'Filtered Data'!P97</f>
        <v>0</v>
      </c>
      <c r="O98">
        <f>'Filtered Data'!N97</f>
        <v>0</v>
      </c>
      <c r="P98" t="s">
        <v>5669</v>
      </c>
      <c r="Q98" t="str">
        <f>IF('Filtered Data'!W97,"ITHybridCloudEngineeringOperationsMgmt@Marathonpetroleum.com","mark.newman2@dxc.com")</f>
        <v>mark.newman2@dxc.com</v>
      </c>
      <c r="R98">
        <f t="shared" si="4"/>
        <v>0</v>
      </c>
      <c r="S98" s="31" t="s">
        <v>5738</v>
      </c>
      <c r="T98" t="s">
        <v>1381</v>
      </c>
      <c r="U98">
        <f>'Filtered Data'!V97</f>
        <v>0</v>
      </c>
      <c r="V98" t="str">
        <f>IF('Filtered Data'!W97,"yes","no")</f>
        <v>no</v>
      </c>
      <c r="W98" t="s">
        <v>15</v>
      </c>
      <c r="X98">
        <f>'Filtered Data'!X97</f>
        <v>0</v>
      </c>
    </row>
    <row r="99" spans="1:24" x14ac:dyDescent="0.35">
      <c r="A99">
        <f>'Filtered Data'!A98</f>
        <v>0</v>
      </c>
      <c r="B99">
        <f>'Filtered Data'!B98</f>
        <v>0</v>
      </c>
      <c r="C99" t="s">
        <v>2</v>
      </c>
      <c r="D99" t="e">
        <f>VLOOKUP('Filtered Data'!Z98,'Data Mapping'!$A$4:$B$7,2,0)</f>
        <v>#N/A</v>
      </c>
      <c r="E99" t="e">
        <f>VLOOKUP('Filtered Data'!C98,'Data Mapping'!$E$3:$F$97,2,0)</f>
        <v>#N/A</v>
      </c>
      <c r="F99">
        <f>'Filtered Data'!D98</f>
        <v>0</v>
      </c>
      <c r="G99" t="e">
        <f>VLOOKUP('Filtered Data'!E98,'Data Mapping'!$J$3:$K$11,2,0)</f>
        <v>#N/A</v>
      </c>
      <c r="H99">
        <f>'Filtered Data'!F98</f>
        <v>0</v>
      </c>
      <c r="I99" t="s">
        <v>5668</v>
      </c>
      <c r="J99" t="s">
        <v>1609</v>
      </c>
      <c r="K99" t="e">
        <f>VLOOKUP('Filtered Data'!A98,'Input 1 CMDB'!A:I,9,0)</f>
        <v>#N/A</v>
      </c>
      <c r="L99">
        <f>'Filtered Data'!K98</f>
        <v>0</v>
      </c>
      <c r="M99" t="e">
        <f t="shared" si="3"/>
        <v>#VALUE!</v>
      </c>
      <c r="N99">
        <f>'Filtered Data'!P98</f>
        <v>0</v>
      </c>
      <c r="O99">
        <f>'Filtered Data'!N98</f>
        <v>0</v>
      </c>
      <c r="P99" t="s">
        <v>5669</v>
      </c>
      <c r="Q99" t="str">
        <f>IF('Filtered Data'!W98,"ITHybridCloudEngineeringOperationsMgmt@Marathonpetroleum.com","mark.newman2@dxc.com")</f>
        <v>mark.newman2@dxc.com</v>
      </c>
      <c r="R99">
        <f t="shared" si="4"/>
        <v>0</v>
      </c>
      <c r="S99" s="31" t="s">
        <v>5738</v>
      </c>
      <c r="T99" t="s">
        <v>1381</v>
      </c>
      <c r="U99">
        <f>'Filtered Data'!V98</f>
        <v>0</v>
      </c>
      <c r="V99" t="str">
        <f>IF('Filtered Data'!W98,"yes","no")</f>
        <v>no</v>
      </c>
      <c r="W99" t="s">
        <v>15</v>
      </c>
      <c r="X99">
        <f>'Filtered Data'!X98</f>
        <v>0</v>
      </c>
    </row>
    <row r="100" spans="1:24" x14ac:dyDescent="0.35">
      <c r="A100">
        <f>'Filtered Data'!A99</f>
        <v>0</v>
      </c>
      <c r="B100">
        <f>'Filtered Data'!B99</f>
        <v>0</v>
      </c>
      <c r="C100" t="s">
        <v>2</v>
      </c>
      <c r="D100" t="e">
        <f>VLOOKUP('Filtered Data'!Z99,'Data Mapping'!$A$4:$B$7,2,0)</f>
        <v>#N/A</v>
      </c>
      <c r="E100" t="e">
        <f>VLOOKUP('Filtered Data'!C99,'Data Mapping'!$E$3:$F$97,2,0)</f>
        <v>#N/A</v>
      </c>
      <c r="F100">
        <f>'Filtered Data'!D99</f>
        <v>0</v>
      </c>
      <c r="G100" t="e">
        <f>VLOOKUP('Filtered Data'!E99,'Data Mapping'!$J$3:$K$11,2,0)</f>
        <v>#N/A</v>
      </c>
      <c r="H100">
        <f>'Filtered Data'!F99</f>
        <v>0</v>
      </c>
      <c r="I100" t="s">
        <v>5668</v>
      </c>
      <c r="J100" t="s">
        <v>1609</v>
      </c>
      <c r="K100" t="e">
        <f>VLOOKUP('Filtered Data'!A99,'Input 1 CMDB'!A:I,9,0)</f>
        <v>#N/A</v>
      </c>
      <c r="L100">
        <f>'Filtered Data'!K99</f>
        <v>0</v>
      </c>
      <c r="M100" t="e">
        <f t="shared" si="3"/>
        <v>#VALUE!</v>
      </c>
      <c r="N100">
        <f>'Filtered Data'!P99</f>
        <v>0</v>
      </c>
      <c r="O100">
        <f>'Filtered Data'!N99</f>
        <v>0</v>
      </c>
      <c r="P100" t="s">
        <v>5669</v>
      </c>
      <c r="Q100" t="str">
        <f>IF('Filtered Data'!W99,"ITHybridCloudEngineeringOperationsMgmt@Marathonpetroleum.com","mark.newman2@dxc.com")</f>
        <v>mark.newman2@dxc.com</v>
      </c>
      <c r="R100">
        <f t="shared" si="4"/>
        <v>0</v>
      </c>
      <c r="S100" s="31" t="s">
        <v>5738</v>
      </c>
      <c r="T100" t="s">
        <v>1381</v>
      </c>
      <c r="U100">
        <f>'Filtered Data'!V99</f>
        <v>0</v>
      </c>
      <c r="V100" t="str">
        <f>IF('Filtered Data'!W99,"yes","no")</f>
        <v>no</v>
      </c>
      <c r="W100" t="s">
        <v>15</v>
      </c>
      <c r="X100">
        <f>'Filtered Data'!X99</f>
        <v>0</v>
      </c>
    </row>
    <row r="101" spans="1:24" x14ac:dyDescent="0.35">
      <c r="A101">
        <f>'Filtered Data'!A100</f>
        <v>0</v>
      </c>
      <c r="B101">
        <f>'Filtered Data'!B100</f>
        <v>0</v>
      </c>
      <c r="C101" t="s">
        <v>2</v>
      </c>
      <c r="D101" t="e">
        <f>VLOOKUP('Filtered Data'!Z100,'Data Mapping'!$A$4:$B$7,2,0)</f>
        <v>#N/A</v>
      </c>
      <c r="E101" t="e">
        <f>VLOOKUP('Filtered Data'!C100,'Data Mapping'!$E$3:$F$97,2,0)</f>
        <v>#N/A</v>
      </c>
      <c r="F101">
        <f>'Filtered Data'!D100</f>
        <v>0</v>
      </c>
      <c r="G101" t="e">
        <f>VLOOKUP('Filtered Data'!E100,'Data Mapping'!$J$3:$K$11,2,0)</f>
        <v>#N/A</v>
      </c>
      <c r="H101">
        <f>'Filtered Data'!F100</f>
        <v>0</v>
      </c>
      <c r="I101" t="s">
        <v>5668</v>
      </c>
      <c r="J101" t="s">
        <v>1609</v>
      </c>
      <c r="K101" t="e">
        <f>VLOOKUP('Filtered Data'!A100,'Input 1 CMDB'!A:I,9,0)</f>
        <v>#N/A</v>
      </c>
      <c r="L101">
        <f>'Filtered Data'!K100</f>
        <v>0</v>
      </c>
      <c r="M101" t="e">
        <f t="shared" si="3"/>
        <v>#VALUE!</v>
      </c>
      <c r="N101">
        <f>'Filtered Data'!P100</f>
        <v>0</v>
      </c>
      <c r="O101">
        <f>'Filtered Data'!N100</f>
        <v>0</v>
      </c>
      <c r="P101" t="s">
        <v>5669</v>
      </c>
      <c r="Q101" t="str">
        <f>IF('Filtered Data'!W100,"ITHybridCloudEngineeringOperationsMgmt@Marathonpetroleum.com","mark.newman2@dxc.com")</f>
        <v>mark.newman2@dxc.com</v>
      </c>
      <c r="R101">
        <f t="shared" si="4"/>
        <v>0</v>
      </c>
      <c r="S101" s="31" t="s">
        <v>5738</v>
      </c>
      <c r="T101" t="s">
        <v>1381</v>
      </c>
      <c r="U101">
        <f>'Filtered Data'!V100</f>
        <v>0</v>
      </c>
      <c r="V101" t="str">
        <f>IF('Filtered Data'!W100,"yes","no")</f>
        <v>no</v>
      </c>
      <c r="W101" t="s">
        <v>15</v>
      </c>
      <c r="X101">
        <f>'Filtered Data'!X100</f>
        <v>0</v>
      </c>
    </row>
    <row r="102" spans="1:24" x14ac:dyDescent="0.35">
      <c r="A102">
        <f>'Filtered Data'!A101</f>
        <v>0</v>
      </c>
      <c r="B102">
        <f>'Filtered Data'!B101</f>
        <v>0</v>
      </c>
      <c r="C102" t="s">
        <v>2</v>
      </c>
      <c r="D102" t="e">
        <f>VLOOKUP('Filtered Data'!Z101,'Data Mapping'!$A$4:$B$7,2,0)</f>
        <v>#N/A</v>
      </c>
      <c r="E102" t="e">
        <f>VLOOKUP('Filtered Data'!C101,'Data Mapping'!$E$3:$F$97,2,0)</f>
        <v>#N/A</v>
      </c>
      <c r="F102">
        <f>'Filtered Data'!D101</f>
        <v>0</v>
      </c>
      <c r="G102" t="e">
        <f>VLOOKUP('Filtered Data'!E101,'Data Mapping'!$J$3:$K$11,2,0)</f>
        <v>#N/A</v>
      </c>
      <c r="H102">
        <f>'Filtered Data'!F101</f>
        <v>0</v>
      </c>
      <c r="I102" t="s">
        <v>5668</v>
      </c>
      <c r="J102" t="s">
        <v>1609</v>
      </c>
      <c r="K102" t="e">
        <f>VLOOKUP('Filtered Data'!A101,'Input 1 CMDB'!A:I,9,0)</f>
        <v>#N/A</v>
      </c>
      <c r="L102">
        <f>'Filtered Data'!K101</f>
        <v>0</v>
      </c>
      <c r="M102" t="e">
        <f t="shared" si="3"/>
        <v>#VALUE!</v>
      </c>
      <c r="N102">
        <f>'Filtered Data'!P101</f>
        <v>0</v>
      </c>
      <c r="O102">
        <f>'Filtered Data'!N101</f>
        <v>0</v>
      </c>
      <c r="P102" t="s">
        <v>5669</v>
      </c>
      <c r="Q102" t="str">
        <f>IF('Filtered Data'!W101,"ITHybridCloudEngineeringOperationsMgmt@Marathonpetroleum.com","mark.newman2@dxc.com")</f>
        <v>mark.newman2@dxc.com</v>
      </c>
      <c r="R102">
        <f t="shared" si="4"/>
        <v>0</v>
      </c>
      <c r="S102" s="31" t="s">
        <v>5738</v>
      </c>
      <c r="T102" t="s">
        <v>1381</v>
      </c>
      <c r="U102">
        <f>'Filtered Data'!V101</f>
        <v>0</v>
      </c>
      <c r="V102" t="str">
        <f>IF('Filtered Data'!W101,"yes","no")</f>
        <v>no</v>
      </c>
      <c r="W102" t="s">
        <v>15</v>
      </c>
      <c r="X102">
        <f>'Filtered Data'!X101</f>
        <v>0</v>
      </c>
    </row>
    <row r="103" spans="1:24" x14ac:dyDescent="0.35">
      <c r="A103">
        <f>'Filtered Data'!A102</f>
        <v>0</v>
      </c>
      <c r="B103">
        <f>'Filtered Data'!B102</f>
        <v>0</v>
      </c>
      <c r="C103" t="s">
        <v>2</v>
      </c>
      <c r="D103" t="e">
        <f>VLOOKUP('Filtered Data'!Z102,'Data Mapping'!$A$4:$B$7,2,0)</f>
        <v>#N/A</v>
      </c>
      <c r="E103" t="e">
        <f>VLOOKUP('Filtered Data'!C102,'Data Mapping'!$E$3:$F$97,2,0)</f>
        <v>#N/A</v>
      </c>
      <c r="F103">
        <f>'Filtered Data'!D102</f>
        <v>0</v>
      </c>
      <c r="G103" t="e">
        <f>VLOOKUP('Filtered Data'!E102,'Data Mapping'!$J$3:$K$11,2,0)</f>
        <v>#N/A</v>
      </c>
      <c r="H103">
        <f>'Filtered Data'!F102</f>
        <v>0</v>
      </c>
      <c r="I103" t="s">
        <v>5668</v>
      </c>
      <c r="J103" t="s">
        <v>1609</v>
      </c>
      <c r="K103" t="e">
        <f>VLOOKUP('Filtered Data'!A102,'Input 1 CMDB'!A:I,9,0)</f>
        <v>#N/A</v>
      </c>
      <c r="L103">
        <f>'Filtered Data'!K102</f>
        <v>0</v>
      </c>
      <c r="M103" t="e">
        <f t="shared" ref="M103:M166" si="5">MID(B103,FIND(".",B103)+1,(LEN(B103)-FIND(".",B103)))</f>
        <v>#VALUE!</v>
      </c>
      <c r="N103">
        <f>'Filtered Data'!P102</f>
        <v>0</v>
      </c>
      <c r="O103">
        <f>'Filtered Data'!N102</f>
        <v>0</v>
      </c>
      <c r="P103" t="s">
        <v>5669</v>
      </c>
      <c r="Q103" t="str">
        <f>IF('Filtered Data'!W102,"ITHybridCloudEngineeringOperationsMgmt@Marathonpetroleum.com","mark.newman2@dxc.com")</f>
        <v>mark.newman2@dxc.com</v>
      </c>
      <c r="R103">
        <f t="shared" ref="R103:R166" si="6">N103</f>
        <v>0</v>
      </c>
      <c r="S103" s="31" t="s">
        <v>5738</v>
      </c>
      <c r="T103" t="s">
        <v>1381</v>
      </c>
      <c r="U103">
        <f>'Filtered Data'!V102</f>
        <v>0</v>
      </c>
      <c r="V103" t="str">
        <f>IF('Filtered Data'!W102,"yes","no")</f>
        <v>no</v>
      </c>
      <c r="W103" t="s">
        <v>15</v>
      </c>
      <c r="X103">
        <f>'Filtered Data'!X102</f>
        <v>0</v>
      </c>
    </row>
    <row r="104" spans="1:24" x14ac:dyDescent="0.35">
      <c r="A104">
        <f>'Filtered Data'!A103</f>
        <v>0</v>
      </c>
      <c r="B104">
        <f>'Filtered Data'!B103</f>
        <v>0</v>
      </c>
      <c r="C104" t="s">
        <v>2</v>
      </c>
      <c r="D104" t="e">
        <f>VLOOKUP('Filtered Data'!Z103,'Data Mapping'!$A$4:$B$7,2,0)</f>
        <v>#N/A</v>
      </c>
      <c r="E104" t="e">
        <f>VLOOKUP('Filtered Data'!C103,'Data Mapping'!$E$3:$F$97,2,0)</f>
        <v>#N/A</v>
      </c>
      <c r="F104">
        <f>'Filtered Data'!D103</f>
        <v>0</v>
      </c>
      <c r="G104" t="e">
        <f>VLOOKUP('Filtered Data'!E103,'Data Mapping'!$J$3:$K$11,2,0)</f>
        <v>#N/A</v>
      </c>
      <c r="H104">
        <f>'Filtered Data'!F103</f>
        <v>0</v>
      </c>
      <c r="I104" t="s">
        <v>5668</v>
      </c>
      <c r="J104" t="s">
        <v>1609</v>
      </c>
      <c r="K104" t="e">
        <f>VLOOKUP('Filtered Data'!A103,'Input 1 CMDB'!A:I,9,0)</f>
        <v>#N/A</v>
      </c>
      <c r="L104">
        <f>'Filtered Data'!K103</f>
        <v>0</v>
      </c>
      <c r="M104" t="e">
        <f t="shared" si="5"/>
        <v>#VALUE!</v>
      </c>
      <c r="N104">
        <f>'Filtered Data'!P103</f>
        <v>0</v>
      </c>
      <c r="O104">
        <f>'Filtered Data'!N103</f>
        <v>0</v>
      </c>
      <c r="P104" t="s">
        <v>5669</v>
      </c>
      <c r="Q104" t="str">
        <f>IF('Filtered Data'!W103,"ITHybridCloudEngineeringOperationsMgmt@Marathonpetroleum.com","mark.newman2@dxc.com")</f>
        <v>mark.newman2@dxc.com</v>
      </c>
      <c r="R104">
        <f t="shared" si="6"/>
        <v>0</v>
      </c>
      <c r="S104" s="31" t="s">
        <v>5738</v>
      </c>
      <c r="T104" t="s">
        <v>1381</v>
      </c>
      <c r="U104">
        <f>'Filtered Data'!V103</f>
        <v>0</v>
      </c>
      <c r="V104" t="str">
        <f>IF('Filtered Data'!W103,"yes","no")</f>
        <v>no</v>
      </c>
      <c r="W104" t="s">
        <v>15</v>
      </c>
      <c r="X104">
        <f>'Filtered Data'!X103</f>
        <v>0</v>
      </c>
    </row>
    <row r="105" spans="1:24" x14ac:dyDescent="0.35">
      <c r="A105">
        <f>'Filtered Data'!A104</f>
        <v>0</v>
      </c>
      <c r="B105">
        <f>'Filtered Data'!B104</f>
        <v>0</v>
      </c>
      <c r="C105" t="s">
        <v>2</v>
      </c>
      <c r="D105" t="e">
        <f>VLOOKUP('Filtered Data'!Z104,'Data Mapping'!$A$4:$B$7,2,0)</f>
        <v>#N/A</v>
      </c>
      <c r="E105" t="e">
        <f>VLOOKUP('Filtered Data'!C104,'Data Mapping'!$E$3:$F$97,2,0)</f>
        <v>#N/A</v>
      </c>
      <c r="F105">
        <f>'Filtered Data'!D104</f>
        <v>0</v>
      </c>
      <c r="G105" t="e">
        <f>VLOOKUP('Filtered Data'!E104,'Data Mapping'!$J$3:$K$11,2,0)</f>
        <v>#N/A</v>
      </c>
      <c r="H105">
        <f>'Filtered Data'!F104</f>
        <v>0</v>
      </c>
      <c r="I105" t="s">
        <v>5668</v>
      </c>
      <c r="J105" t="s">
        <v>1609</v>
      </c>
      <c r="K105" t="e">
        <f>VLOOKUP('Filtered Data'!A104,'Input 1 CMDB'!A:I,9,0)</f>
        <v>#N/A</v>
      </c>
      <c r="L105">
        <f>'Filtered Data'!K104</f>
        <v>0</v>
      </c>
      <c r="M105" t="e">
        <f t="shared" si="5"/>
        <v>#VALUE!</v>
      </c>
      <c r="N105">
        <f>'Filtered Data'!P104</f>
        <v>0</v>
      </c>
      <c r="O105">
        <f>'Filtered Data'!N104</f>
        <v>0</v>
      </c>
      <c r="P105" t="s">
        <v>5669</v>
      </c>
      <c r="Q105" t="str">
        <f>IF('Filtered Data'!W104,"ITHybridCloudEngineeringOperationsMgmt@Marathonpetroleum.com","mark.newman2@dxc.com")</f>
        <v>mark.newman2@dxc.com</v>
      </c>
      <c r="R105">
        <f t="shared" si="6"/>
        <v>0</v>
      </c>
      <c r="S105" s="31" t="s">
        <v>5738</v>
      </c>
      <c r="T105" t="s">
        <v>1381</v>
      </c>
      <c r="U105">
        <f>'Filtered Data'!V104</f>
        <v>0</v>
      </c>
      <c r="V105" t="str">
        <f>IF('Filtered Data'!W104,"yes","no")</f>
        <v>no</v>
      </c>
      <c r="W105" t="s">
        <v>15</v>
      </c>
      <c r="X105">
        <f>'Filtered Data'!X104</f>
        <v>0</v>
      </c>
    </row>
    <row r="106" spans="1:24" x14ac:dyDescent="0.35">
      <c r="A106">
        <f>'Filtered Data'!A105</f>
        <v>0</v>
      </c>
      <c r="B106">
        <f>'Filtered Data'!B105</f>
        <v>0</v>
      </c>
      <c r="C106" t="s">
        <v>2</v>
      </c>
      <c r="D106" t="e">
        <f>VLOOKUP('Filtered Data'!Z105,'Data Mapping'!$A$4:$B$7,2,0)</f>
        <v>#N/A</v>
      </c>
      <c r="E106" t="e">
        <f>VLOOKUP('Filtered Data'!C105,'Data Mapping'!$E$3:$F$97,2,0)</f>
        <v>#N/A</v>
      </c>
      <c r="F106">
        <f>'Filtered Data'!D105</f>
        <v>0</v>
      </c>
      <c r="G106" t="e">
        <f>VLOOKUP('Filtered Data'!E105,'Data Mapping'!$J$3:$K$11,2,0)</f>
        <v>#N/A</v>
      </c>
      <c r="H106">
        <f>'Filtered Data'!F105</f>
        <v>0</v>
      </c>
      <c r="I106" t="s">
        <v>5668</v>
      </c>
      <c r="J106" t="s">
        <v>1609</v>
      </c>
      <c r="K106" t="e">
        <f>VLOOKUP('Filtered Data'!A105,'Input 1 CMDB'!A:I,9,0)</f>
        <v>#N/A</v>
      </c>
      <c r="L106">
        <f>'Filtered Data'!K105</f>
        <v>0</v>
      </c>
      <c r="M106" t="e">
        <f t="shared" si="5"/>
        <v>#VALUE!</v>
      </c>
      <c r="N106">
        <f>'Filtered Data'!P105</f>
        <v>0</v>
      </c>
      <c r="O106">
        <f>'Filtered Data'!N105</f>
        <v>0</v>
      </c>
      <c r="P106" t="s">
        <v>5669</v>
      </c>
      <c r="Q106" t="str">
        <f>IF('Filtered Data'!W105,"ITHybridCloudEngineeringOperationsMgmt@Marathonpetroleum.com","mark.newman2@dxc.com")</f>
        <v>mark.newman2@dxc.com</v>
      </c>
      <c r="R106">
        <f t="shared" si="6"/>
        <v>0</v>
      </c>
      <c r="S106" s="31" t="s">
        <v>5738</v>
      </c>
      <c r="T106" t="s">
        <v>1381</v>
      </c>
      <c r="U106">
        <f>'Filtered Data'!V105</f>
        <v>0</v>
      </c>
      <c r="V106" t="str">
        <f>IF('Filtered Data'!W105,"yes","no")</f>
        <v>no</v>
      </c>
      <c r="W106" t="s">
        <v>15</v>
      </c>
      <c r="X106">
        <f>'Filtered Data'!X105</f>
        <v>0</v>
      </c>
    </row>
    <row r="107" spans="1:24" x14ac:dyDescent="0.35">
      <c r="A107">
        <f>'Filtered Data'!A106</f>
        <v>0</v>
      </c>
      <c r="B107">
        <f>'Filtered Data'!B106</f>
        <v>0</v>
      </c>
      <c r="C107" t="s">
        <v>2</v>
      </c>
      <c r="D107" t="e">
        <f>VLOOKUP('Filtered Data'!Z106,'Data Mapping'!$A$4:$B$7,2,0)</f>
        <v>#N/A</v>
      </c>
      <c r="E107" t="e">
        <f>VLOOKUP('Filtered Data'!C106,'Data Mapping'!$E$3:$F$97,2,0)</f>
        <v>#N/A</v>
      </c>
      <c r="F107">
        <f>'Filtered Data'!D106</f>
        <v>0</v>
      </c>
      <c r="G107" t="e">
        <f>VLOOKUP('Filtered Data'!E106,'Data Mapping'!$J$3:$K$11,2,0)</f>
        <v>#N/A</v>
      </c>
      <c r="H107">
        <f>'Filtered Data'!F106</f>
        <v>0</v>
      </c>
      <c r="I107" t="s">
        <v>5668</v>
      </c>
      <c r="J107" t="s">
        <v>1609</v>
      </c>
      <c r="K107" t="e">
        <f>VLOOKUP('Filtered Data'!A106,'Input 1 CMDB'!A:I,9,0)</f>
        <v>#N/A</v>
      </c>
      <c r="L107">
        <f>'Filtered Data'!K106</f>
        <v>0</v>
      </c>
      <c r="M107" t="e">
        <f t="shared" si="5"/>
        <v>#VALUE!</v>
      </c>
      <c r="N107">
        <f>'Filtered Data'!P106</f>
        <v>0</v>
      </c>
      <c r="O107">
        <f>'Filtered Data'!N106</f>
        <v>0</v>
      </c>
      <c r="P107" t="s">
        <v>5669</v>
      </c>
      <c r="Q107" t="str">
        <f>IF('Filtered Data'!W106,"ITHybridCloudEngineeringOperationsMgmt@Marathonpetroleum.com","mark.newman2@dxc.com")</f>
        <v>mark.newman2@dxc.com</v>
      </c>
      <c r="R107">
        <f t="shared" si="6"/>
        <v>0</v>
      </c>
      <c r="S107" s="31" t="s">
        <v>5738</v>
      </c>
      <c r="T107" t="s">
        <v>1381</v>
      </c>
      <c r="U107">
        <f>'Filtered Data'!V106</f>
        <v>0</v>
      </c>
      <c r="V107" t="str">
        <f>IF('Filtered Data'!W106,"yes","no")</f>
        <v>no</v>
      </c>
      <c r="W107" t="s">
        <v>15</v>
      </c>
      <c r="X107">
        <f>'Filtered Data'!X106</f>
        <v>0</v>
      </c>
    </row>
    <row r="108" spans="1:24" x14ac:dyDescent="0.35">
      <c r="A108">
        <f>'Filtered Data'!A107</f>
        <v>0</v>
      </c>
      <c r="B108">
        <f>'Filtered Data'!B107</f>
        <v>0</v>
      </c>
      <c r="C108" t="s">
        <v>2</v>
      </c>
      <c r="D108" t="e">
        <f>VLOOKUP('Filtered Data'!Z107,'Data Mapping'!$A$4:$B$7,2,0)</f>
        <v>#N/A</v>
      </c>
      <c r="E108" t="e">
        <f>VLOOKUP('Filtered Data'!C107,'Data Mapping'!$E$3:$F$97,2,0)</f>
        <v>#N/A</v>
      </c>
      <c r="F108">
        <f>'Filtered Data'!D107</f>
        <v>0</v>
      </c>
      <c r="G108" t="e">
        <f>VLOOKUP('Filtered Data'!E107,'Data Mapping'!$J$3:$K$11,2,0)</f>
        <v>#N/A</v>
      </c>
      <c r="H108">
        <f>'Filtered Data'!F107</f>
        <v>0</v>
      </c>
      <c r="I108" t="s">
        <v>5668</v>
      </c>
      <c r="J108" t="s">
        <v>1609</v>
      </c>
      <c r="K108" t="e">
        <f>VLOOKUP('Filtered Data'!A107,'Input 1 CMDB'!A:I,9,0)</f>
        <v>#N/A</v>
      </c>
      <c r="L108">
        <f>'Filtered Data'!K107</f>
        <v>0</v>
      </c>
      <c r="M108" t="e">
        <f t="shared" si="5"/>
        <v>#VALUE!</v>
      </c>
      <c r="N108">
        <f>'Filtered Data'!P107</f>
        <v>0</v>
      </c>
      <c r="O108">
        <f>'Filtered Data'!N107</f>
        <v>0</v>
      </c>
      <c r="P108" t="s">
        <v>5669</v>
      </c>
      <c r="Q108" t="str">
        <f>IF('Filtered Data'!W107,"ITHybridCloudEngineeringOperationsMgmt@Marathonpetroleum.com","mark.newman2@dxc.com")</f>
        <v>mark.newman2@dxc.com</v>
      </c>
      <c r="R108">
        <f t="shared" si="6"/>
        <v>0</v>
      </c>
      <c r="S108" s="31" t="s">
        <v>5738</v>
      </c>
      <c r="T108" t="s">
        <v>1381</v>
      </c>
      <c r="U108">
        <f>'Filtered Data'!V107</f>
        <v>0</v>
      </c>
      <c r="V108" t="str">
        <f>IF('Filtered Data'!W107,"yes","no")</f>
        <v>no</v>
      </c>
      <c r="W108" t="s">
        <v>15</v>
      </c>
      <c r="X108">
        <f>'Filtered Data'!X107</f>
        <v>0</v>
      </c>
    </row>
    <row r="109" spans="1:24" x14ac:dyDescent="0.35">
      <c r="A109">
        <f>'Filtered Data'!A108</f>
        <v>0</v>
      </c>
      <c r="B109">
        <f>'Filtered Data'!B108</f>
        <v>0</v>
      </c>
      <c r="C109" t="s">
        <v>2</v>
      </c>
      <c r="D109" t="e">
        <f>VLOOKUP('Filtered Data'!Z108,'Data Mapping'!$A$4:$B$7,2,0)</f>
        <v>#N/A</v>
      </c>
      <c r="E109" t="e">
        <f>VLOOKUP('Filtered Data'!C108,'Data Mapping'!$E$3:$F$97,2,0)</f>
        <v>#N/A</v>
      </c>
      <c r="F109">
        <f>'Filtered Data'!D108</f>
        <v>0</v>
      </c>
      <c r="G109" t="e">
        <f>VLOOKUP('Filtered Data'!E108,'Data Mapping'!$J$3:$K$11,2,0)</f>
        <v>#N/A</v>
      </c>
      <c r="H109">
        <f>'Filtered Data'!F108</f>
        <v>0</v>
      </c>
      <c r="I109" t="s">
        <v>5668</v>
      </c>
      <c r="J109" t="s">
        <v>1609</v>
      </c>
      <c r="K109" t="e">
        <f>VLOOKUP('Filtered Data'!A108,'Input 1 CMDB'!A:I,9,0)</f>
        <v>#N/A</v>
      </c>
      <c r="L109">
        <f>'Filtered Data'!K108</f>
        <v>0</v>
      </c>
      <c r="M109" t="e">
        <f t="shared" si="5"/>
        <v>#VALUE!</v>
      </c>
      <c r="N109">
        <f>'Filtered Data'!P108</f>
        <v>0</v>
      </c>
      <c r="O109">
        <f>'Filtered Data'!N108</f>
        <v>0</v>
      </c>
      <c r="P109" t="s">
        <v>5669</v>
      </c>
      <c r="Q109" t="str">
        <f>IF('Filtered Data'!W108,"ITHybridCloudEngineeringOperationsMgmt@Marathonpetroleum.com","mark.newman2@dxc.com")</f>
        <v>mark.newman2@dxc.com</v>
      </c>
      <c r="R109">
        <f t="shared" si="6"/>
        <v>0</v>
      </c>
      <c r="S109" s="31" t="s">
        <v>5738</v>
      </c>
      <c r="T109" t="s">
        <v>1381</v>
      </c>
      <c r="U109">
        <f>'Filtered Data'!V108</f>
        <v>0</v>
      </c>
      <c r="V109" t="str">
        <f>IF('Filtered Data'!W108,"yes","no")</f>
        <v>no</v>
      </c>
      <c r="W109" t="s">
        <v>15</v>
      </c>
      <c r="X109">
        <f>'Filtered Data'!X108</f>
        <v>0</v>
      </c>
    </row>
    <row r="110" spans="1:24" x14ac:dyDescent="0.35">
      <c r="A110">
        <f>'Filtered Data'!A109</f>
        <v>0</v>
      </c>
      <c r="B110">
        <f>'Filtered Data'!B109</f>
        <v>0</v>
      </c>
      <c r="C110" t="s">
        <v>2</v>
      </c>
      <c r="D110" t="e">
        <f>VLOOKUP('Filtered Data'!Z109,'Data Mapping'!$A$4:$B$7,2,0)</f>
        <v>#N/A</v>
      </c>
      <c r="E110" t="e">
        <f>VLOOKUP('Filtered Data'!C109,'Data Mapping'!$E$3:$F$97,2,0)</f>
        <v>#N/A</v>
      </c>
      <c r="F110">
        <f>'Filtered Data'!D109</f>
        <v>0</v>
      </c>
      <c r="G110" t="e">
        <f>VLOOKUP('Filtered Data'!E109,'Data Mapping'!$J$3:$K$11,2,0)</f>
        <v>#N/A</v>
      </c>
      <c r="H110">
        <f>'Filtered Data'!F109</f>
        <v>0</v>
      </c>
      <c r="I110" t="s">
        <v>5668</v>
      </c>
      <c r="J110" t="s">
        <v>1609</v>
      </c>
      <c r="K110" t="e">
        <f>VLOOKUP('Filtered Data'!A109,'Input 1 CMDB'!A:I,9,0)</f>
        <v>#N/A</v>
      </c>
      <c r="L110">
        <f>'Filtered Data'!K109</f>
        <v>0</v>
      </c>
      <c r="M110" t="e">
        <f t="shared" si="5"/>
        <v>#VALUE!</v>
      </c>
      <c r="N110">
        <f>'Filtered Data'!P109</f>
        <v>0</v>
      </c>
      <c r="O110">
        <f>'Filtered Data'!N109</f>
        <v>0</v>
      </c>
      <c r="P110" t="s">
        <v>5669</v>
      </c>
      <c r="Q110" t="str">
        <f>IF('Filtered Data'!W109,"ITHybridCloudEngineeringOperationsMgmt@Marathonpetroleum.com","mark.newman2@dxc.com")</f>
        <v>mark.newman2@dxc.com</v>
      </c>
      <c r="R110">
        <f t="shared" si="6"/>
        <v>0</v>
      </c>
      <c r="S110" s="31" t="s">
        <v>5738</v>
      </c>
      <c r="T110" t="s">
        <v>1381</v>
      </c>
      <c r="U110">
        <f>'Filtered Data'!V109</f>
        <v>0</v>
      </c>
      <c r="V110" t="str">
        <f>IF('Filtered Data'!W109,"yes","no")</f>
        <v>no</v>
      </c>
      <c r="W110" t="s">
        <v>15</v>
      </c>
      <c r="X110">
        <f>'Filtered Data'!X109</f>
        <v>0</v>
      </c>
    </row>
    <row r="111" spans="1:24" x14ac:dyDescent="0.35">
      <c r="A111">
        <f>'Filtered Data'!A110</f>
        <v>0</v>
      </c>
      <c r="B111">
        <f>'Filtered Data'!B110</f>
        <v>0</v>
      </c>
      <c r="C111" t="s">
        <v>2</v>
      </c>
      <c r="D111" t="e">
        <f>VLOOKUP('Filtered Data'!Z110,'Data Mapping'!$A$4:$B$7,2,0)</f>
        <v>#N/A</v>
      </c>
      <c r="E111" t="e">
        <f>VLOOKUP('Filtered Data'!C110,'Data Mapping'!$E$3:$F$97,2,0)</f>
        <v>#N/A</v>
      </c>
      <c r="F111">
        <f>'Filtered Data'!D110</f>
        <v>0</v>
      </c>
      <c r="G111" t="e">
        <f>VLOOKUP('Filtered Data'!E110,'Data Mapping'!$J$3:$K$11,2,0)</f>
        <v>#N/A</v>
      </c>
      <c r="H111">
        <f>'Filtered Data'!F110</f>
        <v>0</v>
      </c>
      <c r="I111" t="s">
        <v>5668</v>
      </c>
      <c r="J111" t="s">
        <v>1609</v>
      </c>
      <c r="K111" t="e">
        <f>VLOOKUP('Filtered Data'!A110,'Input 1 CMDB'!A:I,9,0)</f>
        <v>#N/A</v>
      </c>
      <c r="L111">
        <f>'Filtered Data'!K110</f>
        <v>0</v>
      </c>
      <c r="M111" t="e">
        <f t="shared" si="5"/>
        <v>#VALUE!</v>
      </c>
      <c r="N111">
        <f>'Filtered Data'!P110</f>
        <v>0</v>
      </c>
      <c r="O111">
        <f>'Filtered Data'!N110</f>
        <v>0</v>
      </c>
      <c r="P111" t="s">
        <v>5669</v>
      </c>
      <c r="Q111" t="str">
        <f>IF('Filtered Data'!W110,"ITHybridCloudEngineeringOperationsMgmt@Marathonpetroleum.com","mark.newman2@dxc.com")</f>
        <v>mark.newman2@dxc.com</v>
      </c>
      <c r="R111">
        <f t="shared" si="6"/>
        <v>0</v>
      </c>
      <c r="S111" s="31" t="s">
        <v>5738</v>
      </c>
      <c r="T111" t="s">
        <v>1381</v>
      </c>
      <c r="U111">
        <f>'Filtered Data'!V110</f>
        <v>0</v>
      </c>
      <c r="V111" t="str">
        <f>IF('Filtered Data'!W110,"yes","no")</f>
        <v>no</v>
      </c>
      <c r="W111" t="s">
        <v>15</v>
      </c>
      <c r="X111">
        <f>'Filtered Data'!X110</f>
        <v>0</v>
      </c>
    </row>
    <row r="112" spans="1:24" x14ac:dyDescent="0.35">
      <c r="A112">
        <f>'Filtered Data'!A111</f>
        <v>0</v>
      </c>
      <c r="B112">
        <f>'Filtered Data'!B111</f>
        <v>0</v>
      </c>
      <c r="C112" t="s">
        <v>2</v>
      </c>
      <c r="D112" t="e">
        <f>VLOOKUP('Filtered Data'!Z111,'Data Mapping'!$A$4:$B$7,2,0)</f>
        <v>#N/A</v>
      </c>
      <c r="E112" t="e">
        <f>VLOOKUP('Filtered Data'!C111,'Data Mapping'!$E$3:$F$97,2,0)</f>
        <v>#N/A</v>
      </c>
      <c r="F112">
        <f>'Filtered Data'!D111</f>
        <v>0</v>
      </c>
      <c r="G112" t="e">
        <f>VLOOKUP('Filtered Data'!E111,'Data Mapping'!$J$3:$K$11,2,0)</f>
        <v>#N/A</v>
      </c>
      <c r="H112">
        <f>'Filtered Data'!F111</f>
        <v>0</v>
      </c>
      <c r="I112" t="s">
        <v>5668</v>
      </c>
      <c r="J112" t="s">
        <v>1609</v>
      </c>
      <c r="K112" t="e">
        <f>VLOOKUP('Filtered Data'!A111,'Input 1 CMDB'!A:I,9,0)</f>
        <v>#N/A</v>
      </c>
      <c r="L112">
        <f>'Filtered Data'!K111</f>
        <v>0</v>
      </c>
      <c r="M112" t="e">
        <f t="shared" si="5"/>
        <v>#VALUE!</v>
      </c>
      <c r="N112">
        <f>'Filtered Data'!P111</f>
        <v>0</v>
      </c>
      <c r="O112">
        <f>'Filtered Data'!N111</f>
        <v>0</v>
      </c>
      <c r="P112" t="s">
        <v>5669</v>
      </c>
      <c r="Q112" t="str">
        <f>IF('Filtered Data'!W111,"ITHybridCloudEngineeringOperationsMgmt@Marathonpetroleum.com","mark.newman2@dxc.com")</f>
        <v>mark.newman2@dxc.com</v>
      </c>
      <c r="R112">
        <f t="shared" si="6"/>
        <v>0</v>
      </c>
      <c r="S112" s="31" t="s">
        <v>5738</v>
      </c>
      <c r="T112" t="s">
        <v>1381</v>
      </c>
      <c r="U112">
        <f>'Filtered Data'!V111</f>
        <v>0</v>
      </c>
      <c r="V112" t="str">
        <f>IF('Filtered Data'!W111,"yes","no")</f>
        <v>no</v>
      </c>
      <c r="W112" t="s">
        <v>15</v>
      </c>
      <c r="X112">
        <f>'Filtered Data'!X111</f>
        <v>0</v>
      </c>
    </row>
    <row r="113" spans="1:24" x14ac:dyDescent="0.35">
      <c r="A113">
        <f>'Filtered Data'!A112</f>
        <v>0</v>
      </c>
      <c r="B113">
        <f>'Filtered Data'!B112</f>
        <v>0</v>
      </c>
      <c r="C113" t="s">
        <v>2</v>
      </c>
      <c r="D113" t="e">
        <f>VLOOKUP('Filtered Data'!Z112,'Data Mapping'!$A$4:$B$7,2,0)</f>
        <v>#N/A</v>
      </c>
      <c r="E113" t="e">
        <f>VLOOKUP('Filtered Data'!C112,'Data Mapping'!$E$3:$F$97,2,0)</f>
        <v>#N/A</v>
      </c>
      <c r="F113">
        <f>'Filtered Data'!D112</f>
        <v>0</v>
      </c>
      <c r="G113" t="e">
        <f>VLOOKUP('Filtered Data'!E112,'Data Mapping'!$J$3:$K$11,2,0)</f>
        <v>#N/A</v>
      </c>
      <c r="H113">
        <f>'Filtered Data'!F112</f>
        <v>0</v>
      </c>
      <c r="I113" t="s">
        <v>5668</v>
      </c>
      <c r="J113" t="s">
        <v>1609</v>
      </c>
      <c r="K113" t="e">
        <f>VLOOKUP('Filtered Data'!A112,'Input 1 CMDB'!A:I,9,0)</f>
        <v>#N/A</v>
      </c>
      <c r="L113">
        <f>'Filtered Data'!K112</f>
        <v>0</v>
      </c>
      <c r="M113" t="e">
        <f t="shared" si="5"/>
        <v>#VALUE!</v>
      </c>
      <c r="N113">
        <f>'Filtered Data'!P112</f>
        <v>0</v>
      </c>
      <c r="O113">
        <f>'Filtered Data'!N112</f>
        <v>0</v>
      </c>
      <c r="P113" t="s">
        <v>5669</v>
      </c>
      <c r="Q113" t="str">
        <f>IF('Filtered Data'!W112,"ITHybridCloudEngineeringOperationsMgmt@Marathonpetroleum.com","mark.newman2@dxc.com")</f>
        <v>mark.newman2@dxc.com</v>
      </c>
      <c r="R113">
        <f t="shared" si="6"/>
        <v>0</v>
      </c>
      <c r="S113" s="31" t="s">
        <v>5738</v>
      </c>
      <c r="T113" t="s">
        <v>1381</v>
      </c>
      <c r="U113">
        <f>'Filtered Data'!V112</f>
        <v>0</v>
      </c>
      <c r="V113" t="str">
        <f>IF('Filtered Data'!W112,"yes","no")</f>
        <v>no</v>
      </c>
      <c r="W113" t="s">
        <v>15</v>
      </c>
      <c r="X113">
        <f>'Filtered Data'!X112</f>
        <v>0</v>
      </c>
    </row>
    <row r="114" spans="1:24" x14ac:dyDescent="0.35">
      <c r="A114">
        <f>'Filtered Data'!A113</f>
        <v>0</v>
      </c>
      <c r="B114">
        <f>'Filtered Data'!B113</f>
        <v>0</v>
      </c>
      <c r="C114" t="s">
        <v>2</v>
      </c>
      <c r="D114" t="e">
        <f>VLOOKUP('Filtered Data'!Z113,'Data Mapping'!$A$4:$B$7,2,0)</f>
        <v>#N/A</v>
      </c>
      <c r="E114" t="e">
        <f>VLOOKUP('Filtered Data'!C113,'Data Mapping'!$E$3:$F$97,2,0)</f>
        <v>#N/A</v>
      </c>
      <c r="F114">
        <f>'Filtered Data'!D113</f>
        <v>0</v>
      </c>
      <c r="G114" t="e">
        <f>VLOOKUP('Filtered Data'!E113,'Data Mapping'!$J$3:$K$11,2,0)</f>
        <v>#N/A</v>
      </c>
      <c r="H114">
        <f>'Filtered Data'!F113</f>
        <v>0</v>
      </c>
      <c r="I114" t="s">
        <v>5668</v>
      </c>
      <c r="J114" t="s">
        <v>1609</v>
      </c>
      <c r="K114" t="e">
        <f>VLOOKUP('Filtered Data'!A113,'Input 1 CMDB'!A:I,9,0)</f>
        <v>#N/A</v>
      </c>
      <c r="L114">
        <f>'Filtered Data'!K113</f>
        <v>0</v>
      </c>
      <c r="M114" t="e">
        <f t="shared" si="5"/>
        <v>#VALUE!</v>
      </c>
      <c r="N114">
        <f>'Filtered Data'!P113</f>
        <v>0</v>
      </c>
      <c r="O114">
        <f>'Filtered Data'!N113</f>
        <v>0</v>
      </c>
      <c r="P114" t="s">
        <v>5669</v>
      </c>
      <c r="Q114" t="str">
        <f>IF('Filtered Data'!W113,"ITHybridCloudEngineeringOperationsMgmt@Marathonpetroleum.com","mark.newman2@dxc.com")</f>
        <v>mark.newman2@dxc.com</v>
      </c>
      <c r="R114">
        <f t="shared" si="6"/>
        <v>0</v>
      </c>
      <c r="S114" s="31" t="s">
        <v>5738</v>
      </c>
      <c r="T114" t="s">
        <v>1381</v>
      </c>
      <c r="U114">
        <f>'Filtered Data'!V113</f>
        <v>0</v>
      </c>
      <c r="V114" t="str">
        <f>IF('Filtered Data'!W113,"yes","no")</f>
        <v>no</v>
      </c>
      <c r="W114" t="s">
        <v>15</v>
      </c>
      <c r="X114">
        <f>'Filtered Data'!X113</f>
        <v>0</v>
      </c>
    </row>
    <row r="115" spans="1:24" x14ac:dyDescent="0.35">
      <c r="A115">
        <f>'Filtered Data'!A114</f>
        <v>0</v>
      </c>
      <c r="B115">
        <f>'Filtered Data'!B114</f>
        <v>0</v>
      </c>
      <c r="C115" t="s">
        <v>2</v>
      </c>
      <c r="D115" t="e">
        <f>VLOOKUP('Filtered Data'!Z114,'Data Mapping'!$A$4:$B$7,2,0)</f>
        <v>#N/A</v>
      </c>
      <c r="E115" t="e">
        <f>VLOOKUP('Filtered Data'!C114,'Data Mapping'!$E$3:$F$97,2,0)</f>
        <v>#N/A</v>
      </c>
      <c r="F115">
        <f>'Filtered Data'!D114</f>
        <v>0</v>
      </c>
      <c r="G115" t="e">
        <f>VLOOKUP('Filtered Data'!E114,'Data Mapping'!$J$3:$K$11,2,0)</f>
        <v>#N/A</v>
      </c>
      <c r="H115">
        <f>'Filtered Data'!F114</f>
        <v>0</v>
      </c>
      <c r="I115" t="s">
        <v>5668</v>
      </c>
      <c r="J115" t="s">
        <v>1609</v>
      </c>
      <c r="K115" t="e">
        <f>VLOOKUP('Filtered Data'!A114,'Input 1 CMDB'!A:I,9,0)</f>
        <v>#N/A</v>
      </c>
      <c r="L115">
        <f>'Filtered Data'!K114</f>
        <v>0</v>
      </c>
      <c r="M115" t="e">
        <f t="shared" si="5"/>
        <v>#VALUE!</v>
      </c>
      <c r="N115">
        <f>'Filtered Data'!P114</f>
        <v>0</v>
      </c>
      <c r="O115">
        <f>'Filtered Data'!N114</f>
        <v>0</v>
      </c>
      <c r="P115" t="s">
        <v>5669</v>
      </c>
      <c r="Q115" t="str">
        <f>IF('Filtered Data'!W114,"ITHybridCloudEngineeringOperationsMgmt@Marathonpetroleum.com","mark.newman2@dxc.com")</f>
        <v>mark.newman2@dxc.com</v>
      </c>
      <c r="R115">
        <f t="shared" si="6"/>
        <v>0</v>
      </c>
      <c r="S115" s="31" t="s">
        <v>5738</v>
      </c>
      <c r="T115" t="s">
        <v>1381</v>
      </c>
      <c r="U115">
        <f>'Filtered Data'!V114</f>
        <v>0</v>
      </c>
      <c r="V115" t="str">
        <f>IF('Filtered Data'!W114,"yes","no")</f>
        <v>no</v>
      </c>
      <c r="W115" t="s">
        <v>15</v>
      </c>
      <c r="X115">
        <f>'Filtered Data'!X114</f>
        <v>0</v>
      </c>
    </row>
    <row r="116" spans="1:24" x14ac:dyDescent="0.35">
      <c r="A116">
        <f>'Filtered Data'!A115</f>
        <v>0</v>
      </c>
      <c r="B116">
        <f>'Filtered Data'!B115</f>
        <v>0</v>
      </c>
      <c r="C116" t="s">
        <v>2</v>
      </c>
      <c r="D116" t="e">
        <f>VLOOKUP('Filtered Data'!Z115,'Data Mapping'!$A$4:$B$7,2,0)</f>
        <v>#N/A</v>
      </c>
      <c r="E116" t="e">
        <f>VLOOKUP('Filtered Data'!C115,'Data Mapping'!$E$3:$F$97,2,0)</f>
        <v>#N/A</v>
      </c>
      <c r="F116">
        <f>'Filtered Data'!D115</f>
        <v>0</v>
      </c>
      <c r="G116" t="e">
        <f>VLOOKUP('Filtered Data'!E115,'Data Mapping'!$J$3:$K$11,2,0)</f>
        <v>#N/A</v>
      </c>
      <c r="H116">
        <f>'Filtered Data'!F115</f>
        <v>0</v>
      </c>
      <c r="I116" t="s">
        <v>5668</v>
      </c>
      <c r="J116" t="s">
        <v>1609</v>
      </c>
      <c r="K116" t="e">
        <f>VLOOKUP('Filtered Data'!A115,'Input 1 CMDB'!A:I,9,0)</f>
        <v>#N/A</v>
      </c>
      <c r="L116">
        <f>'Filtered Data'!K115</f>
        <v>0</v>
      </c>
      <c r="M116" t="e">
        <f t="shared" si="5"/>
        <v>#VALUE!</v>
      </c>
      <c r="N116">
        <f>'Filtered Data'!P115</f>
        <v>0</v>
      </c>
      <c r="O116">
        <f>'Filtered Data'!N115</f>
        <v>0</v>
      </c>
      <c r="P116" t="s">
        <v>5669</v>
      </c>
      <c r="Q116" t="str">
        <f>IF('Filtered Data'!W115,"ITHybridCloudEngineeringOperationsMgmt@Marathonpetroleum.com","mark.newman2@dxc.com")</f>
        <v>mark.newman2@dxc.com</v>
      </c>
      <c r="R116">
        <f t="shared" si="6"/>
        <v>0</v>
      </c>
      <c r="S116" s="31" t="s">
        <v>5738</v>
      </c>
      <c r="T116" t="s">
        <v>1381</v>
      </c>
      <c r="U116">
        <f>'Filtered Data'!V115</f>
        <v>0</v>
      </c>
      <c r="V116" t="str">
        <f>IF('Filtered Data'!W115,"yes","no")</f>
        <v>no</v>
      </c>
      <c r="W116" t="s">
        <v>15</v>
      </c>
      <c r="X116">
        <f>'Filtered Data'!X115</f>
        <v>0</v>
      </c>
    </row>
    <row r="117" spans="1:24" x14ac:dyDescent="0.35">
      <c r="A117">
        <f>'Filtered Data'!A116</f>
        <v>0</v>
      </c>
      <c r="B117">
        <f>'Filtered Data'!B116</f>
        <v>0</v>
      </c>
      <c r="C117" t="s">
        <v>2</v>
      </c>
      <c r="D117" t="e">
        <f>VLOOKUP('Filtered Data'!Z116,'Data Mapping'!$A$4:$B$7,2,0)</f>
        <v>#N/A</v>
      </c>
      <c r="E117" t="e">
        <f>VLOOKUP('Filtered Data'!C116,'Data Mapping'!$E$3:$F$97,2,0)</f>
        <v>#N/A</v>
      </c>
      <c r="F117">
        <f>'Filtered Data'!D116</f>
        <v>0</v>
      </c>
      <c r="G117" t="e">
        <f>VLOOKUP('Filtered Data'!E116,'Data Mapping'!$J$3:$K$11,2,0)</f>
        <v>#N/A</v>
      </c>
      <c r="H117">
        <f>'Filtered Data'!F116</f>
        <v>0</v>
      </c>
      <c r="I117" t="s">
        <v>5668</v>
      </c>
      <c r="J117" t="s">
        <v>1609</v>
      </c>
      <c r="K117" t="e">
        <f>VLOOKUP('Filtered Data'!A116,'Input 1 CMDB'!A:I,9,0)</f>
        <v>#N/A</v>
      </c>
      <c r="L117">
        <f>'Filtered Data'!K116</f>
        <v>0</v>
      </c>
      <c r="M117" t="e">
        <f t="shared" si="5"/>
        <v>#VALUE!</v>
      </c>
      <c r="N117">
        <f>'Filtered Data'!P116</f>
        <v>0</v>
      </c>
      <c r="O117">
        <f>'Filtered Data'!N116</f>
        <v>0</v>
      </c>
      <c r="P117" t="s">
        <v>5669</v>
      </c>
      <c r="Q117" t="str">
        <f>IF('Filtered Data'!W116,"ITHybridCloudEngineeringOperationsMgmt@Marathonpetroleum.com","mark.newman2@dxc.com")</f>
        <v>mark.newman2@dxc.com</v>
      </c>
      <c r="R117">
        <f t="shared" si="6"/>
        <v>0</v>
      </c>
      <c r="S117" s="31" t="s">
        <v>5738</v>
      </c>
      <c r="T117" t="s">
        <v>1381</v>
      </c>
      <c r="U117">
        <f>'Filtered Data'!V116</f>
        <v>0</v>
      </c>
      <c r="V117" t="str">
        <f>IF('Filtered Data'!W116,"yes","no")</f>
        <v>no</v>
      </c>
      <c r="W117" t="s">
        <v>15</v>
      </c>
      <c r="X117">
        <f>'Filtered Data'!X116</f>
        <v>0</v>
      </c>
    </row>
    <row r="118" spans="1:24" x14ac:dyDescent="0.35">
      <c r="A118">
        <f>'Filtered Data'!A117</f>
        <v>0</v>
      </c>
      <c r="B118">
        <f>'Filtered Data'!B117</f>
        <v>0</v>
      </c>
      <c r="C118" t="s">
        <v>2</v>
      </c>
      <c r="D118" t="e">
        <f>VLOOKUP('Filtered Data'!Z117,'Data Mapping'!$A$4:$B$7,2,0)</f>
        <v>#N/A</v>
      </c>
      <c r="E118" t="e">
        <f>VLOOKUP('Filtered Data'!C117,'Data Mapping'!$E$3:$F$97,2,0)</f>
        <v>#N/A</v>
      </c>
      <c r="F118">
        <f>'Filtered Data'!D117</f>
        <v>0</v>
      </c>
      <c r="G118" t="e">
        <f>VLOOKUP('Filtered Data'!E117,'Data Mapping'!$J$3:$K$11,2,0)</f>
        <v>#N/A</v>
      </c>
      <c r="H118">
        <f>'Filtered Data'!F117</f>
        <v>0</v>
      </c>
      <c r="I118" t="s">
        <v>5668</v>
      </c>
      <c r="J118" t="s">
        <v>1609</v>
      </c>
      <c r="K118" t="e">
        <f>VLOOKUP('Filtered Data'!A117,'Input 1 CMDB'!A:I,9,0)</f>
        <v>#N/A</v>
      </c>
      <c r="L118">
        <f>'Filtered Data'!K117</f>
        <v>0</v>
      </c>
      <c r="M118" t="e">
        <f t="shared" si="5"/>
        <v>#VALUE!</v>
      </c>
      <c r="N118">
        <f>'Filtered Data'!P117</f>
        <v>0</v>
      </c>
      <c r="O118">
        <f>'Filtered Data'!N117</f>
        <v>0</v>
      </c>
      <c r="P118" t="s">
        <v>5669</v>
      </c>
      <c r="Q118" t="str">
        <f>IF('Filtered Data'!W117,"ITHybridCloudEngineeringOperationsMgmt@Marathonpetroleum.com","mark.newman2@dxc.com")</f>
        <v>mark.newman2@dxc.com</v>
      </c>
      <c r="R118">
        <f t="shared" si="6"/>
        <v>0</v>
      </c>
      <c r="S118" s="31" t="s">
        <v>5738</v>
      </c>
      <c r="T118" t="s">
        <v>1381</v>
      </c>
      <c r="U118">
        <f>'Filtered Data'!V117</f>
        <v>0</v>
      </c>
      <c r="V118" t="str">
        <f>IF('Filtered Data'!W117,"yes","no")</f>
        <v>no</v>
      </c>
      <c r="W118" t="s">
        <v>15</v>
      </c>
      <c r="X118">
        <f>'Filtered Data'!X117</f>
        <v>0</v>
      </c>
    </row>
    <row r="119" spans="1:24" x14ac:dyDescent="0.35">
      <c r="A119">
        <f>'Filtered Data'!A118</f>
        <v>0</v>
      </c>
      <c r="B119">
        <f>'Filtered Data'!B118</f>
        <v>0</v>
      </c>
      <c r="C119" t="s">
        <v>2</v>
      </c>
      <c r="D119" t="e">
        <f>VLOOKUP('Filtered Data'!Z118,'Data Mapping'!$A$4:$B$7,2,0)</f>
        <v>#N/A</v>
      </c>
      <c r="E119" t="e">
        <f>VLOOKUP('Filtered Data'!C118,'Data Mapping'!$E$3:$F$97,2,0)</f>
        <v>#N/A</v>
      </c>
      <c r="F119">
        <f>'Filtered Data'!D118</f>
        <v>0</v>
      </c>
      <c r="G119" t="e">
        <f>VLOOKUP('Filtered Data'!E118,'Data Mapping'!$J$3:$K$11,2,0)</f>
        <v>#N/A</v>
      </c>
      <c r="H119">
        <f>'Filtered Data'!F118</f>
        <v>0</v>
      </c>
      <c r="I119" t="s">
        <v>5668</v>
      </c>
      <c r="J119" t="s">
        <v>1609</v>
      </c>
      <c r="K119" t="e">
        <f>VLOOKUP('Filtered Data'!A118,'Input 1 CMDB'!A:I,9,0)</f>
        <v>#N/A</v>
      </c>
      <c r="L119">
        <f>'Filtered Data'!K118</f>
        <v>0</v>
      </c>
      <c r="M119" t="e">
        <f t="shared" si="5"/>
        <v>#VALUE!</v>
      </c>
      <c r="N119">
        <f>'Filtered Data'!P118</f>
        <v>0</v>
      </c>
      <c r="O119">
        <f>'Filtered Data'!N118</f>
        <v>0</v>
      </c>
      <c r="P119" t="s">
        <v>5669</v>
      </c>
      <c r="Q119" t="str">
        <f>IF('Filtered Data'!W118,"ITHybridCloudEngineeringOperationsMgmt@Marathonpetroleum.com","mark.newman2@dxc.com")</f>
        <v>mark.newman2@dxc.com</v>
      </c>
      <c r="R119">
        <f t="shared" si="6"/>
        <v>0</v>
      </c>
      <c r="S119" s="31" t="s">
        <v>5738</v>
      </c>
      <c r="T119" t="s">
        <v>1381</v>
      </c>
      <c r="U119">
        <f>'Filtered Data'!V118</f>
        <v>0</v>
      </c>
      <c r="V119" t="str">
        <f>IF('Filtered Data'!W118,"yes","no")</f>
        <v>no</v>
      </c>
      <c r="W119" t="s">
        <v>15</v>
      </c>
      <c r="X119">
        <f>'Filtered Data'!X118</f>
        <v>0</v>
      </c>
    </row>
    <row r="120" spans="1:24" x14ac:dyDescent="0.35">
      <c r="A120">
        <f>'Filtered Data'!A119</f>
        <v>0</v>
      </c>
      <c r="B120">
        <f>'Filtered Data'!B119</f>
        <v>0</v>
      </c>
      <c r="C120" t="s">
        <v>2</v>
      </c>
      <c r="D120" t="e">
        <f>VLOOKUP('Filtered Data'!Z119,'Data Mapping'!$A$4:$B$7,2,0)</f>
        <v>#N/A</v>
      </c>
      <c r="E120" t="e">
        <f>VLOOKUP('Filtered Data'!C119,'Data Mapping'!$E$3:$F$97,2,0)</f>
        <v>#N/A</v>
      </c>
      <c r="F120">
        <f>'Filtered Data'!D119</f>
        <v>0</v>
      </c>
      <c r="G120" t="e">
        <f>VLOOKUP('Filtered Data'!E119,'Data Mapping'!$J$3:$K$11,2,0)</f>
        <v>#N/A</v>
      </c>
      <c r="H120">
        <f>'Filtered Data'!F119</f>
        <v>0</v>
      </c>
      <c r="I120" t="s">
        <v>5668</v>
      </c>
      <c r="J120" t="s">
        <v>1609</v>
      </c>
      <c r="K120" t="e">
        <f>VLOOKUP('Filtered Data'!A119,'Input 1 CMDB'!A:I,9,0)</f>
        <v>#N/A</v>
      </c>
      <c r="L120">
        <f>'Filtered Data'!K119</f>
        <v>0</v>
      </c>
      <c r="M120" t="e">
        <f t="shared" si="5"/>
        <v>#VALUE!</v>
      </c>
      <c r="N120">
        <f>'Filtered Data'!P119</f>
        <v>0</v>
      </c>
      <c r="O120">
        <f>'Filtered Data'!N119</f>
        <v>0</v>
      </c>
      <c r="P120" t="s">
        <v>5669</v>
      </c>
      <c r="Q120" t="str">
        <f>IF('Filtered Data'!W119,"ITHybridCloudEngineeringOperationsMgmt@Marathonpetroleum.com","mark.newman2@dxc.com")</f>
        <v>mark.newman2@dxc.com</v>
      </c>
      <c r="R120">
        <f t="shared" si="6"/>
        <v>0</v>
      </c>
      <c r="S120" s="31" t="s">
        <v>5738</v>
      </c>
      <c r="T120" t="s">
        <v>1381</v>
      </c>
      <c r="U120">
        <f>'Filtered Data'!V119</f>
        <v>0</v>
      </c>
      <c r="V120" t="str">
        <f>IF('Filtered Data'!W119,"yes","no")</f>
        <v>no</v>
      </c>
      <c r="W120" t="s">
        <v>15</v>
      </c>
      <c r="X120">
        <f>'Filtered Data'!X119</f>
        <v>0</v>
      </c>
    </row>
    <row r="121" spans="1:24" x14ac:dyDescent="0.35">
      <c r="A121">
        <f>'Filtered Data'!A120</f>
        <v>0</v>
      </c>
      <c r="B121">
        <f>'Filtered Data'!B120</f>
        <v>0</v>
      </c>
      <c r="C121" t="s">
        <v>2</v>
      </c>
      <c r="D121" t="e">
        <f>VLOOKUP('Filtered Data'!Z120,'Data Mapping'!$A$4:$B$7,2,0)</f>
        <v>#N/A</v>
      </c>
      <c r="E121" t="e">
        <f>VLOOKUP('Filtered Data'!C120,'Data Mapping'!$E$3:$F$97,2,0)</f>
        <v>#N/A</v>
      </c>
      <c r="F121">
        <f>'Filtered Data'!D120</f>
        <v>0</v>
      </c>
      <c r="G121" t="e">
        <f>VLOOKUP('Filtered Data'!E120,'Data Mapping'!$J$3:$K$11,2,0)</f>
        <v>#N/A</v>
      </c>
      <c r="H121">
        <f>'Filtered Data'!F120</f>
        <v>0</v>
      </c>
      <c r="I121" t="s">
        <v>5668</v>
      </c>
      <c r="J121" t="s">
        <v>1609</v>
      </c>
      <c r="K121" t="e">
        <f>VLOOKUP('Filtered Data'!A120,'Input 1 CMDB'!A:I,9,0)</f>
        <v>#N/A</v>
      </c>
      <c r="L121">
        <f>'Filtered Data'!K120</f>
        <v>0</v>
      </c>
      <c r="M121" t="e">
        <f t="shared" si="5"/>
        <v>#VALUE!</v>
      </c>
      <c r="N121">
        <f>'Filtered Data'!P120</f>
        <v>0</v>
      </c>
      <c r="O121">
        <f>'Filtered Data'!N120</f>
        <v>0</v>
      </c>
      <c r="P121" t="s">
        <v>5669</v>
      </c>
      <c r="Q121" t="str">
        <f>IF('Filtered Data'!W120,"ITHybridCloudEngineeringOperationsMgmt@Marathonpetroleum.com","mark.newman2@dxc.com")</f>
        <v>mark.newman2@dxc.com</v>
      </c>
      <c r="R121">
        <f t="shared" si="6"/>
        <v>0</v>
      </c>
      <c r="S121" s="31" t="s">
        <v>5738</v>
      </c>
      <c r="T121" t="s">
        <v>1381</v>
      </c>
      <c r="U121">
        <f>'Filtered Data'!V120</f>
        <v>0</v>
      </c>
      <c r="V121" t="str">
        <f>IF('Filtered Data'!W120,"yes","no")</f>
        <v>no</v>
      </c>
      <c r="W121" t="s">
        <v>15</v>
      </c>
      <c r="X121">
        <f>'Filtered Data'!X120</f>
        <v>0</v>
      </c>
    </row>
    <row r="122" spans="1:24" x14ac:dyDescent="0.35">
      <c r="A122">
        <f>'Filtered Data'!A121</f>
        <v>0</v>
      </c>
      <c r="B122">
        <f>'Filtered Data'!B121</f>
        <v>0</v>
      </c>
      <c r="C122" t="s">
        <v>2</v>
      </c>
      <c r="D122" t="e">
        <f>VLOOKUP('Filtered Data'!Z121,'Data Mapping'!$A$4:$B$7,2,0)</f>
        <v>#N/A</v>
      </c>
      <c r="E122" t="e">
        <f>VLOOKUP('Filtered Data'!C121,'Data Mapping'!$E$3:$F$97,2,0)</f>
        <v>#N/A</v>
      </c>
      <c r="F122">
        <f>'Filtered Data'!D121</f>
        <v>0</v>
      </c>
      <c r="G122" t="e">
        <f>VLOOKUP('Filtered Data'!E121,'Data Mapping'!$J$3:$K$11,2,0)</f>
        <v>#N/A</v>
      </c>
      <c r="H122">
        <f>'Filtered Data'!F121</f>
        <v>0</v>
      </c>
      <c r="I122" t="s">
        <v>5668</v>
      </c>
      <c r="J122" t="s">
        <v>1609</v>
      </c>
      <c r="K122" t="e">
        <f>VLOOKUP('Filtered Data'!A121,'Input 1 CMDB'!A:I,9,0)</f>
        <v>#N/A</v>
      </c>
      <c r="L122">
        <f>'Filtered Data'!K121</f>
        <v>0</v>
      </c>
      <c r="M122" t="e">
        <f t="shared" si="5"/>
        <v>#VALUE!</v>
      </c>
      <c r="N122">
        <f>'Filtered Data'!P121</f>
        <v>0</v>
      </c>
      <c r="O122">
        <f>'Filtered Data'!N121</f>
        <v>0</v>
      </c>
      <c r="P122" t="s">
        <v>5669</v>
      </c>
      <c r="Q122" t="str">
        <f>IF('Filtered Data'!W121,"ITHybridCloudEngineeringOperationsMgmt@Marathonpetroleum.com","mark.newman2@dxc.com")</f>
        <v>mark.newman2@dxc.com</v>
      </c>
      <c r="R122">
        <f t="shared" si="6"/>
        <v>0</v>
      </c>
      <c r="S122" s="31" t="s">
        <v>5738</v>
      </c>
      <c r="T122" t="s">
        <v>1381</v>
      </c>
      <c r="U122">
        <f>'Filtered Data'!V121</f>
        <v>0</v>
      </c>
      <c r="V122" t="str">
        <f>IF('Filtered Data'!W121,"yes","no")</f>
        <v>no</v>
      </c>
      <c r="W122" t="s">
        <v>15</v>
      </c>
      <c r="X122">
        <f>'Filtered Data'!X121</f>
        <v>0</v>
      </c>
    </row>
    <row r="123" spans="1:24" x14ac:dyDescent="0.35">
      <c r="A123">
        <f>'Filtered Data'!A122</f>
        <v>0</v>
      </c>
      <c r="B123">
        <f>'Filtered Data'!B122</f>
        <v>0</v>
      </c>
      <c r="C123" t="s">
        <v>2</v>
      </c>
      <c r="D123" t="e">
        <f>VLOOKUP('Filtered Data'!Z122,'Data Mapping'!$A$4:$B$7,2,0)</f>
        <v>#N/A</v>
      </c>
      <c r="E123" t="e">
        <f>VLOOKUP('Filtered Data'!C122,'Data Mapping'!$E$3:$F$97,2,0)</f>
        <v>#N/A</v>
      </c>
      <c r="F123">
        <f>'Filtered Data'!D122</f>
        <v>0</v>
      </c>
      <c r="G123" t="e">
        <f>VLOOKUP('Filtered Data'!E122,'Data Mapping'!$J$3:$K$11,2,0)</f>
        <v>#N/A</v>
      </c>
      <c r="H123">
        <f>'Filtered Data'!F122</f>
        <v>0</v>
      </c>
      <c r="I123" t="s">
        <v>5668</v>
      </c>
      <c r="J123" t="s">
        <v>1609</v>
      </c>
      <c r="K123" t="e">
        <f>VLOOKUP('Filtered Data'!A122,'Input 1 CMDB'!A:I,9,0)</f>
        <v>#N/A</v>
      </c>
      <c r="L123">
        <f>'Filtered Data'!K122</f>
        <v>0</v>
      </c>
      <c r="M123" t="e">
        <f t="shared" si="5"/>
        <v>#VALUE!</v>
      </c>
      <c r="N123">
        <f>'Filtered Data'!P122</f>
        <v>0</v>
      </c>
      <c r="O123">
        <f>'Filtered Data'!N122</f>
        <v>0</v>
      </c>
      <c r="P123" t="s">
        <v>5669</v>
      </c>
      <c r="Q123" t="str">
        <f>IF('Filtered Data'!W122,"ITHybridCloudEngineeringOperationsMgmt@Marathonpetroleum.com","mark.newman2@dxc.com")</f>
        <v>mark.newman2@dxc.com</v>
      </c>
      <c r="R123">
        <f t="shared" si="6"/>
        <v>0</v>
      </c>
      <c r="S123" s="31" t="s">
        <v>5738</v>
      </c>
      <c r="T123" t="s">
        <v>1381</v>
      </c>
      <c r="U123">
        <f>'Filtered Data'!V122</f>
        <v>0</v>
      </c>
      <c r="V123" t="str">
        <f>IF('Filtered Data'!W122,"yes","no")</f>
        <v>no</v>
      </c>
      <c r="W123" t="s">
        <v>15</v>
      </c>
      <c r="X123">
        <f>'Filtered Data'!X122</f>
        <v>0</v>
      </c>
    </row>
    <row r="124" spans="1:24" x14ac:dyDescent="0.35">
      <c r="A124">
        <f>'Filtered Data'!A123</f>
        <v>0</v>
      </c>
      <c r="B124">
        <f>'Filtered Data'!B123</f>
        <v>0</v>
      </c>
      <c r="C124" t="s">
        <v>2</v>
      </c>
      <c r="D124" t="e">
        <f>VLOOKUP('Filtered Data'!Z123,'Data Mapping'!$A$4:$B$7,2,0)</f>
        <v>#N/A</v>
      </c>
      <c r="E124" t="e">
        <f>VLOOKUP('Filtered Data'!C123,'Data Mapping'!$E$3:$F$97,2,0)</f>
        <v>#N/A</v>
      </c>
      <c r="F124">
        <f>'Filtered Data'!D123</f>
        <v>0</v>
      </c>
      <c r="G124" t="e">
        <f>VLOOKUP('Filtered Data'!E123,'Data Mapping'!$J$3:$K$11,2,0)</f>
        <v>#N/A</v>
      </c>
      <c r="H124">
        <f>'Filtered Data'!F123</f>
        <v>0</v>
      </c>
      <c r="I124" t="s">
        <v>5668</v>
      </c>
      <c r="J124" t="s">
        <v>1609</v>
      </c>
      <c r="K124" t="e">
        <f>VLOOKUP('Filtered Data'!A123,'Input 1 CMDB'!A:I,9,0)</f>
        <v>#N/A</v>
      </c>
      <c r="L124">
        <f>'Filtered Data'!K123</f>
        <v>0</v>
      </c>
      <c r="M124" t="e">
        <f t="shared" si="5"/>
        <v>#VALUE!</v>
      </c>
      <c r="N124">
        <f>'Filtered Data'!P123</f>
        <v>0</v>
      </c>
      <c r="O124">
        <f>'Filtered Data'!N123</f>
        <v>0</v>
      </c>
      <c r="P124" t="s">
        <v>5669</v>
      </c>
      <c r="Q124" t="str">
        <f>IF('Filtered Data'!W123,"ITHybridCloudEngineeringOperationsMgmt@Marathonpetroleum.com","mark.newman2@dxc.com")</f>
        <v>mark.newman2@dxc.com</v>
      </c>
      <c r="R124">
        <f t="shared" si="6"/>
        <v>0</v>
      </c>
      <c r="S124" s="31" t="s">
        <v>5738</v>
      </c>
      <c r="T124" t="s">
        <v>1381</v>
      </c>
      <c r="U124">
        <f>'Filtered Data'!V123</f>
        <v>0</v>
      </c>
      <c r="V124" t="str">
        <f>IF('Filtered Data'!W123,"yes","no")</f>
        <v>no</v>
      </c>
      <c r="W124" t="s">
        <v>15</v>
      </c>
      <c r="X124">
        <f>'Filtered Data'!X123</f>
        <v>0</v>
      </c>
    </row>
    <row r="125" spans="1:24" x14ac:dyDescent="0.35">
      <c r="A125">
        <f>'Filtered Data'!A124</f>
        <v>0</v>
      </c>
      <c r="B125">
        <f>'Filtered Data'!B124</f>
        <v>0</v>
      </c>
      <c r="C125" t="s">
        <v>2</v>
      </c>
      <c r="D125" t="e">
        <f>VLOOKUP('Filtered Data'!Z124,'Data Mapping'!$A$4:$B$7,2,0)</f>
        <v>#N/A</v>
      </c>
      <c r="E125" t="e">
        <f>VLOOKUP('Filtered Data'!C124,'Data Mapping'!$E$3:$F$97,2,0)</f>
        <v>#N/A</v>
      </c>
      <c r="F125">
        <f>'Filtered Data'!D124</f>
        <v>0</v>
      </c>
      <c r="G125" t="e">
        <f>VLOOKUP('Filtered Data'!E124,'Data Mapping'!$J$3:$K$11,2,0)</f>
        <v>#N/A</v>
      </c>
      <c r="H125">
        <f>'Filtered Data'!F124</f>
        <v>0</v>
      </c>
      <c r="I125" t="s">
        <v>5668</v>
      </c>
      <c r="J125" t="s">
        <v>1609</v>
      </c>
      <c r="K125" t="e">
        <f>VLOOKUP('Filtered Data'!A124,'Input 1 CMDB'!A:I,9,0)</f>
        <v>#N/A</v>
      </c>
      <c r="L125">
        <f>'Filtered Data'!K124</f>
        <v>0</v>
      </c>
      <c r="M125" t="e">
        <f t="shared" si="5"/>
        <v>#VALUE!</v>
      </c>
      <c r="N125">
        <f>'Filtered Data'!P124</f>
        <v>0</v>
      </c>
      <c r="O125">
        <f>'Filtered Data'!N124</f>
        <v>0</v>
      </c>
      <c r="P125" t="s">
        <v>5669</v>
      </c>
      <c r="Q125" t="str">
        <f>IF('Filtered Data'!W124,"ITHybridCloudEngineeringOperationsMgmt@Marathonpetroleum.com","mark.newman2@dxc.com")</f>
        <v>mark.newman2@dxc.com</v>
      </c>
      <c r="R125">
        <f t="shared" si="6"/>
        <v>0</v>
      </c>
      <c r="S125" s="31" t="s">
        <v>5738</v>
      </c>
      <c r="T125" t="s">
        <v>1381</v>
      </c>
      <c r="U125">
        <f>'Filtered Data'!V124</f>
        <v>0</v>
      </c>
      <c r="V125" t="str">
        <f>IF('Filtered Data'!W124,"yes","no")</f>
        <v>no</v>
      </c>
      <c r="W125" t="s">
        <v>15</v>
      </c>
      <c r="X125">
        <f>'Filtered Data'!X124</f>
        <v>0</v>
      </c>
    </row>
    <row r="126" spans="1:24" x14ac:dyDescent="0.35">
      <c r="A126">
        <f>'Filtered Data'!A125</f>
        <v>0</v>
      </c>
      <c r="B126">
        <f>'Filtered Data'!B125</f>
        <v>0</v>
      </c>
      <c r="C126" t="s">
        <v>2</v>
      </c>
      <c r="D126" t="e">
        <f>VLOOKUP('Filtered Data'!Z125,'Data Mapping'!$A$4:$B$7,2,0)</f>
        <v>#N/A</v>
      </c>
      <c r="E126" t="e">
        <f>VLOOKUP('Filtered Data'!C125,'Data Mapping'!$E$3:$F$97,2,0)</f>
        <v>#N/A</v>
      </c>
      <c r="F126">
        <f>'Filtered Data'!D125</f>
        <v>0</v>
      </c>
      <c r="G126" t="e">
        <f>VLOOKUP('Filtered Data'!E125,'Data Mapping'!$J$3:$K$11,2,0)</f>
        <v>#N/A</v>
      </c>
      <c r="H126">
        <f>'Filtered Data'!F125</f>
        <v>0</v>
      </c>
      <c r="I126" t="s">
        <v>5668</v>
      </c>
      <c r="J126" t="s">
        <v>1609</v>
      </c>
      <c r="K126" t="e">
        <f>VLOOKUP('Filtered Data'!A125,'Input 1 CMDB'!A:I,9,0)</f>
        <v>#N/A</v>
      </c>
      <c r="L126">
        <f>'Filtered Data'!K125</f>
        <v>0</v>
      </c>
      <c r="M126" t="e">
        <f t="shared" si="5"/>
        <v>#VALUE!</v>
      </c>
      <c r="N126">
        <f>'Filtered Data'!P125</f>
        <v>0</v>
      </c>
      <c r="O126">
        <f>'Filtered Data'!N125</f>
        <v>0</v>
      </c>
      <c r="P126" t="s">
        <v>5669</v>
      </c>
      <c r="Q126" t="str">
        <f>IF('Filtered Data'!W125,"ITHybridCloudEngineeringOperationsMgmt@Marathonpetroleum.com","mark.newman2@dxc.com")</f>
        <v>mark.newman2@dxc.com</v>
      </c>
      <c r="R126">
        <f t="shared" si="6"/>
        <v>0</v>
      </c>
      <c r="S126" s="31" t="s">
        <v>5738</v>
      </c>
      <c r="T126" t="s">
        <v>1381</v>
      </c>
      <c r="U126">
        <f>'Filtered Data'!V125</f>
        <v>0</v>
      </c>
      <c r="V126" t="str">
        <f>IF('Filtered Data'!W125,"yes","no")</f>
        <v>no</v>
      </c>
      <c r="W126" t="s">
        <v>15</v>
      </c>
      <c r="X126">
        <f>'Filtered Data'!X125</f>
        <v>0</v>
      </c>
    </row>
    <row r="127" spans="1:24" x14ac:dyDescent="0.35">
      <c r="A127">
        <f>'Filtered Data'!A126</f>
        <v>0</v>
      </c>
      <c r="B127">
        <f>'Filtered Data'!B126</f>
        <v>0</v>
      </c>
      <c r="C127" t="s">
        <v>2</v>
      </c>
      <c r="D127" t="e">
        <f>VLOOKUP('Filtered Data'!Z126,'Data Mapping'!$A$4:$B$7,2,0)</f>
        <v>#N/A</v>
      </c>
      <c r="E127" t="e">
        <f>VLOOKUP('Filtered Data'!C126,'Data Mapping'!$E$3:$F$97,2,0)</f>
        <v>#N/A</v>
      </c>
      <c r="F127">
        <f>'Filtered Data'!D126</f>
        <v>0</v>
      </c>
      <c r="G127" t="e">
        <f>VLOOKUP('Filtered Data'!E126,'Data Mapping'!$J$3:$K$11,2,0)</f>
        <v>#N/A</v>
      </c>
      <c r="H127">
        <f>'Filtered Data'!F126</f>
        <v>0</v>
      </c>
      <c r="I127" t="s">
        <v>5668</v>
      </c>
      <c r="J127" t="s">
        <v>1609</v>
      </c>
      <c r="K127" t="e">
        <f>VLOOKUP('Filtered Data'!A126,'Input 1 CMDB'!A:I,9,0)</f>
        <v>#N/A</v>
      </c>
      <c r="L127">
        <f>'Filtered Data'!K126</f>
        <v>0</v>
      </c>
      <c r="M127" t="e">
        <f t="shared" si="5"/>
        <v>#VALUE!</v>
      </c>
      <c r="N127">
        <f>'Filtered Data'!P126</f>
        <v>0</v>
      </c>
      <c r="O127">
        <f>'Filtered Data'!N126</f>
        <v>0</v>
      </c>
      <c r="P127" t="s">
        <v>5669</v>
      </c>
      <c r="Q127" t="str">
        <f>IF('Filtered Data'!W126,"ITHybridCloudEngineeringOperationsMgmt@Marathonpetroleum.com","mark.newman2@dxc.com")</f>
        <v>mark.newman2@dxc.com</v>
      </c>
      <c r="R127">
        <f t="shared" si="6"/>
        <v>0</v>
      </c>
      <c r="S127" s="31" t="s">
        <v>5738</v>
      </c>
      <c r="T127" t="s">
        <v>1381</v>
      </c>
      <c r="U127">
        <f>'Filtered Data'!V126</f>
        <v>0</v>
      </c>
      <c r="V127" t="str">
        <f>IF('Filtered Data'!W126,"yes","no")</f>
        <v>no</v>
      </c>
      <c r="W127" t="s">
        <v>15</v>
      </c>
      <c r="X127">
        <f>'Filtered Data'!X126</f>
        <v>0</v>
      </c>
    </row>
    <row r="128" spans="1:24" x14ac:dyDescent="0.35">
      <c r="A128">
        <f>'Filtered Data'!A127</f>
        <v>0</v>
      </c>
      <c r="B128">
        <f>'Filtered Data'!B127</f>
        <v>0</v>
      </c>
      <c r="C128" t="s">
        <v>2</v>
      </c>
      <c r="D128" t="e">
        <f>VLOOKUP('Filtered Data'!Z127,'Data Mapping'!$A$4:$B$7,2,0)</f>
        <v>#N/A</v>
      </c>
      <c r="E128" t="e">
        <f>VLOOKUP('Filtered Data'!C127,'Data Mapping'!$E$3:$F$97,2,0)</f>
        <v>#N/A</v>
      </c>
      <c r="F128">
        <f>'Filtered Data'!D127</f>
        <v>0</v>
      </c>
      <c r="G128" t="e">
        <f>VLOOKUP('Filtered Data'!E127,'Data Mapping'!$J$3:$K$11,2,0)</f>
        <v>#N/A</v>
      </c>
      <c r="H128">
        <f>'Filtered Data'!F127</f>
        <v>0</v>
      </c>
      <c r="I128" t="s">
        <v>5668</v>
      </c>
      <c r="J128" t="s">
        <v>1609</v>
      </c>
      <c r="K128" t="e">
        <f>VLOOKUP('Filtered Data'!A127,'Input 1 CMDB'!A:I,9,0)</f>
        <v>#N/A</v>
      </c>
      <c r="L128">
        <f>'Filtered Data'!K127</f>
        <v>0</v>
      </c>
      <c r="M128" t="e">
        <f t="shared" si="5"/>
        <v>#VALUE!</v>
      </c>
      <c r="N128">
        <f>'Filtered Data'!P127</f>
        <v>0</v>
      </c>
      <c r="O128">
        <f>'Filtered Data'!N127</f>
        <v>0</v>
      </c>
      <c r="P128" t="s">
        <v>5669</v>
      </c>
      <c r="Q128" t="str">
        <f>IF('Filtered Data'!W127,"ITHybridCloudEngineeringOperationsMgmt@Marathonpetroleum.com","mark.newman2@dxc.com")</f>
        <v>mark.newman2@dxc.com</v>
      </c>
      <c r="R128">
        <f t="shared" si="6"/>
        <v>0</v>
      </c>
      <c r="S128" s="31" t="s">
        <v>5738</v>
      </c>
      <c r="T128" t="s">
        <v>1381</v>
      </c>
      <c r="U128">
        <f>'Filtered Data'!V127</f>
        <v>0</v>
      </c>
      <c r="V128" t="str">
        <f>IF('Filtered Data'!W127,"yes","no")</f>
        <v>no</v>
      </c>
      <c r="W128" t="s">
        <v>15</v>
      </c>
      <c r="X128">
        <f>'Filtered Data'!X127</f>
        <v>0</v>
      </c>
    </row>
    <row r="129" spans="1:24" x14ac:dyDescent="0.35">
      <c r="A129">
        <f>'Filtered Data'!A128</f>
        <v>0</v>
      </c>
      <c r="B129">
        <f>'Filtered Data'!B128</f>
        <v>0</v>
      </c>
      <c r="C129" t="s">
        <v>2</v>
      </c>
      <c r="D129" t="e">
        <f>VLOOKUP('Filtered Data'!Z128,'Data Mapping'!$A$4:$B$7,2,0)</f>
        <v>#N/A</v>
      </c>
      <c r="E129" t="e">
        <f>VLOOKUP('Filtered Data'!C128,'Data Mapping'!$E$3:$F$97,2,0)</f>
        <v>#N/A</v>
      </c>
      <c r="F129">
        <f>'Filtered Data'!D128</f>
        <v>0</v>
      </c>
      <c r="G129" t="e">
        <f>VLOOKUP('Filtered Data'!E128,'Data Mapping'!$J$3:$K$11,2,0)</f>
        <v>#N/A</v>
      </c>
      <c r="H129">
        <f>'Filtered Data'!F128</f>
        <v>0</v>
      </c>
      <c r="I129" t="s">
        <v>5668</v>
      </c>
      <c r="J129" t="s">
        <v>1609</v>
      </c>
      <c r="K129" t="e">
        <f>VLOOKUP('Filtered Data'!A128,'Input 1 CMDB'!A:I,9,0)</f>
        <v>#N/A</v>
      </c>
      <c r="L129">
        <f>'Filtered Data'!K128</f>
        <v>0</v>
      </c>
      <c r="M129" t="e">
        <f t="shared" si="5"/>
        <v>#VALUE!</v>
      </c>
      <c r="N129">
        <f>'Filtered Data'!P128</f>
        <v>0</v>
      </c>
      <c r="O129">
        <f>'Filtered Data'!N128</f>
        <v>0</v>
      </c>
      <c r="P129" t="s">
        <v>5669</v>
      </c>
      <c r="Q129" t="str">
        <f>IF('Filtered Data'!W128,"ITHybridCloudEngineeringOperationsMgmt@Marathonpetroleum.com","mark.newman2@dxc.com")</f>
        <v>mark.newman2@dxc.com</v>
      </c>
      <c r="R129">
        <f t="shared" si="6"/>
        <v>0</v>
      </c>
      <c r="S129" s="31" t="s">
        <v>5738</v>
      </c>
      <c r="T129" t="s">
        <v>1381</v>
      </c>
      <c r="U129">
        <f>'Filtered Data'!V128</f>
        <v>0</v>
      </c>
      <c r="V129" t="str">
        <f>IF('Filtered Data'!W128,"yes","no")</f>
        <v>no</v>
      </c>
      <c r="W129" t="s">
        <v>15</v>
      </c>
      <c r="X129">
        <f>'Filtered Data'!X128</f>
        <v>0</v>
      </c>
    </row>
    <row r="130" spans="1:24" x14ac:dyDescent="0.35">
      <c r="A130">
        <f>'Filtered Data'!A129</f>
        <v>0</v>
      </c>
      <c r="B130">
        <f>'Filtered Data'!B129</f>
        <v>0</v>
      </c>
      <c r="C130" t="s">
        <v>2</v>
      </c>
      <c r="D130" t="e">
        <f>VLOOKUP('Filtered Data'!Z129,'Data Mapping'!$A$4:$B$7,2,0)</f>
        <v>#N/A</v>
      </c>
      <c r="E130" t="e">
        <f>VLOOKUP('Filtered Data'!C129,'Data Mapping'!$E$3:$F$97,2,0)</f>
        <v>#N/A</v>
      </c>
      <c r="F130">
        <f>'Filtered Data'!D129</f>
        <v>0</v>
      </c>
      <c r="G130" t="e">
        <f>VLOOKUP('Filtered Data'!E129,'Data Mapping'!$J$3:$K$11,2,0)</f>
        <v>#N/A</v>
      </c>
      <c r="H130">
        <f>'Filtered Data'!F129</f>
        <v>0</v>
      </c>
      <c r="I130" t="s">
        <v>5668</v>
      </c>
      <c r="J130" t="s">
        <v>1609</v>
      </c>
      <c r="K130" t="e">
        <f>VLOOKUP('Filtered Data'!A129,'Input 1 CMDB'!A:I,9,0)</f>
        <v>#N/A</v>
      </c>
      <c r="L130">
        <f>'Filtered Data'!K129</f>
        <v>0</v>
      </c>
      <c r="M130" t="e">
        <f t="shared" si="5"/>
        <v>#VALUE!</v>
      </c>
      <c r="N130">
        <f>'Filtered Data'!P129</f>
        <v>0</v>
      </c>
      <c r="O130">
        <f>'Filtered Data'!N129</f>
        <v>0</v>
      </c>
      <c r="P130" t="s">
        <v>5669</v>
      </c>
      <c r="Q130" t="str">
        <f>IF('Filtered Data'!W129,"ITHybridCloudEngineeringOperationsMgmt@Marathonpetroleum.com","mark.newman2@dxc.com")</f>
        <v>mark.newman2@dxc.com</v>
      </c>
      <c r="R130">
        <f t="shared" si="6"/>
        <v>0</v>
      </c>
      <c r="S130" s="31" t="s">
        <v>5738</v>
      </c>
      <c r="T130" t="s">
        <v>1381</v>
      </c>
      <c r="U130">
        <f>'Filtered Data'!V129</f>
        <v>0</v>
      </c>
      <c r="V130" t="str">
        <f>IF('Filtered Data'!W129,"yes","no")</f>
        <v>no</v>
      </c>
      <c r="W130" t="s">
        <v>15</v>
      </c>
      <c r="X130">
        <f>'Filtered Data'!X129</f>
        <v>0</v>
      </c>
    </row>
    <row r="131" spans="1:24" x14ac:dyDescent="0.35">
      <c r="A131">
        <f>'Filtered Data'!A130</f>
        <v>0</v>
      </c>
      <c r="B131">
        <f>'Filtered Data'!B130</f>
        <v>0</v>
      </c>
      <c r="C131" t="s">
        <v>2</v>
      </c>
      <c r="D131" t="e">
        <f>VLOOKUP('Filtered Data'!Z130,'Data Mapping'!$A$4:$B$7,2,0)</f>
        <v>#N/A</v>
      </c>
      <c r="E131" t="e">
        <f>VLOOKUP('Filtered Data'!C130,'Data Mapping'!$E$3:$F$97,2,0)</f>
        <v>#N/A</v>
      </c>
      <c r="F131">
        <f>'Filtered Data'!D130</f>
        <v>0</v>
      </c>
      <c r="G131" t="e">
        <f>VLOOKUP('Filtered Data'!E130,'Data Mapping'!$J$3:$K$11,2,0)</f>
        <v>#N/A</v>
      </c>
      <c r="H131">
        <f>'Filtered Data'!F130</f>
        <v>0</v>
      </c>
      <c r="I131" t="s">
        <v>5668</v>
      </c>
      <c r="J131" t="s">
        <v>1609</v>
      </c>
      <c r="K131" t="e">
        <f>VLOOKUP('Filtered Data'!A130,'Input 1 CMDB'!A:I,9,0)</f>
        <v>#N/A</v>
      </c>
      <c r="L131">
        <f>'Filtered Data'!K130</f>
        <v>0</v>
      </c>
      <c r="M131" t="e">
        <f t="shared" si="5"/>
        <v>#VALUE!</v>
      </c>
      <c r="N131">
        <f>'Filtered Data'!P130</f>
        <v>0</v>
      </c>
      <c r="O131">
        <f>'Filtered Data'!N130</f>
        <v>0</v>
      </c>
      <c r="P131" t="s">
        <v>5669</v>
      </c>
      <c r="Q131" t="str">
        <f>IF('Filtered Data'!W130,"ITHybridCloudEngineeringOperationsMgmt@Marathonpetroleum.com","mark.newman2@dxc.com")</f>
        <v>mark.newman2@dxc.com</v>
      </c>
      <c r="R131">
        <f t="shared" si="6"/>
        <v>0</v>
      </c>
      <c r="S131" s="31" t="s">
        <v>5738</v>
      </c>
      <c r="T131" t="s">
        <v>1381</v>
      </c>
      <c r="U131">
        <f>'Filtered Data'!V130</f>
        <v>0</v>
      </c>
      <c r="V131" t="str">
        <f>IF('Filtered Data'!W130,"yes","no")</f>
        <v>no</v>
      </c>
      <c r="W131" t="s">
        <v>15</v>
      </c>
      <c r="X131">
        <f>'Filtered Data'!X130</f>
        <v>0</v>
      </c>
    </row>
    <row r="132" spans="1:24" x14ac:dyDescent="0.35">
      <c r="A132">
        <f>'Filtered Data'!A131</f>
        <v>0</v>
      </c>
      <c r="B132">
        <f>'Filtered Data'!B131</f>
        <v>0</v>
      </c>
      <c r="C132" t="s">
        <v>2</v>
      </c>
      <c r="D132" t="e">
        <f>VLOOKUP('Filtered Data'!Z131,'Data Mapping'!$A$4:$B$7,2,0)</f>
        <v>#N/A</v>
      </c>
      <c r="E132" t="e">
        <f>VLOOKUP('Filtered Data'!C131,'Data Mapping'!$E$3:$F$97,2,0)</f>
        <v>#N/A</v>
      </c>
      <c r="F132">
        <f>'Filtered Data'!D131</f>
        <v>0</v>
      </c>
      <c r="G132" t="e">
        <f>VLOOKUP('Filtered Data'!E131,'Data Mapping'!$J$3:$K$11,2,0)</f>
        <v>#N/A</v>
      </c>
      <c r="H132">
        <f>'Filtered Data'!F131</f>
        <v>0</v>
      </c>
      <c r="I132" t="s">
        <v>5668</v>
      </c>
      <c r="J132" t="s">
        <v>1609</v>
      </c>
      <c r="K132" t="e">
        <f>VLOOKUP('Filtered Data'!A131,'Input 1 CMDB'!A:I,9,0)</f>
        <v>#N/A</v>
      </c>
      <c r="L132">
        <f>'Filtered Data'!K131</f>
        <v>0</v>
      </c>
      <c r="M132" t="e">
        <f t="shared" si="5"/>
        <v>#VALUE!</v>
      </c>
      <c r="N132">
        <f>'Filtered Data'!P131</f>
        <v>0</v>
      </c>
      <c r="O132">
        <f>'Filtered Data'!N131</f>
        <v>0</v>
      </c>
      <c r="P132" t="s">
        <v>5669</v>
      </c>
      <c r="Q132" t="str">
        <f>IF('Filtered Data'!W131,"ITHybridCloudEngineeringOperationsMgmt@Marathonpetroleum.com","mark.newman2@dxc.com")</f>
        <v>mark.newman2@dxc.com</v>
      </c>
      <c r="R132">
        <f t="shared" si="6"/>
        <v>0</v>
      </c>
      <c r="S132" s="31" t="s">
        <v>5738</v>
      </c>
      <c r="T132" t="s">
        <v>1381</v>
      </c>
      <c r="U132">
        <f>'Filtered Data'!V131</f>
        <v>0</v>
      </c>
      <c r="V132" t="str">
        <f>IF('Filtered Data'!W131,"yes","no")</f>
        <v>no</v>
      </c>
      <c r="W132" t="s">
        <v>15</v>
      </c>
      <c r="X132">
        <f>'Filtered Data'!X131</f>
        <v>0</v>
      </c>
    </row>
    <row r="133" spans="1:24" x14ac:dyDescent="0.35">
      <c r="A133">
        <f>'Filtered Data'!A132</f>
        <v>0</v>
      </c>
      <c r="B133">
        <f>'Filtered Data'!B132</f>
        <v>0</v>
      </c>
      <c r="C133" t="s">
        <v>2</v>
      </c>
      <c r="D133" t="e">
        <f>VLOOKUP('Filtered Data'!Z132,'Data Mapping'!$A$4:$B$7,2,0)</f>
        <v>#N/A</v>
      </c>
      <c r="E133" t="e">
        <f>VLOOKUP('Filtered Data'!C132,'Data Mapping'!$E$3:$F$97,2,0)</f>
        <v>#N/A</v>
      </c>
      <c r="F133">
        <f>'Filtered Data'!D132</f>
        <v>0</v>
      </c>
      <c r="G133" t="e">
        <f>VLOOKUP('Filtered Data'!E132,'Data Mapping'!$J$3:$K$11,2,0)</f>
        <v>#N/A</v>
      </c>
      <c r="H133">
        <f>'Filtered Data'!F132</f>
        <v>0</v>
      </c>
      <c r="I133" t="s">
        <v>5668</v>
      </c>
      <c r="J133" t="s">
        <v>1609</v>
      </c>
      <c r="K133" t="e">
        <f>VLOOKUP('Filtered Data'!A132,'Input 1 CMDB'!A:I,9,0)</f>
        <v>#N/A</v>
      </c>
      <c r="L133">
        <f>'Filtered Data'!K132</f>
        <v>0</v>
      </c>
      <c r="M133" t="e">
        <f t="shared" si="5"/>
        <v>#VALUE!</v>
      </c>
      <c r="N133">
        <f>'Filtered Data'!P132</f>
        <v>0</v>
      </c>
      <c r="O133">
        <f>'Filtered Data'!N132</f>
        <v>0</v>
      </c>
      <c r="P133" t="s">
        <v>5669</v>
      </c>
      <c r="Q133" t="str">
        <f>IF('Filtered Data'!W132,"ITHybridCloudEngineeringOperationsMgmt@Marathonpetroleum.com","mark.newman2@dxc.com")</f>
        <v>mark.newman2@dxc.com</v>
      </c>
      <c r="R133">
        <f t="shared" si="6"/>
        <v>0</v>
      </c>
      <c r="S133" s="31" t="s">
        <v>5738</v>
      </c>
      <c r="T133" t="s">
        <v>1381</v>
      </c>
      <c r="U133">
        <f>'Filtered Data'!V132</f>
        <v>0</v>
      </c>
      <c r="V133" t="str">
        <f>IF('Filtered Data'!W132,"yes","no")</f>
        <v>no</v>
      </c>
      <c r="W133" t="s">
        <v>15</v>
      </c>
      <c r="X133">
        <f>'Filtered Data'!X132</f>
        <v>0</v>
      </c>
    </row>
    <row r="134" spans="1:24" x14ac:dyDescent="0.35">
      <c r="A134">
        <f>'Filtered Data'!A133</f>
        <v>0</v>
      </c>
      <c r="B134">
        <f>'Filtered Data'!B133</f>
        <v>0</v>
      </c>
      <c r="C134" t="s">
        <v>2</v>
      </c>
      <c r="D134" t="e">
        <f>VLOOKUP('Filtered Data'!Z133,'Data Mapping'!$A$4:$B$7,2,0)</f>
        <v>#N/A</v>
      </c>
      <c r="E134" t="e">
        <f>VLOOKUP('Filtered Data'!C133,'Data Mapping'!$E$3:$F$97,2,0)</f>
        <v>#N/A</v>
      </c>
      <c r="F134">
        <f>'Filtered Data'!D133</f>
        <v>0</v>
      </c>
      <c r="G134" t="e">
        <f>VLOOKUP('Filtered Data'!E133,'Data Mapping'!$J$3:$K$11,2,0)</f>
        <v>#N/A</v>
      </c>
      <c r="H134">
        <f>'Filtered Data'!F133</f>
        <v>0</v>
      </c>
      <c r="I134" t="s">
        <v>5668</v>
      </c>
      <c r="J134" t="s">
        <v>1609</v>
      </c>
      <c r="K134" t="e">
        <f>VLOOKUP('Filtered Data'!A133,'Input 1 CMDB'!A:I,9,0)</f>
        <v>#N/A</v>
      </c>
      <c r="L134">
        <f>'Filtered Data'!K133</f>
        <v>0</v>
      </c>
      <c r="M134" t="e">
        <f t="shared" si="5"/>
        <v>#VALUE!</v>
      </c>
      <c r="N134">
        <f>'Filtered Data'!P133</f>
        <v>0</v>
      </c>
      <c r="O134">
        <f>'Filtered Data'!N133</f>
        <v>0</v>
      </c>
      <c r="P134" t="s">
        <v>5669</v>
      </c>
      <c r="Q134" t="str">
        <f>IF('Filtered Data'!W133,"ITHybridCloudEngineeringOperationsMgmt@Marathonpetroleum.com","mark.newman2@dxc.com")</f>
        <v>mark.newman2@dxc.com</v>
      </c>
      <c r="R134">
        <f t="shared" si="6"/>
        <v>0</v>
      </c>
      <c r="S134" s="31" t="s">
        <v>5738</v>
      </c>
      <c r="T134" t="s">
        <v>1381</v>
      </c>
      <c r="U134">
        <f>'Filtered Data'!V133</f>
        <v>0</v>
      </c>
      <c r="V134" t="str">
        <f>IF('Filtered Data'!W133,"yes","no")</f>
        <v>no</v>
      </c>
      <c r="W134" t="s">
        <v>15</v>
      </c>
      <c r="X134">
        <f>'Filtered Data'!X133</f>
        <v>0</v>
      </c>
    </row>
    <row r="135" spans="1:24" x14ac:dyDescent="0.35">
      <c r="A135">
        <f>'Filtered Data'!A134</f>
        <v>0</v>
      </c>
      <c r="B135">
        <f>'Filtered Data'!B134</f>
        <v>0</v>
      </c>
      <c r="C135" t="s">
        <v>2</v>
      </c>
      <c r="D135" t="e">
        <f>VLOOKUP('Filtered Data'!Z134,'Data Mapping'!$A$4:$B$7,2,0)</f>
        <v>#N/A</v>
      </c>
      <c r="E135" t="e">
        <f>VLOOKUP('Filtered Data'!C134,'Data Mapping'!$E$3:$F$97,2,0)</f>
        <v>#N/A</v>
      </c>
      <c r="F135">
        <f>'Filtered Data'!D134</f>
        <v>0</v>
      </c>
      <c r="G135" t="e">
        <f>VLOOKUP('Filtered Data'!E134,'Data Mapping'!$J$3:$K$11,2,0)</f>
        <v>#N/A</v>
      </c>
      <c r="H135">
        <f>'Filtered Data'!F134</f>
        <v>0</v>
      </c>
      <c r="I135" t="s">
        <v>5668</v>
      </c>
      <c r="J135" t="s">
        <v>1609</v>
      </c>
      <c r="K135" t="e">
        <f>VLOOKUP('Filtered Data'!A134,'Input 1 CMDB'!A:I,9,0)</f>
        <v>#N/A</v>
      </c>
      <c r="L135">
        <f>'Filtered Data'!K134</f>
        <v>0</v>
      </c>
      <c r="M135" t="e">
        <f t="shared" si="5"/>
        <v>#VALUE!</v>
      </c>
      <c r="N135">
        <f>'Filtered Data'!P134</f>
        <v>0</v>
      </c>
      <c r="O135">
        <f>'Filtered Data'!N134</f>
        <v>0</v>
      </c>
      <c r="P135" t="s">
        <v>5669</v>
      </c>
      <c r="Q135" t="str">
        <f>IF('Filtered Data'!W134,"ITHybridCloudEngineeringOperationsMgmt@Marathonpetroleum.com","mark.newman2@dxc.com")</f>
        <v>mark.newman2@dxc.com</v>
      </c>
      <c r="R135">
        <f t="shared" si="6"/>
        <v>0</v>
      </c>
      <c r="S135" s="31" t="s">
        <v>5738</v>
      </c>
      <c r="T135" t="s">
        <v>1381</v>
      </c>
      <c r="U135">
        <f>'Filtered Data'!V134</f>
        <v>0</v>
      </c>
      <c r="V135" t="str">
        <f>IF('Filtered Data'!W134,"yes","no")</f>
        <v>no</v>
      </c>
      <c r="W135" t="s">
        <v>15</v>
      </c>
      <c r="X135">
        <f>'Filtered Data'!X134</f>
        <v>0</v>
      </c>
    </row>
    <row r="136" spans="1:24" x14ac:dyDescent="0.35">
      <c r="A136">
        <f>'Filtered Data'!A135</f>
        <v>0</v>
      </c>
      <c r="B136">
        <f>'Filtered Data'!B135</f>
        <v>0</v>
      </c>
      <c r="C136" t="s">
        <v>2</v>
      </c>
      <c r="D136" t="e">
        <f>VLOOKUP('Filtered Data'!Z135,'Data Mapping'!$A$4:$B$7,2,0)</f>
        <v>#N/A</v>
      </c>
      <c r="E136" t="e">
        <f>VLOOKUP('Filtered Data'!C135,'Data Mapping'!$E$3:$F$97,2,0)</f>
        <v>#N/A</v>
      </c>
      <c r="F136">
        <f>'Filtered Data'!D135</f>
        <v>0</v>
      </c>
      <c r="G136" t="e">
        <f>VLOOKUP('Filtered Data'!E135,'Data Mapping'!$J$3:$K$11,2,0)</f>
        <v>#N/A</v>
      </c>
      <c r="H136">
        <f>'Filtered Data'!F135</f>
        <v>0</v>
      </c>
      <c r="I136" t="s">
        <v>5668</v>
      </c>
      <c r="J136" t="s">
        <v>1609</v>
      </c>
      <c r="K136" t="e">
        <f>VLOOKUP('Filtered Data'!A135,'Input 1 CMDB'!A:I,9,0)</f>
        <v>#N/A</v>
      </c>
      <c r="L136">
        <f>'Filtered Data'!K135</f>
        <v>0</v>
      </c>
      <c r="M136" t="e">
        <f t="shared" si="5"/>
        <v>#VALUE!</v>
      </c>
      <c r="N136">
        <f>'Filtered Data'!P135</f>
        <v>0</v>
      </c>
      <c r="O136">
        <f>'Filtered Data'!N135</f>
        <v>0</v>
      </c>
      <c r="P136" t="s">
        <v>5669</v>
      </c>
      <c r="Q136" t="str">
        <f>IF('Filtered Data'!W135,"ITHybridCloudEngineeringOperationsMgmt@Marathonpetroleum.com","mark.newman2@dxc.com")</f>
        <v>mark.newman2@dxc.com</v>
      </c>
      <c r="R136">
        <f t="shared" si="6"/>
        <v>0</v>
      </c>
      <c r="S136" s="31" t="s">
        <v>5738</v>
      </c>
      <c r="T136" t="s">
        <v>1381</v>
      </c>
      <c r="U136">
        <f>'Filtered Data'!V135</f>
        <v>0</v>
      </c>
      <c r="V136" t="str">
        <f>IF('Filtered Data'!W135,"yes","no")</f>
        <v>no</v>
      </c>
      <c r="W136" t="s">
        <v>15</v>
      </c>
      <c r="X136">
        <f>'Filtered Data'!X135</f>
        <v>0</v>
      </c>
    </row>
    <row r="137" spans="1:24" x14ac:dyDescent="0.35">
      <c r="A137">
        <f>'Filtered Data'!A136</f>
        <v>0</v>
      </c>
      <c r="B137">
        <f>'Filtered Data'!B136</f>
        <v>0</v>
      </c>
      <c r="C137" t="s">
        <v>2</v>
      </c>
      <c r="D137" t="e">
        <f>VLOOKUP('Filtered Data'!Z136,'Data Mapping'!$A$4:$B$7,2,0)</f>
        <v>#N/A</v>
      </c>
      <c r="E137" t="e">
        <f>VLOOKUP('Filtered Data'!C136,'Data Mapping'!$E$3:$F$97,2,0)</f>
        <v>#N/A</v>
      </c>
      <c r="F137">
        <f>'Filtered Data'!D136</f>
        <v>0</v>
      </c>
      <c r="G137" t="e">
        <f>VLOOKUP('Filtered Data'!E136,'Data Mapping'!$J$3:$K$11,2,0)</f>
        <v>#N/A</v>
      </c>
      <c r="H137">
        <f>'Filtered Data'!F136</f>
        <v>0</v>
      </c>
      <c r="I137" t="s">
        <v>5668</v>
      </c>
      <c r="J137" t="s">
        <v>1609</v>
      </c>
      <c r="K137" t="e">
        <f>VLOOKUP('Filtered Data'!A136,'Input 1 CMDB'!A:I,9,0)</f>
        <v>#N/A</v>
      </c>
      <c r="L137">
        <f>'Filtered Data'!K136</f>
        <v>0</v>
      </c>
      <c r="M137" t="e">
        <f t="shared" si="5"/>
        <v>#VALUE!</v>
      </c>
      <c r="N137">
        <f>'Filtered Data'!P136</f>
        <v>0</v>
      </c>
      <c r="O137">
        <f>'Filtered Data'!N136</f>
        <v>0</v>
      </c>
      <c r="P137" t="s">
        <v>5669</v>
      </c>
      <c r="Q137" t="str">
        <f>IF('Filtered Data'!W136,"ITHybridCloudEngineeringOperationsMgmt@Marathonpetroleum.com","mark.newman2@dxc.com")</f>
        <v>mark.newman2@dxc.com</v>
      </c>
      <c r="R137">
        <f t="shared" si="6"/>
        <v>0</v>
      </c>
      <c r="S137" s="31" t="s">
        <v>5738</v>
      </c>
      <c r="T137" t="s">
        <v>1381</v>
      </c>
      <c r="U137">
        <f>'Filtered Data'!V136</f>
        <v>0</v>
      </c>
      <c r="V137" t="str">
        <f>IF('Filtered Data'!W136,"yes","no")</f>
        <v>no</v>
      </c>
      <c r="W137" t="s">
        <v>15</v>
      </c>
      <c r="X137">
        <f>'Filtered Data'!X136</f>
        <v>0</v>
      </c>
    </row>
    <row r="138" spans="1:24" x14ac:dyDescent="0.35">
      <c r="A138">
        <f>'Filtered Data'!A137</f>
        <v>0</v>
      </c>
      <c r="B138">
        <f>'Filtered Data'!B137</f>
        <v>0</v>
      </c>
      <c r="C138" t="s">
        <v>2</v>
      </c>
      <c r="D138" t="e">
        <f>VLOOKUP('Filtered Data'!Z137,'Data Mapping'!$A$4:$B$7,2,0)</f>
        <v>#N/A</v>
      </c>
      <c r="E138" t="e">
        <f>VLOOKUP('Filtered Data'!C137,'Data Mapping'!$E$3:$F$97,2,0)</f>
        <v>#N/A</v>
      </c>
      <c r="F138">
        <f>'Filtered Data'!D137</f>
        <v>0</v>
      </c>
      <c r="G138" t="e">
        <f>VLOOKUP('Filtered Data'!E137,'Data Mapping'!$J$3:$K$11,2,0)</f>
        <v>#N/A</v>
      </c>
      <c r="H138">
        <f>'Filtered Data'!F137</f>
        <v>0</v>
      </c>
      <c r="I138" t="s">
        <v>5668</v>
      </c>
      <c r="J138" t="s">
        <v>1609</v>
      </c>
      <c r="K138" t="e">
        <f>VLOOKUP('Filtered Data'!A137,'Input 1 CMDB'!A:I,9,0)</f>
        <v>#N/A</v>
      </c>
      <c r="L138">
        <f>'Filtered Data'!K137</f>
        <v>0</v>
      </c>
      <c r="M138" t="e">
        <f t="shared" si="5"/>
        <v>#VALUE!</v>
      </c>
      <c r="N138">
        <f>'Filtered Data'!P137</f>
        <v>0</v>
      </c>
      <c r="O138">
        <f>'Filtered Data'!N137</f>
        <v>0</v>
      </c>
      <c r="P138" t="s">
        <v>5669</v>
      </c>
      <c r="Q138" t="str">
        <f>IF('Filtered Data'!W137,"ITHybridCloudEngineeringOperationsMgmt@Marathonpetroleum.com","mark.newman2@dxc.com")</f>
        <v>mark.newman2@dxc.com</v>
      </c>
      <c r="R138">
        <f t="shared" si="6"/>
        <v>0</v>
      </c>
      <c r="S138" s="31" t="s">
        <v>5738</v>
      </c>
      <c r="T138" t="s">
        <v>1381</v>
      </c>
      <c r="U138">
        <f>'Filtered Data'!V137</f>
        <v>0</v>
      </c>
      <c r="V138" t="str">
        <f>IF('Filtered Data'!W137,"yes","no")</f>
        <v>no</v>
      </c>
      <c r="W138" t="s">
        <v>15</v>
      </c>
      <c r="X138">
        <f>'Filtered Data'!X137</f>
        <v>0</v>
      </c>
    </row>
    <row r="139" spans="1:24" x14ac:dyDescent="0.35">
      <c r="A139">
        <f>'Filtered Data'!A138</f>
        <v>0</v>
      </c>
      <c r="B139">
        <f>'Filtered Data'!B138</f>
        <v>0</v>
      </c>
      <c r="C139" t="s">
        <v>2</v>
      </c>
      <c r="D139" t="e">
        <f>VLOOKUP('Filtered Data'!Z138,'Data Mapping'!$A$4:$B$7,2,0)</f>
        <v>#N/A</v>
      </c>
      <c r="E139" t="e">
        <f>VLOOKUP('Filtered Data'!C138,'Data Mapping'!$E$3:$F$97,2,0)</f>
        <v>#N/A</v>
      </c>
      <c r="F139">
        <f>'Filtered Data'!D138</f>
        <v>0</v>
      </c>
      <c r="G139" t="e">
        <f>VLOOKUP('Filtered Data'!E138,'Data Mapping'!$J$3:$K$11,2,0)</f>
        <v>#N/A</v>
      </c>
      <c r="H139">
        <f>'Filtered Data'!F138</f>
        <v>0</v>
      </c>
      <c r="I139" t="s">
        <v>5668</v>
      </c>
      <c r="J139" t="s">
        <v>1609</v>
      </c>
      <c r="K139" t="e">
        <f>VLOOKUP('Filtered Data'!A138,'Input 1 CMDB'!A:I,9,0)</f>
        <v>#N/A</v>
      </c>
      <c r="L139">
        <f>'Filtered Data'!K138</f>
        <v>0</v>
      </c>
      <c r="M139" t="e">
        <f t="shared" si="5"/>
        <v>#VALUE!</v>
      </c>
      <c r="N139">
        <f>'Filtered Data'!P138</f>
        <v>0</v>
      </c>
      <c r="O139">
        <f>'Filtered Data'!N138</f>
        <v>0</v>
      </c>
      <c r="P139" t="s">
        <v>5669</v>
      </c>
      <c r="Q139" t="str">
        <f>IF('Filtered Data'!W138,"ITHybridCloudEngineeringOperationsMgmt@Marathonpetroleum.com","mark.newman2@dxc.com")</f>
        <v>mark.newman2@dxc.com</v>
      </c>
      <c r="R139">
        <f t="shared" si="6"/>
        <v>0</v>
      </c>
      <c r="S139" s="31" t="s">
        <v>5738</v>
      </c>
      <c r="T139" t="s">
        <v>1381</v>
      </c>
      <c r="U139">
        <f>'Filtered Data'!V138</f>
        <v>0</v>
      </c>
      <c r="V139" t="str">
        <f>IF('Filtered Data'!W138,"yes","no")</f>
        <v>no</v>
      </c>
      <c r="W139" t="s">
        <v>15</v>
      </c>
      <c r="X139">
        <f>'Filtered Data'!X138</f>
        <v>0</v>
      </c>
    </row>
    <row r="140" spans="1:24" x14ac:dyDescent="0.35">
      <c r="A140">
        <f>'Filtered Data'!A139</f>
        <v>0</v>
      </c>
      <c r="B140">
        <f>'Filtered Data'!B139</f>
        <v>0</v>
      </c>
      <c r="C140" t="s">
        <v>2</v>
      </c>
      <c r="D140" t="e">
        <f>VLOOKUP('Filtered Data'!Z139,'Data Mapping'!$A$4:$B$7,2,0)</f>
        <v>#N/A</v>
      </c>
      <c r="E140" t="e">
        <f>VLOOKUP('Filtered Data'!C139,'Data Mapping'!$E$3:$F$97,2,0)</f>
        <v>#N/A</v>
      </c>
      <c r="F140">
        <f>'Filtered Data'!D139</f>
        <v>0</v>
      </c>
      <c r="G140" t="e">
        <f>VLOOKUP('Filtered Data'!E139,'Data Mapping'!$J$3:$K$11,2,0)</f>
        <v>#N/A</v>
      </c>
      <c r="H140">
        <f>'Filtered Data'!F139</f>
        <v>0</v>
      </c>
      <c r="I140" t="s">
        <v>5668</v>
      </c>
      <c r="J140" t="s">
        <v>1609</v>
      </c>
      <c r="K140" t="e">
        <f>VLOOKUP('Filtered Data'!A139,'Input 1 CMDB'!A:I,9,0)</f>
        <v>#N/A</v>
      </c>
      <c r="L140">
        <f>'Filtered Data'!K139</f>
        <v>0</v>
      </c>
      <c r="M140" t="e">
        <f t="shared" si="5"/>
        <v>#VALUE!</v>
      </c>
      <c r="N140">
        <f>'Filtered Data'!P139</f>
        <v>0</v>
      </c>
      <c r="O140">
        <f>'Filtered Data'!N139</f>
        <v>0</v>
      </c>
      <c r="P140" t="s">
        <v>5669</v>
      </c>
      <c r="Q140" t="str">
        <f>IF('Filtered Data'!W139,"ITHybridCloudEngineeringOperationsMgmt@Marathonpetroleum.com","mark.newman2@dxc.com")</f>
        <v>mark.newman2@dxc.com</v>
      </c>
      <c r="R140">
        <f t="shared" si="6"/>
        <v>0</v>
      </c>
      <c r="S140" s="31" t="s">
        <v>5738</v>
      </c>
      <c r="T140" t="s">
        <v>1381</v>
      </c>
      <c r="U140">
        <f>'Filtered Data'!V139</f>
        <v>0</v>
      </c>
      <c r="V140" t="str">
        <f>IF('Filtered Data'!W139,"yes","no")</f>
        <v>no</v>
      </c>
      <c r="W140" t="s">
        <v>15</v>
      </c>
      <c r="X140">
        <f>'Filtered Data'!X139</f>
        <v>0</v>
      </c>
    </row>
    <row r="141" spans="1:24" x14ac:dyDescent="0.35">
      <c r="A141">
        <f>'Filtered Data'!A140</f>
        <v>0</v>
      </c>
      <c r="B141">
        <f>'Filtered Data'!B140</f>
        <v>0</v>
      </c>
      <c r="C141" t="s">
        <v>2</v>
      </c>
      <c r="D141" t="e">
        <f>VLOOKUP('Filtered Data'!Z140,'Data Mapping'!$A$4:$B$7,2,0)</f>
        <v>#N/A</v>
      </c>
      <c r="E141" t="e">
        <f>VLOOKUP('Filtered Data'!C140,'Data Mapping'!$E$3:$F$97,2,0)</f>
        <v>#N/A</v>
      </c>
      <c r="F141">
        <f>'Filtered Data'!D140</f>
        <v>0</v>
      </c>
      <c r="G141" t="e">
        <f>VLOOKUP('Filtered Data'!E140,'Data Mapping'!$J$3:$K$11,2,0)</f>
        <v>#N/A</v>
      </c>
      <c r="H141">
        <f>'Filtered Data'!F140</f>
        <v>0</v>
      </c>
      <c r="I141" t="s">
        <v>5668</v>
      </c>
      <c r="J141" t="s">
        <v>1609</v>
      </c>
      <c r="K141" t="e">
        <f>VLOOKUP('Filtered Data'!A140,'Input 1 CMDB'!A:I,9,0)</f>
        <v>#N/A</v>
      </c>
      <c r="L141">
        <f>'Filtered Data'!K140</f>
        <v>0</v>
      </c>
      <c r="M141" t="e">
        <f t="shared" si="5"/>
        <v>#VALUE!</v>
      </c>
      <c r="N141">
        <f>'Filtered Data'!P140</f>
        <v>0</v>
      </c>
      <c r="O141">
        <f>'Filtered Data'!N140</f>
        <v>0</v>
      </c>
      <c r="P141" t="s">
        <v>5669</v>
      </c>
      <c r="Q141" t="str">
        <f>IF('Filtered Data'!W140,"ITHybridCloudEngineeringOperationsMgmt@Marathonpetroleum.com","mark.newman2@dxc.com")</f>
        <v>mark.newman2@dxc.com</v>
      </c>
      <c r="R141">
        <f t="shared" si="6"/>
        <v>0</v>
      </c>
      <c r="S141" s="31" t="s">
        <v>5738</v>
      </c>
      <c r="T141" t="s">
        <v>1381</v>
      </c>
      <c r="U141">
        <f>'Filtered Data'!V140</f>
        <v>0</v>
      </c>
      <c r="V141" t="str">
        <f>IF('Filtered Data'!W140,"yes","no")</f>
        <v>no</v>
      </c>
      <c r="W141" t="s">
        <v>15</v>
      </c>
      <c r="X141">
        <f>'Filtered Data'!X140</f>
        <v>0</v>
      </c>
    </row>
    <row r="142" spans="1:24" x14ac:dyDescent="0.35">
      <c r="A142">
        <f>'Filtered Data'!A141</f>
        <v>0</v>
      </c>
      <c r="B142">
        <f>'Filtered Data'!B141</f>
        <v>0</v>
      </c>
      <c r="C142" t="s">
        <v>2</v>
      </c>
      <c r="D142" t="e">
        <f>VLOOKUP('Filtered Data'!Z141,'Data Mapping'!$A$4:$B$7,2,0)</f>
        <v>#N/A</v>
      </c>
      <c r="E142" t="e">
        <f>VLOOKUP('Filtered Data'!C141,'Data Mapping'!$E$3:$F$97,2,0)</f>
        <v>#N/A</v>
      </c>
      <c r="F142">
        <f>'Filtered Data'!D141</f>
        <v>0</v>
      </c>
      <c r="G142" t="e">
        <f>VLOOKUP('Filtered Data'!E141,'Data Mapping'!$J$3:$K$11,2,0)</f>
        <v>#N/A</v>
      </c>
      <c r="H142">
        <f>'Filtered Data'!F141</f>
        <v>0</v>
      </c>
      <c r="I142" t="s">
        <v>5668</v>
      </c>
      <c r="J142" t="s">
        <v>1609</v>
      </c>
      <c r="K142" t="e">
        <f>VLOOKUP('Filtered Data'!A141,'Input 1 CMDB'!A:I,9,0)</f>
        <v>#N/A</v>
      </c>
      <c r="L142">
        <f>'Filtered Data'!K141</f>
        <v>0</v>
      </c>
      <c r="M142" t="e">
        <f t="shared" si="5"/>
        <v>#VALUE!</v>
      </c>
      <c r="N142">
        <f>'Filtered Data'!P141</f>
        <v>0</v>
      </c>
      <c r="O142">
        <f>'Filtered Data'!N141</f>
        <v>0</v>
      </c>
      <c r="P142" t="s">
        <v>5669</v>
      </c>
      <c r="Q142" t="str">
        <f>IF('Filtered Data'!W141,"ITHybridCloudEngineeringOperationsMgmt@Marathonpetroleum.com","mark.newman2@dxc.com")</f>
        <v>mark.newman2@dxc.com</v>
      </c>
      <c r="R142">
        <f t="shared" si="6"/>
        <v>0</v>
      </c>
      <c r="S142" s="31" t="s">
        <v>5738</v>
      </c>
      <c r="T142" t="s">
        <v>1381</v>
      </c>
      <c r="U142">
        <f>'Filtered Data'!V141</f>
        <v>0</v>
      </c>
      <c r="V142" t="str">
        <f>IF('Filtered Data'!W141,"yes","no")</f>
        <v>no</v>
      </c>
      <c r="W142" t="s">
        <v>15</v>
      </c>
      <c r="X142">
        <f>'Filtered Data'!X141</f>
        <v>0</v>
      </c>
    </row>
    <row r="143" spans="1:24" x14ac:dyDescent="0.35">
      <c r="A143">
        <f>'Filtered Data'!A142</f>
        <v>0</v>
      </c>
      <c r="B143">
        <f>'Filtered Data'!B142</f>
        <v>0</v>
      </c>
      <c r="C143" t="s">
        <v>2</v>
      </c>
      <c r="D143" t="e">
        <f>VLOOKUP('Filtered Data'!Z142,'Data Mapping'!$A$4:$B$7,2,0)</f>
        <v>#N/A</v>
      </c>
      <c r="E143" t="e">
        <f>VLOOKUP('Filtered Data'!C142,'Data Mapping'!$E$3:$F$97,2,0)</f>
        <v>#N/A</v>
      </c>
      <c r="F143">
        <f>'Filtered Data'!D142</f>
        <v>0</v>
      </c>
      <c r="G143" t="e">
        <f>VLOOKUP('Filtered Data'!E142,'Data Mapping'!$J$3:$K$11,2,0)</f>
        <v>#N/A</v>
      </c>
      <c r="H143">
        <f>'Filtered Data'!F142</f>
        <v>0</v>
      </c>
      <c r="I143" t="s">
        <v>5668</v>
      </c>
      <c r="J143" t="s">
        <v>1609</v>
      </c>
      <c r="K143" t="e">
        <f>VLOOKUP('Filtered Data'!A142,'Input 1 CMDB'!A:I,9,0)</f>
        <v>#N/A</v>
      </c>
      <c r="L143">
        <f>'Filtered Data'!K142</f>
        <v>0</v>
      </c>
      <c r="M143" t="e">
        <f t="shared" si="5"/>
        <v>#VALUE!</v>
      </c>
      <c r="N143">
        <f>'Filtered Data'!P142</f>
        <v>0</v>
      </c>
      <c r="O143">
        <f>'Filtered Data'!N142</f>
        <v>0</v>
      </c>
      <c r="P143" t="s">
        <v>5669</v>
      </c>
      <c r="Q143" t="str">
        <f>IF('Filtered Data'!W142,"ITHybridCloudEngineeringOperationsMgmt@Marathonpetroleum.com","mark.newman2@dxc.com")</f>
        <v>mark.newman2@dxc.com</v>
      </c>
      <c r="R143">
        <f t="shared" si="6"/>
        <v>0</v>
      </c>
      <c r="S143" s="31" t="s">
        <v>5738</v>
      </c>
      <c r="T143" t="s">
        <v>1381</v>
      </c>
      <c r="U143">
        <f>'Filtered Data'!V142</f>
        <v>0</v>
      </c>
      <c r="V143" t="str">
        <f>IF('Filtered Data'!W142,"yes","no")</f>
        <v>no</v>
      </c>
      <c r="W143" t="s">
        <v>15</v>
      </c>
      <c r="X143">
        <f>'Filtered Data'!X142</f>
        <v>0</v>
      </c>
    </row>
    <row r="144" spans="1:24" x14ac:dyDescent="0.35">
      <c r="A144">
        <f>'Filtered Data'!A143</f>
        <v>0</v>
      </c>
      <c r="B144">
        <f>'Filtered Data'!B143</f>
        <v>0</v>
      </c>
      <c r="C144" t="s">
        <v>2</v>
      </c>
      <c r="D144" t="e">
        <f>VLOOKUP('Filtered Data'!Z143,'Data Mapping'!$A$4:$B$7,2,0)</f>
        <v>#N/A</v>
      </c>
      <c r="E144" t="e">
        <f>VLOOKUP('Filtered Data'!C143,'Data Mapping'!$E$3:$F$97,2,0)</f>
        <v>#N/A</v>
      </c>
      <c r="F144">
        <f>'Filtered Data'!D143</f>
        <v>0</v>
      </c>
      <c r="G144" t="e">
        <f>VLOOKUP('Filtered Data'!E143,'Data Mapping'!$J$3:$K$11,2,0)</f>
        <v>#N/A</v>
      </c>
      <c r="H144">
        <f>'Filtered Data'!F143</f>
        <v>0</v>
      </c>
      <c r="I144" t="s">
        <v>5668</v>
      </c>
      <c r="J144" t="s">
        <v>1609</v>
      </c>
      <c r="K144" t="e">
        <f>VLOOKUP('Filtered Data'!A143,'Input 1 CMDB'!A:I,9,0)</f>
        <v>#N/A</v>
      </c>
      <c r="L144">
        <f>'Filtered Data'!K143</f>
        <v>0</v>
      </c>
      <c r="M144" t="e">
        <f t="shared" si="5"/>
        <v>#VALUE!</v>
      </c>
      <c r="N144">
        <f>'Filtered Data'!P143</f>
        <v>0</v>
      </c>
      <c r="O144">
        <f>'Filtered Data'!N143</f>
        <v>0</v>
      </c>
      <c r="P144" t="s">
        <v>5669</v>
      </c>
      <c r="Q144" t="str">
        <f>IF('Filtered Data'!W143,"ITHybridCloudEngineeringOperationsMgmt@Marathonpetroleum.com","mark.newman2@dxc.com")</f>
        <v>mark.newman2@dxc.com</v>
      </c>
      <c r="R144">
        <f t="shared" si="6"/>
        <v>0</v>
      </c>
      <c r="S144" s="31" t="s">
        <v>5738</v>
      </c>
      <c r="T144" t="s">
        <v>1381</v>
      </c>
      <c r="U144">
        <f>'Filtered Data'!V143</f>
        <v>0</v>
      </c>
      <c r="V144" t="str">
        <f>IF('Filtered Data'!W143,"yes","no")</f>
        <v>no</v>
      </c>
      <c r="W144" t="s">
        <v>15</v>
      </c>
      <c r="X144">
        <f>'Filtered Data'!X143</f>
        <v>0</v>
      </c>
    </row>
    <row r="145" spans="1:24" x14ac:dyDescent="0.35">
      <c r="A145">
        <f>'Filtered Data'!A144</f>
        <v>0</v>
      </c>
      <c r="B145">
        <f>'Filtered Data'!B144</f>
        <v>0</v>
      </c>
      <c r="C145" t="s">
        <v>2</v>
      </c>
      <c r="D145" t="e">
        <f>VLOOKUP('Filtered Data'!Z144,'Data Mapping'!$A$4:$B$7,2,0)</f>
        <v>#N/A</v>
      </c>
      <c r="E145" t="e">
        <f>VLOOKUP('Filtered Data'!C144,'Data Mapping'!$E$3:$F$97,2,0)</f>
        <v>#N/A</v>
      </c>
      <c r="F145">
        <f>'Filtered Data'!D144</f>
        <v>0</v>
      </c>
      <c r="G145" t="e">
        <f>VLOOKUP('Filtered Data'!E144,'Data Mapping'!$J$3:$K$11,2,0)</f>
        <v>#N/A</v>
      </c>
      <c r="H145">
        <f>'Filtered Data'!F144</f>
        <v>0</v>
      </c>
      <c r="I145" t="s">
        <v>5668</v>
      </c>
      <c r="J145" t="s">
        <v>1609</v>
      </c>
      <c r="K145" t="e">
        <f>VLOOKUP('Filtered Data'!A144,'Input 1 CMDB'!A:I,9,0)</f>
        <v>#N/A</v>
      </c>
      <c r="L145">
        <f>'Filtered Data'!K144</f>
        <v>0</v>
      </c>
      <c r="M145" t="e">
        <f t="shared" si="5"/>
        <v>#VALUE!</v>
      </c>
      <c r="N145">
        <f>'Filtered Data'!P144</f>
        <v>0</v>
      </c>
      <c r="O145">
        <f>'Filtered Data'!N144</f>
        <v>0</v>
      </c>
      <c r="P145" t="s">
        <v>5669</v>
      </c>
      <c r="Q145" t="str">
        <f>IF('Filtered Data'!W144,"ITHybridCloudEngineeringOperationsMgmt@Marathonpetroleum.com","mark.newman2@dxc.com")</f>
        <v>mark.newman2@dxc.com</v>
      </c>
      <c r="R145">
        <f t="shared" si="6"/>
        <v>0</v>
      </c>
      <c r="S145" s="31" t="s">
        <v>5738</v>
      </c>
      <c r="T145" t="s">
        <v>1381</v>
      </c>
      <c r="U145">
        <f>'Filtered Data'!V144</f>
        <v>0</v>
      </c>
      <c r="V145" t="str">
        <f>IF('Filtered Data'!W144,"yes","no")</f>
        <v>no</v>
      </c>
      <c r="W145" t="s">
        <v>15</v>
      </c>
      <c r="X145">
        <f>'Filtered Data'!X144</f>
        <v>0</v>
      </c>
    </row>
    <row r="146" spans="1:24" x14ac:dyDescent="0.35">
      <c r="A146">
        <f>'Filtered Data'!A145</f>
        <v>0</v>
      </c>
      <c r="B146">
        <f>'Filtered Data'!B145</f>
        <v>0</v>
      </c>
      <c r="C146" t="s">
        <v>2</v>
      </c>
      <c r="D146" t="e">
        <f>VLOOKUP('Filtered Data'!Z145,'Data Mapping'!$A$4:$B$7,2,0)</f>
        <v>#N/A</v>
      </c>
      <c r="E146" t="e">
        <f>VLOOKUP('Filtered Data'!C145,'Data Mapping'!$E$3:$F$97,2,0)</f>
        <v>#N/A</v>
      </c>
      <c r="F146">
        <f>'Filtered Data'!D145</f>
        <v>0</v>
      </c>
      <c r="G146" t="e">
        <f>VLOOKUP('Filtered Data'!E145,'Data Mapping'!$J$3:$K$11,2,0)</f>
        <v>#N/A</v>
      </c>
      <c r="H146">
        <f>'Filtered Data'!F145</f>
        <v>0</v>
      </c>
      <c r="I146" t="s">
        <v>5668</v>
      </c>
      <c r="J146" t="s">
        <v>1609</v>
      </c>
      <c r="K146" t="e">
        <f>VLOOKUP('Filtered Data'!A145,'Input 1 CMDB'!A:I,9,0)</f>
        <v>#N/A</v>
      </c>
      <c r="L146">
        <f>'Filtered Data'!K145</f>
        <v>0</v>
      </c>
      <c r="M146" t="e">
        <f t="shared" si="5"/>
        <v>#VALUE!</v>
      </c>
      <c r="N146">
        <f>'Filtered Data'!P145</f>
        <v>0</v>
      </c>
      <c r="O146">
        <f>'Filtered Data'!N145</f>
        <v>0</v>
      </c>
      <c r="P146" t="s">
        <v>5669</v>
      </c>
      <c r="Q146" t="str">
        <f>IF('Filtered Data'!W145,"ITHybridCloudEngineeringOperationsMgmt@Marathonpetroleum.com","mark.newman2@dxc.com")</f>
        <v>mark.newman2@dxc.com</v>
      </c>
      <c r="R146">
        <f t="shared" si="6"/>
        <v>0</v>
      </c>
      <c r="S146" s="31" t="s">
        <v>5738</v>
      </c>
      <c r="T146" t="s">
        <v>1381</v>
      </c>
      <c r="U146">
        <f>'Filtered Data'!V145</f>
        <v>0</v>
      </c>
      <c r="V146" t="str">
        <f>IF('Filtered Data'!W145,"yes","no")</f>
        <v>no</v>
      </c>
      <c r="W146" t="s">
        <v>15</v>
      </c>
      <c r="X146">
        <f>'Filtered Data'!X145</f>
        <v>0</v>
      </c>
    </row>
    <row r="147" spans="1:24" x14ac:dyDescent="0.35">
      <c r="A147">
        <f>'Filtered Data'!A146</f>
        <v>0</v>
      </c>
      <c r="B147">
        <f>'Filtered Data'!B146</f>
        <v>0</v>
      </c>
      <c r="C147" t="s">
        <v>2</v>
      </c>
      <c r="D147" t="e">
        <f>VLOOKUP('Filtered Data'!Z146,'Data Mapping'!$A$4:$B$7,2,0)</f>
        <v>#N/A</v>
      </c>
      <c r="E147" t="e">
        <f>VLOOKUP('Filtered Data'!C146,'Data Mapping'!$E$3:$F$97,2,0)</f>
        <v>#N/A</v>
      </c>
      <c r="F147">
        <f>'Filtered Data'!D146</f>
        <v>0</v>
      </c>
      <c r="G147" t="e">
        <f>VLOOKUP('Filtered Data'!E146,'Data Mapping'!$J$3:$K$11,2,0)</f>
        <v>#N/A</v>
      </c>
      <c r="H147">
        <f>'Filtered Data'!F146</f>
        <v>0</v>
      </c>
      <c r="I147" t="s">
        <v>5668</v>
      </c>
      <c r="J147" t="s">
        <v>1609</v>
      </c>
      <c r="K147" t="e">
        <f>VLOOKUP('Filtered Data'!A146,'Input 1 CMDB'!A:I,9,0)</f>
        <v>#N/A</v>
      </c>
      <c r="L147">
        <f>'Filtered Data'!K146</f>
        <v>0</v>
      </c>
      <c r="M147" t="e">
        <f t="shared" si="5"/>
        <v>#VALUE!</v>
      </c>
      <c r="N147">
        <f>'Filtered Data'!P146</f>
        <v>0</v>
      </c>
      <c r="O147">
        <f>'Filtered Data'!N146</f>
        <v>0</v>
      </c>
      <c r="P147" t="s">
        <v>5669</v>
      </c>
      <c r="Q147" t="str">
        <f>IF('Filtered Data'!W146,"ITHybridCloudEngineeringOperationsMgmt@Marathonpetroleum.com","mark.newman2@dxc.com")</f>
        <v>mark.newman2@dxc.com</v>
      </c>
      <c r="R147">
        <f t="shared" si="6"/>
        <v>0</v>
      </c>
      <c r="S147" s="31" t="s">
        <v>5738</v>
      </c>
      <c r="T147" t="s">
        <v>1381</v>
      </c>
      <c r="U147">
        <f>'Filtered Data'!V146</f>
        <v>0</v>
      </c>
      <c r="V147" t="str">
        <f>IF('Filtered Data'!W146,"yes","no")</f>
        <v>no</v>
      </c>
      <c r="W147" t="s">
        <v>15</v>
      </c>
      <c r="X147">
        <f>'Filtered Data'!X146</f>
        <v>0</v>
      </c>
    </row>
    <row r="148" spans="1:24" x14ac:dyDescent="0.35">
      <c r="A148">
        <f>'Filtered Data'!A147</f>
        <v>0</v>
      </c>
      <c r="B148">
        <f>'Filtered Data'!B147</f>
        <v>0</v>
      </c>
      <c r="C148" t="s">
        <v>2</v>
      </c>
      <c r="D148" t="e">
        <f>VLOOKUP('Filtered Data'!Z147,'Data Mapping'!$A$4:$B$7,2,0)</f>
        <v>#N/A</v>
      </c>
      <c r="E148" t="e">
        <f>VLOOKUP('Filtered Data'!C147,'Data Mapping'!$E$3:$F$97,2,0)</f>
        <v>#N/A</v>
      </c>
      <c r="F148">
        <f>'Filtered Data'!D147</f>
        <v>0</v>
      </c>
      <c r="G148" t="e">
        <f>VLOOKUP('Filtered Data'!E147,'Data Mapping'!$J$3:$K$11,2,0)</f>
        <v>#N/A</v>
      </c>
      <c r="H148">
        <f>'Filtered Data'!F147</f>
        <v>0</v>
      </c>
      <c r="I148" t="s">
        <v>5668</v>
      </c>
      <c r="J148" t="s">
        <v>1609</v>
      </c>
      <c r="K148" t="e">
        <f>VLOOKUP('Filtered Data'!A147,'Input 1 CMDB'!A:I,9,0)</f>
        <v>#N/A</v>
      </c>
      <c r="L148">
        <f>'Filtered Data'!K147</f>
        <v>0</v>
      </c>
      <c r="M148" t="e">
        <f t="shared" si="5"/>
        <v>#VALUE!</v>
      </c>
      <c r="N148">
        <f>'Filtered Data'!P147</f>
        <v>0</v>
      </c>
      <c r="O148">
        <f>'Filtered Data'!N147</f>
        <v>0</v>
      </c>
      <c r="P148" t="s">
        <v>5669</v>
      </c>
      <c r="Q148" t="str">
        <f>IF('Filtered Data'!W147,"ITHybridCloudEngineeringOperationsMgmt@Marathonpetroleum.com","mark.newman2@dxc.com")</f>
        <v>mark.newman2@dxc.com</v>
      </c>
      <c r="R148">
        <f t="shared" si="6"/>
        <v>0</v>
      </c>
      <c r="S148" s="31" t="s">
        <v>5738</v>
      </c>
      <c r="T148" t="s">
        <v>1381</v>
      </c>
      <c r="U148">
        <f>'Filtered Data'!V147</f>
        <v>0</v>
      </c>
      <c r="V148" t="str">
        <f>IF('Filtered Data'!W147,"yes","no")</f>
        <v>no</v>
      </c>
      <c r="W148" t="s">
        <v>15</v>
      </c>
      <c r="X148">
        <f>'Filtered Data'!X147</f>
        <v>0</v>
      </c>
    </row>
    <row r="149" spans="1:24" x14ac:dyDescent="0.35">
      <c r="A149">
        <f>'Filtered Data'!A148</f>
        <v>0</v>
      </c>
      <c r="B149">
        <f>'Filtered Data'!B148</f>
        <v>0</v>
      </c>
      <c r="C149" t="s">
        <v>2</v>
      </c>
      <c r="D149" t="e">
        <f>VLOOKUP('Filtered Data'!Z148,'Data Mapping'!$A$4:$B$7,2,0)</f>
        <v>#N/A</v>
      </c>
      <c r="E149" t="e">
        <f>VLOOKUP('Filtered Data'!C148,'Data Mapping'!$E$3:$F$97,2,0)</f>
        <v>#N/A</v>
      </c>
      <c r="F149">
        <f>'Filtered Data'!D148</f>
        <v>0</v>
      </c>
      <c r="G149" t="e">
        <f>VLOOKUP('Filtered Data'!E148,'Data Mapping'!$J$3:$K$11,2,0)</f>
        <v>#N/A</v>
      </c>
      <c r="H149">
        <f>'Filtered Data'!F148</f>
        <v>0</v>
      </c>
      <c r="I149" t="s">
        <v>5668</v>
      </c>
      <c r="J149" t="s">
        <v>1609</v>
      </c>
      <c r="K149" t="e">
        <f>VLOOKUP('Filtered Data'!A148,'Input 1 CMDB'!A:I,9,0)</f>
        <v>#N/A</v>
      </c>
      <c r="L149">
        <f>'Filtered Data'!K148</f>
        <v>0</v>
      </c>
      <c r="M149" t="e">
        <f t="shared" si="5"/>
        <v>#VALUE!</v>
      </c>
      <c r="N149">
        <f>'Filtered Data'!P148</f>
        <v>0</v>
      </c>
      <c r="O149">
        <f>'Filtered Data'!N148</f>
        <v>0</v>
      </c>
      <c r="P149" t="s">
        <v>5669</v>
      </c>
      <c r="Q149" t="str">
        <f>IF('Filtered Data'!W148,"ITHybridCloudEngineeringOperationsMgmt@Marathonpetroleum.com","mark.newman2@dxc.com")</f>
        <v>mark.newman2@dxc.com</v>
      </c>
      <c r="R149">
        <f t="shared" si="6"/>
        <v>0</v>
      </c>
      <c r="S149" s="31" t="s">
        <v>5738</v>
      </c>
      <c r="T149" t="s">
        <v>1381</v>
      </c>
      <c r="U149">
        <f>'Filtered Data'!V148</f>
        <v>0</v>
      </c>
      <c r="V149" t="str">
        <f>IF('Filtered Data'!W148,"yes","no")</f>
        <v>no</v>
      </c>
      <c r="W149" t="s">
        <v>15</v>
      </c>
      <c r="X149">
        <f>'Filtered Data'!X148</f>
        <v>0</v>
      </c>
    </row>
    <row r="150" spans="1:24" x14ac:dyDescent="0.35">
      <c r="A150">
        <f>'Filtered Data'!A149</f>
        <v>0</v>
      </c>
      <c r="B150">
        <f>'Filtered Data'!B149</f>
        <v>0</v>
      </c>
      <c r="C150" t="s">
        <v>2</v>
      </c>
      <c r="D150" t="e">
        <f>VLOOKUP('Filtered Data'!Z149,'Data Mapping'!$A$4:$B$7,2,0)</f>
        <v>#N/A</v>
      </c>
      <c r="E150" t="e">
        <f>VLOOKUP('Filtered Data'!C149,'Data Mapping'!$E$3:$F$97,2,0)</f>
        <v>#N/A</v>
      </c>
      <c r="F150">
        <f>'Filtered Data'!D149</f>
        <v>0</v>
      </c>
      <c r="G150" t="e">
        <f>VLOOKUP('Filtered Data'!E149,'Data Mapping'!$J$3:$K$11,2,0)</f>
        <v>#N/A</v>
      </c>
      <c r="H150">
        <f>'Filtered Data'!F149</f>
        <v>0</v>
      </c>
      <c r="I150" t="s">
        <v>5668</v>
      </c>
      <c r="J150" t="s">
        <v>1609</v>
      </c>
      <c r="K150" t="e">
        <f>VLOOKUP('Filtered Data'!A149,'Input 1 CMDB'!A:I,9,0)</f>
        <v>#N/A</v>
      </c>
      <c r="L150">
        <f>'Filtered Data'!K149</f>
        <v>0</v>
      </c>
      <c r="M150" t="e">
        <f t="shared" si="5"/>
        <v>#VALUE!</v>
      </c>
      <c r="N150">
        <f>'Filtered Data'!P149</f>
        <v>0</v>
      </c>
      <c r="O150">
        <f>'Filtered Data'!N149</f>
        <v>0</v>
      </c>
      <c r="P150" t="s">
        <v>5669</v>
      </c>
      <c r="Q150" t="str">
        <f>IF('Filtered Data'!W149,"ITHybridCloudEngineeringOperationsMgmt@Marathonpetroleum.com","mark.newman2@dxc.com")</f>
        <v>mark.newman2@dxc.com</v>
      </c>
      <c r="R150">
        <f t="shared" si="6"/>
        <v>0</v>
      </c>
      <c r="S150" s="31" t="s">
        <v>5738</v>
      </c>
      <c r="T150" t="s">
        <v>1381</v>
      </c>
      <c r="U150">
        <f>'Filtered Data'!V149</f>
        <v>0</v>
      </c>
      <c r="V150" t="str">
        <f>IF('Filtered Data'!W149,"yes","no")</f>
        <v>no</v>
      </c>
      <c r="W150" t="s">
        <v>15</v>
      </c>
      <c r="X150">
        <f>'Filtered Data'!X149</f>
        <v>0</v>
      </c>
    </row>
    <row r="151" spans="1:24" x14ac:dyDescent="0.35">
      <c r="A151">
        <f>'Filtered Data'!A150</f>
        <v>0</v>
      </c>
      <c r="B151">
        <f>'Filtered Data'!B150</f>
        <v>0</v>
      </c>
      <c r="C151" t="s">
        <v>2</v>
      </c>
      <c r="D151" t="e">
        <f>VLOOKUP('Filtered Data'!Z150,'Data Mapping'!$A$4:$B$7,2,0)</f>
        <v>#N/A</v>
      </c>
      <c r="E151" t="e">
        <f>VLOOKUP('Filtered Data'!C150,'Data Mapping'!$E$3:$F$97,2,0)</f>
        <v>#N/A</v>
      </c>
      <c r="F151">
        <f>'Filtered Data'!D150</f>
        <v>0</v>
      </c>
      <c r="G151" t="e">
        <f>VLOOKUP('Filtered Data'!E150,'Data Mapping'!$J$3:$K$11,2,0)</f>
        <v>#N/A</v>
      </c>
      <c r="H151">
        <f>'Filtered Data'!F150</f>
        <v>0</v>
      </c>
      <c r="I151" t="s">
        <v>5668</v>
      </c>
      <c r="J151" t="s">
        <v>1609</v>
      </c>
      <c r="K151" t="e">
        <f>VLOOKUP('Filtered Data'!A150,'Input 1 CMDB'!A:I,9,0)</f>
        <v>#N/A</v>
      </c>
      <c r="L151">
        <f>'Filtered Data'!K150</f>
        <v>0</v>
      </c>
      <c r="M151" t="e">
        <f t="shared" si="5"/>
        <v>#VALUE!</v>
      </c>
      <c r="N151">
        <f>'Filtered Data'!P150</f>
        <v>0</v>
      </c>
      <c r="O151">
        <f>'Filtered Data'!N150</f>
        <v>0</v>
      </c>
      <c r="P151" t="s">
        <v>5669</v>
      </c>
      <c r="Q151" t="str">
        <f>IF('Filtered Data'!W150,"ITHybridCloudEngineeringOperationsMgmt@Marathonpetroleum.com","mark.newman2@dxc.com")</f>
        <v>mark.newman2@dxc.com</v>
      </c>
      <c r="R151">
        <f t="shared" si="6"/>
        <v>0</v>
      </c>
      <c r="S151" s="31" t="s">
        <v>5738</v>
      </c>
      <c r="T151" t="s">
        <v>1381</v>
      </c>
      <c r="U151">
        <f>'Filtered Data'!V150</f>
        <v>0</v>
      </c>
      <c r="V151" t="str">
        <f>IF('Filtered Data'!W150,"yes","no")</f>
        <v>no</v>
      </c>
      <c r="W151" t="s">
        <v>15</v>
      </c>
      <c r="X151">
        <f>'Filtered Data'!X150</f>
        <v>0</v>
      </c>
    </row>
    <row r="152" spans="1:24" x14ac:dyDescent="0.35">
      <c r="A152">
        <f>'Filtered Data'!A151</f>
        <v>0</v>
      </c>
      <c r="B152">
        <f>'Filtered Data'!B151</f>
        <v>0</v>
      </c>
      <c r="C152" t="s">
        <v>2</v>
      </c>
      <c r="D152" t="e">
        <f>VLOOKUP('Filtered Data'!Z151,'Data Mapping'!$A$4:$B$7,2,0)</f>
        <v>#N/A</v>
      </c>
      <c r="E152" t="e">
        <f>VLOOKUP('Filtered Data'!C151,'Data Mapping'!$E$3:$F$97,2,0)</f>
        <v>#N/A</v>
      </c>
      <c r="F152">
        <f>'Filtered Data'!D151</f>
        <v>0</v>
      </c>
      <c r="G152" t="e">
        <f>VLOOKUP('Filtered Data'!E151,'Data Mapping'!$J$3:$K$11,2,0)</f>
        <v>#N/A</v>
      </c>
      <c r="H152">
        <f>'Filtered Data'!F151</f>
        <v>0</v>
      </c>
      <c r="I152" t="s">
        <v>5668</v>
      </c>
      <c r="J152" t="s">
        <v>1609</v>
      </c>
      <c r="K152" t="e">
        <f>VLOOKUP('Filtered Data'!A151,'Input 1 CMDB'!A:I,9,0)</f>
        <v>#N/A</v>
      </c>
      <c r="L152">
        <f>'Filtered Data'!K151</f>
        <v>0</v>
      </c>
      <c r="M152" t="e">
        <f t="shared" si="5"/>
        <v>#VALUE!</v>
      </c>
      <c r="N152">
        <f>'Filtered Data'!P151</f>
        <v>0</v>
      </c>
      <c r="O152">
        <f>'Filtered Data'!N151</f>
        <v>0</v>
      </c>
      <c r="P152" t="s">
        <v>5669</v>
      </c>
      <c r="Q152" t="str">
        <f>IF('Filtered Data'!W151,"ITHybridCloudEngineeringOperationsMgmt@Marathonpetroleum.com","mark.newman2@dxc.com")</f>
        <v>mark.newman2@dxc.com</v>
      </c>
      <c r="R152">
        <f t="shared" si="6"/>
        <v>0</v>
      </c>
      <c r="S152" s="31" t="s">
        <v>5738</v>
      </c>
      <c r="T152" t="s">
        <v>1381</v>
      </c>
      <c r="U152">
        <f>'Filtered Data'!V151</f>
        <v>0</v>
      </c>
      <c r="V152" t="str">
        <f>IF('Filtered Data'!W151,"yes","no")</f>
        <v>no</v>
      </c>
      <c r="W152" t="s">
        <v>15</v>
      </c>
      <c r="X152">
        <f>'Filtered Data'!X151</f>
        <v>0</v>
      </c>
    </row>
    <row r="153" spans="1:24" x14ac:dyDescent="0.35">
      <c r="A153">
        <f>'Filtered Data'!A152</f>
        <v>0</v>
      </c>
      <c r="B153">
        <f>'Filtered Data'!B152</f>
        <v>0</v>
      </c>
      <c r="C153" t="s">
        <v>2</v>
      </c>
      <c r="D153" t="e">
        <f>VLOOKUP('Filtered Data'!Z152,'Data Mapping'!$A$4:$B$7,2,0)</f>
        <v>#N/A</v>
      </c>
      <c r="E153" t="e">
        <f>VLOOKUP('Filtered Data'!C152,'Data Mapping'!$E$3:$F$97,2,0)</f>
        <v>#N/A</v>
      </c>
      <c r="F153">
        <f>'Filtered Data'!D152</f>
        <v>0</v>
      </c>
      <c r="G153" t="e">
        <f>VLOOKUP('Filtered Data'!E152,'Data Mapping'!$J$3:$K$11,2,0)</f>
        <v>#N/A</v>
      </c>
      <c r="H153">
        <f>'Filtered Data'!F152</f>
        <v>0</v>
      </c>
      <c r="I153" t="s">
        <v>5668</v>
      </c>
      <c r="J153" t="s">
        <v>1609</v>
      </c>
      <c r="K153" t="e">
        <f>VLOOKUP('Filtered Data'!A152,'Input 1 CMDB'!A:I,9,0)</f>
        <v>#N/A</v>
      </c>
      <c r="L153">
        <f>'Filtered Data'!K152</f>
        <v>0</v>
      </c>
      <c r="M153" t="e">
        <f t="shared" si="5"/>
        <v>#VALUE!</v>
      </c>
      <c r="N153">
        <f>'Filtered Data'!P152</f>
        <v>0</v>
      </c>
      <c r="O153">
        <f>'Filtered Data'!N152</f>
        <v>0</v>
      </c>
      <c r="P153" t="s">
        <v>5669</v>
      </c>
      <c r="Q153" t="str">
        <f>IF('Filtered Data'!W152,"ITHybridCloudEngineeringOperationsMgmt@Marathonpetroleum.com","mark.newman2@dxc.com")</f>
        <v>mark.newman2@dxc.com</v>
      </c>
      <c r="R153">
        <f t="shared" si="6"/>
        <v>0</v>
      </c>
      <c r="S153" s="31" t="s">
        <v>5738</v>
      </c>
      <c r="T153" t="s">
        <v>1381</v>
      </c>
      <c r="U153">
        <f>'Filtered Data'!V152</f>
        <v>0</v>
      </c>
      <c r="V153" t="str">
        <f>IF('Filtered Data'!W152,"yes","no")</f>
        <v>no</v>
      </c>
      <c r="W153" t="s">
        <v>15</v>
      </c>
      <c r="X153">
        <f>'Filtered Data'!X152</f>
        <v>0</v>
      </c>
    </row>
    <row r="154" spans="1:24" x14ac:dyDescent="0.35">
      <c r="A154">
        <f>'Filtered Data'!A153</f>
        <v>0</v>
      </c>
      <c r="B154">
        <f>'Filtered Data'!B153</f>
        <v>0</v>
      </c>
      <c r="C154" t="s">
        <v>2</v>
      </c>
      <c r="D154" t="e">
        <f>VLOOKUP('Filtered Data'!Z153,'Data Mapping'!$A$4:$B$7,2,0)</f>
        <v>#N/A</v>
      </c>
      <c r="E154" t="e">
        <f>VLOOKUP('Filtered Data'!C153,'Data Mapping'!$E$3:$F$97,2,0)</f>
        <v>#N/A</v>
      </c>
      <c r="F154">
        <f>'Filtered Data'!D153</f>
        <v>0</v>
      </c>
      <c r="G154" t="e">
        <f>VLOOKUP('Filtered Data'!E153,'Data Mapping'!$J$3:$K$11,2,0)</f>
        <v>#N/A</v>
      </c>
      <c r="H154">
        <f>'Filtered Data'!F153</f>
        <v>0</v>
      </c>
      <c r="I154" t="s">
        <v>5668</v>
      </c>
      <c r="J154" t="s">
        <v>1609</v>
      </c>
      <c r="K154" t="e">
        <f>VLOOKUP('Filtered Data'!A153,'Input 1 CMDB'!A:I,9,0)</f>
        <v>#N/A</v>
      </c>
      <c r="L154">
        <f>'Filtered Data'!K153</f>
        <v>0</v>
      </c>
      <c r="M154" t="e">
        <f t="shared" si="5"/>
        <v>#VALUE!</v>
      </c>
      <c r="N154">
        <f>'Filtered Data'!P153</f>
        <v>0</v>
      </c>
      <c r="O154">
        <f>'Filtered Data'!N153</f>
        <v>0</v>
      </c>
      <c r="P154" t="s">
        <v>5669</v>
      </c>
      <c r="Q154" t="str">
        <f>IF('Filtered Data'!W153,"ITHybridCloudEngineeringOperationsMgmt@Marathonpetroleum.com","mark.newman2@dxc.com")</f>
        <v>mark.newman2@dxc.com</v>
      </c>
      <c r="R154">
        <f t="shared" si="6"/>
        <v>0</v>
      </c>
      <c r="S154" s="31" t="s">
        <v>5738</v>
      </c>
      <c r="T154" t="s">
        <v>1381</v>
      </c>
      <c r="U154">
        <f>'Filtered Data'!V153</f>
        <v>0</v>
      </c>
      <c r="V154" t="str">
        <f>IF('Filtered Data'!W153,"yes","no")</f>
        <v>no</v>
      </c>
      <c r="W154" t="s">
        <v>15</v>
      </c>
      <c r="X154">
        <f>'Filtered Data'!X153</f>
        <v>0</v>
      </c>
    </row>
    <row r="155" spans="1:24" x14ac:dyDescent="0.35">
      <c r="A155">
        <f>'Filtered Data'!A154</f>
        <v>0</v>
      </c>
      <c r="B155">
        <f>'Filtered Data'!B154</f>
        <v>0</v>
      </c>
      <c r="C155" t="s">
        <v>2</v>
      </c>
      <c r="D155" t="e">
        <f>VLOOKUP('Filtered Data'!Z154,'Data Mapping'!$A$4:$B$7,2,0)</f>
        <v>#N/A</v>
      </c>
      <c r="E155" t="e">
        <f>VLOOKUP('Filtered Data'!C154,'Data Mapping'!$E$3:$F$97,2,0)</f>
        <v>#N/A</v>
      </c>
      <c r="F155">
        <f>'Filtered Data'!D154</f>
        <v>0</v>
      </c>
      <c r="G155" t="e">
        <f>VLOOKUP('Filtered Data'!E154,'Data Mapping'!$J$3:$K$11,2,0)</f>
        <v>#N/A</v>
      </c>
      <c r="H155">
        <f>'Filtered Data'!F154</f>
        <v>0</v>
      </c>
      <c r="I155" t="s">
        <v>5668</v>
      </c>
      <c r="J155" t="s">
        <v>1609</v>
      </c>
      <c r="K155" t="e">
        <f>VLOOKUP('Filtered Data'!A154,'Input 1 CMDB'!A:I,9,0)</f>
        <v>#N/A</v>
      </c>
      <c r="L155">
        <f>'Filtered Data'!K154</f>
        <v>0</v>
      </c>
      <c r="M155" t="e">
        <f t="shared" si="5"/>
        <v>#VALUE!</v>
      </c>
      <c r="N155">
        <f>'Filtered Data'!P154</f>
        <v>0</v>
      </c>
      <c r="O155">
        <f>'Filtered Data'!N154</f>
        <v>0</v>
      </c>
      <c r="P155" t="s">
        <v>5669</v>
      </c>
      <c r="Q155" t="str">
        <f>IF('Filtered Data'!W154,"ITHybridCloudEngineeringOperationsMgmt@Marathonpetroleum.com","mark.newman2@dxc.com")</f>
        <v>mark.newman2@dxc.com</v>
      </c>
      <c r="R155">
        <f t="shared" si="6"/>
        <v>0</v>
      </c>
      <c r="S155" s="31" t="s">
        <v>5738</v>
      </c>
      <c r="T155" t="s">
        <v>1381</v>
      </c>
      <c r="U155">
        <f>'Filtered Data'!V154</f>
        <v>0</v>
      </c>
      <c r="V155" t="str">
        <f>IF('Filtered Data'!W154,"yes","no")</f>
        <v>no</v>
      </c>
      <c r="W155" t="s">
        <v>15</v>
      </c>
      <c r="X155">
        <f>'Filtered Data'!X154</f>
        <v>0</v>
      </c>
    </row>
    <row r="156" spans="1:24" x14ac:dyDescent="0.35">
      <c r="A156">
        <f>'Filtered Data'!A155</f>
        <v>0</v>
      </c>
      <c r="B156">
        <f>'Filtered Data'!B155</f>
        <v>0</v>
      </c>
      <c r="C156" t="s">
        <v>2</v>
      </c>
      <c r="D156" t="e">
        <f>VLOOKUP('Filtered Data'!Z155,'Data Mapping'!$A$4:$B$7,2,0)</f>
        <v>#N/A</v>
      </c>
      <c r="E156" t="e">
        <f>VLOOKUP('Filtered Data'!C155,'Data Mapping'!$E$3:$F$97,2,0)</f>
        <v>#N/A</v>
      </c>
      <c r="F156">
        <f>'Filtered Data'!D155</f>
        <v>0</v>
      </c>
      <c r="G156" t="e">
        <f>VLOOKUP('Filtered Data'!E155,'Data Mapping'!$J$3:$K$11,2,0)</f>
        <v>#N/A</v>
      </c>
      <c r="H156">
        <f>'Filtered Data'!F155</f>
        <v>0</v>
      </c>
      <c r="I156" t="s">
        <v>5668</v>
      </c>
      <c r="J156" t="s">
        <v>1609</v>
      </c>
      <c r="K156" t="e">
        <f>VLOOKUP('Filtered Data'!A155,'Input 1 CMDB'!A:I,9,0)</f>
        <v>#N/A</v>
      </c>
      <c r="L156">
        <f>'Filtered Data'!K155</f>
        <v>0</v>
      </c>
      <c r="M156" t="e">
        <f t="shared" si="5"/>
        <v>#VALUE!</v>
      </c>
      <c r="N156">
        <f>'Filtered Data'!P155</f>
        <v>0</v>
      </c>
      <c r="O156">
        <f>'Filtered Data'!N155</f>
        <v>0</v>
      </c>
      <c r="P156" t="s">
        <v>5669</v>
      </c>
      <c r="Q156" t="str">
        <f>IF('Filtered Data'!W155,"ITHybridCloudEngineeringOperationsMgmt@Marathonpetroleum.com","mark.newman2@dxc.com")</f>
        <v>mark.newman2@dxc.com</v>
      </c>
      <c r="R156">
        <f t="shared" si="6"/>
        <v>0</v>
      </c>
      <c r="S156" s="31" t="s">
        <v>5738</v>
      </c>
      <c r="T156" t="s">
        <v>1381</v>
      </c>
      <c r="U156">
        <f>'Filtered Data'!V155</f>
        <v>0</v>
      </c>
      <c r="V156" t="str">
        <f>IF('Filtered Data'!W155,"yes","no")</f>
        <v>no</v>
      </c>
      <c r="W156" t="s">
        <v>15</v>
      </c>
      <c r="X156">
        <f>'Filtered Data'!X155</f>
        <v>0</v>
      </c>
    </row>
    <row r="157" spans="1:24" x14ac:dyDescent="0.35">
      <c r="A157">
        <f>'Filtered Data'!A156</f>
        <v>0</v>
      </c>
      <c r="B157">
        <f>'Filtered Data'!B156</f>
        <v>0</v>
      </c>
      <c r="C157" t="s">
        <v>2</v>
      </c>
      <c r="D157" t="e">
        <f>VLOOKUP('Filtered Data'!Z156,'Data Mapping'!$A$4:$B$7,2,0)</f>
        <v>#N/A</v>
      </c>
      <c r="E157" t="e">
        <f>VLOOKUP('Filtered Data'!C156,'Data Mapping'!$E$3:$F$97,2,0)</f>
        <v>#N/A</v>
      </c>
      <c r="F157">
        <f>'Filtered Data'!D156</f>
        <v>0</v>
      </c>
      <c r="G157" t="e">
        <f>VLOOKUP('Filtered Data'!E156,'Data Mapping'!$J$3:$K$11,2,0)</f>
        <v>#N/A</v>
      </c>
      <c r="H157">
        <f>'Filtered Data'!F156</f>
        <v>0</v>
      </c>
      <c r="I157" t="s">
        <v>5668</v>
      </c>
      <c r="J157" t="s">
        <v>1609</v>
      </c>
      <c r="K157" t="e">
        <f>VLOOKUP('Filtered Data'!A156,'Input 1 CMDB'!A:I,9,0)</f>
        <v>#N/A</v>
      </c>
      <c r="L157">
        <f>'Filtered Data'!K156</f>
        <v>0</v>
      </c>
      <c r="M157" t="e">
        <f t="shared" si="5"/>
        <v>#VALUE!</v>
      </c>
      <c r="N157">
        <f>'Filtered Data'!P156</f>
        <v>0</v>
      </c>
      <c r="O157">
        <f>'Filtered Data'!N156</f>
        <v>0</v>
      </c>
      <c r="P157" t="s">
        <v>5669</v>
      </c>
      <c r="Q157" t="str">
        <f>IF('Filtered Data'!W156,"ITHybridCloudEngineeringOperationsMgmt@Marathonpetroleum.com","mark.newman2@dxc.com")</f>
        <v>mark.newman2@dxc.com</v>
      </c>
      <c r="R157">
        <f t="shared" si="6"/>
        <v>0</v>
      </c>
      <c r="S157" s="31" t="s">
        <v>5738</v>
      </c>
      <c r="T157" t="s">
        <v>1381</v>
      </c>
      <c r="U157">
        <f>'Filtered Data'!V156</f>
        <v>0</v>
      </c>
      <c r="V157" t="str">
        <f>IF('Filtered Data'!W156,"yes","no")</f>
        <v>no</v>
      </c>
      <c r="W157" t="s">
        <v>15</v>
      </c>
      <c r="X157">
        <f>'Filtered Data'!X156</f>
        <v>0</v>
      </c>
    </row>
    <row r="158" spans="1:24" x14ac:dyDescent="0.35">
      <c r="A158">
        <f>'Filtered Data'!A157</f>
        <v>0</v>
      </c>
      <c r="B158">
        <f>'Filtered Data'!B157</f>
        <v>0</v>
      </c>
      <c r="C158" t="s">
        <v>2</v>
      </c>
      <c r="D158" t="e">
        <f>VLOOKUP('Filtered Data'!Z157,'Data Mapping'!$A$4:$B$7,2,0)</f>
        <v>#N/A</v>
      </c>
      <c r="E158" t="e">
        <f>VLOOKUP('Filtered Data'!C157,'Data Mapping'!$E$3:$F$97,2,0)</f>
        <v>#N/A</v>
      </c>
      <c r="F158">
        <f>'Filtered Data'!D157</f>
        <v>0</v>
      </c>
      <c r="G158" t="e">
        <f>VLOOKUP('Filtered Data'!E157,'Data Mapping'!$J$3:$K$11,2,0)</f>
        <v>#N/A</v>
      </c>
      <c r="H158">
        <f>'Filtered Data'!F157</f>
        <v>0</v>
      </c>
      <c r="I158" t="s">
        <v>5668</v>
      </c>
      <c r="J158" t="s">
        <v>1609</v>
      </c>
      <c r="K158" t="e">
        <f>VLOOKUP('Filtered Data'!A157,'Input 1 CMDB'!A:I,9,0)</f>
        <v>#N/A</v>
      </c>
      <c r="L158">
        <f>'Filtered Data'!K157</f>
        <v>0</v>
      </c>
      <c r="M158" t="e">
        <f t="shared" si="5"/>
        <v>#VALUE!</v>
      </c>
      <c r="N158">
        <f>'Filtered Data'!P157</f>
        <v>0</v>
      </c>
      <c r="O158">
        <f>'Filtered Data'!N157</f>
        <v>0</v>
      </c>
      <c r="P158" t="s">
        <v>5669</v>
      </c>
      <c r="Q158" t="str">
        <f>IF('Filtered Data'!W157,"ITHybridCloudEngineeringOperationsMgmt@Marathonpetroleum.com","mark.newman2@dxc.com")</f>
        <v>mark.newman2@dxc.com</v>
      </c>
      <c r="R158">
        <f t="shared" si="6"/>
        <v>0</v>
      </c>
      <c r="S158" s="31" t="s">
        <v>5738</v>
      </c>
      <c r="T158" t="s">
        <v>1381</v>
      </c>
      <c r="U158">
        <f>'Filtered Data'!V157</f>
        <v>0</v>
      </c>
      <c r="V158" t="str">
        <f>IF('Filtered Data'!W157,"yes","no")</f>
        <v>no</v>
      </c>
      <c r="W158" t="s">
        <v>15</v>
      </c>
      <c r="X158">
        <f>'Filtered Data'!X157</f>
        <v>0</v>
      </c>
    </row>
    <row r="159" spans="1:24" x14ac:dyDescent="0.35">
      <c r="A159">
        <f>'Filtered Data'!A158</f>
        <v>0</v>
      </c>
      <c r="B159">
        <f>'Filtered Data'!B158</f>
        <v>0</v>
      </c>
      <c r="C159" t="s">
        <v>2</v>
      </c>
      <c r="D159" t="e">
        <f>VLOOKUP('Filtered Data'!Z158,'Data Mapping'!$A$4:$B$7,2,0)</f>
        <v>#N/A</v>
      </c>
      <c r="E159" t="e">
        <f>VLOOKUP('Filtered Data'!C158,'Data Mapping'!$E$3:$F$97,2,0)</f>
        <v>#N/A</v>
      </c>
      <c r="F159">
        <f>'Filtered Data'!D158</f>
        <v>0</v>
      </c>
      <c r="G159" t="e">
        <f>VLOOKUP('Filtered Data'!E158,'Data Mapping'!$J$3:$K$11,2,0)</f>
        <v>#N/A</v>
      </c>
      <c r="H159">
        <f>'Filtered Data'!F158</f>
        <v>0</v>
      </c>
      <c r="I159" t="s">
        <v>5668</v>
      </c>
      <c r="J159" t="s">
        <v>1609</v>
      </c>
      <c r="K159" t="e">
        <f>VLOOKUP('Filtered Data'!A158,'Input 1 CMDB'!A:I,9,0)</f>
        <v>#N/A</v>
      </c>
      <c r="L159">
        <f>'Filtered Data'!K158</f>
        <v>0</v>
      </c>
      <c r="M159" t="e">
        <f t="shared" si="5"/>
        <v>#VALUE!</v>
      </c>
      <c r="N159">
        <f>'Filtered Data'!P158</f>
        <v>0</v>
      </c>
      <c r="O159">
        <f>'Filtered Data'!N158</f>
        <v>0</v>
      </c>
      <c r="P159" t="s">
        <v>5669</v>
      </c>
      <c r="Q159" t="str">
        <f>IF('Filtered Data'!W158,"ITHybridCloudEngineeringOperationsMgmt@Marathonpetroleum.com","mark.newman2@dxc.com")</f>
        <v>mark.newman2@dxc.com</v>
      </c>
      <c r="R159">
        <f t="shared" si="6"/>
        <v>0</v>
      </c>
      <c r="S159" s="31" t="s">
        <v>5738</v>
      </c>
      <c r="T159" t="s">
        <v>1381</v>
      </c>
      <c r="U159">
        <f>'Filtered Data'!V158</f>
        <v>0</v>
      </c>
      <c r="V159" t="str">
        <f>IF('Filtered Data'!W158,"yes","no")</f>
        <v>no</v>
      </c>
      <c r="W159" t="s">
        <v>15</v>
      </c>
      <c r="X159">
        <f>'Filtered Data'!X158</f>
        <v>0</v>
      </c>
    </row>
    <row r="160" spans="1:24" x14ac:dyDescent="0.35">
      <c r="A160">
        <f>'Filtered Data'!A159</f>
        <v>0</v>
      </c>
      <c r="B160">
        <f>'Filtered Data'!B159</f>
        <v>0</v>
      </c>
      <c r="C160" t="s">
        <v>2</v>
      </c>
      <c r="D160" t="e">
        <f>VLOOKUP('Filtered Data'!Z159,'Data Mapping'!$A$4:$B$7,2,0)</f>
        <v>#N/A</v>
      </c>
      <c r="E160" t="e">
        <f>VLOOKUP('Filtered Data'!C159,'Data Mapping'!$E$3:$F$97,2,0)</f>
        <v>#N/A</v>
      </c>
      <c r="F160">
        <f>'Filtered Data'!D159</f>
        <v>0</v>
      </c>
      <c r="G160" t="e">
        <f>VLOOKUP('Filtered Data'!E159,'Data Mapping'!$J$3:$K$11,2,0)</f>
        <v>#N/A</v>
      </c>
      <c r="H160">
        <f>'Filtered Data'!F159</f>
        <v>0</v>
      </c>
      <c r="I160" t="s">
        <v>5668</v>
      </c>
      <c r="J160" t="s">
        <v>1609</v>
      </c>
      <c r="K160" t="e">
        <f>VLOOKUP('Filtered Data'!A159,'Input 1 CMDB'!A:I,9,0)</f>
        <v>#N/A</v>
      </c>
      <c r="L160">
        <f>'Filtered Data'!K159</f>
        <v>0</v>
      </c>
      <c r="M160" t="e">
        <f t="shared" si="5"/>
        <v>#VALUE!</v>
      </c>
      <c r="N160">
        <f>'Filtered Data'!P159</f>
        <v>0</v>
      </c>
      <c r="O160">
        <f>'Filtered Data'!N159</f>
        <v>0</v>
      </c>
      <c r="P160" t="s">
        <v>5669</v>
      </c>
      <c r="Q160" t="str">
        <f>IF('Filtered Data'!W159,"ITHybridCloudEngineeringOperationsMgmt@Marathonpetroleum.com","mark.newman2@dxc.com")</f>
        <v>mark.newman2@dxc.com</v>
      </c>
      <c r="R160">
        <f t="shared" si="6"/>
        <v>0</v>
      </c>
      <c r="S160" s="31" t="s">
        <v>5738</v>
      </c>
      <c r="T160" t="s">
        <v>1381</v>
      </c>
      <c r="U160">
        <f>'Filtered Data'!V159</f>
        <v>0</v>
      </c>
      <c r="V160" t="str">
        <f>IF('Filtered Data'!W159,"yes","no")</f>
        <v>no</v>
      </c>
      <c r="W160" t="s">
        <v>15</v>
      </c>
      <c r="X160">
        <f>'Filtered Data'!X159</f>
        <v>0</v>
      </c>
    </row>
    <row r="161" spans="1:24" x14ac:dyDescent="0.35">
      <c r="A161">
        <f>'Filtered Data'!A160</f>
        <v>0</v>
      </c>
      <c r="B161">
        <f>'Filtered Data'!B160</f>
        <v>0</v>
      </c>
      <c r="C161" t="s">
        <v>2</v>
      </c>
      <c r="D161" t="e">
        <f>VLOOKUP('Filtered Data'!Z160,'Data Mapping'!$A$4:$B$7,2,0)</f>
        <v>#N/A</v>
      </c>
      <c r="E161" t="e">
        <f>VLOOKUP('Filtered Data'!C160,'Data Mapping'!$E$3:$F$97,2,0)</f>
        <v>#N/A</v>
      </c>
      <c r="F161">
        <f>'Filtered Data'!D160</f>
        <v>0</v>
      </c>
      <c r="G161" t="e">
        <f>VLOOKUP('Filtered Data'!E160,'Data Mapping'!$J$3:$K$11,2,0)</f>
        <v>#N/A</v>
      </c>
      <c r="H161">
        <f>'Filtered Data'!F160</f>
        <v>0</v>
      </c>
      <c r="I161" t="s">
        <v>5668</v>
      </c>
      <c r="J161" t="s">
        <v>1609</v>
      </c>
      <c r="K161" t="e">
        <f>VLOOKUP('Filtered Data'!A160,'Input 1 CMDB'!A:I,9,0)</f>
        <v>#N/A</v>
      </c>
      <c r="L161">
        <f>'Filtered Data'!K160</f>
        <v>0</v>
      </c>
      <c r="M161" t="e">
        <f t="shared" si="5"/>
        <v>#VALUE!</v>
      </c>
      <c r="N161">
        <f>'Filtered Data'!P160</f>
        <v>0</v>
      </c>
      <c r="O161">
        <f>'Filtered Data'!N160</f>
        <v>0</v>
      </c>
      <c r="P161" t="s">
        <v>5669</v>
      </c>
      <c r="Q161" t="str">
        <f>IF('Filtered Data'!W160,"ITHybridCloudEngineeringOperationsMgmt@Marathonpetroleum.com","mark.newman2@dxc.com")</f>
        <v>mark.newman2@dxc.com</v>
      </c>
      <c r="R161">
        <f t="shared" si="6"/>
        <v>0</v>
      </c>
      <c r="S161" s="31" t="s">
        <v>5738</v>
      </c>
      <c r="T161" t="s">
        <v>1381</v>
      </c>
      <c r="U161">
        <f>'Filtered Data'!V160</f>
        <v>0</v>
      </c>
      <c r="V161" t="str">
        <f>IF('Filtered Data'!W160,"yes","no")</f>
        <v>no</v>
      </c>
      <c r="W161" t="s">
        <v>15</v>
      </c>
      <c r="X161">
        <f>'Filtered Data'!X160</f>
        <v>0</v>
      </c>
    </row>
    <row r="162" spans="1:24" x14ac:dyDescent="0.35">
      <c r="A162">
        <f>'Filtered Data'!A161</f>
        <v>0</v>
      </c>
      <c r="B162">
        <f>'Filtered Data'!B161</f>
        <v>0</v>
      </c>
      <c r="C162" t="s">
        <v>2</v>
      </c>
      <c r="D162" t="e">
        <f>VLOOKUP('Filtered Data'!Z161,'Data Mapping'!$A$4:$B$7,2,0)</f>
        <v>#N/A</v>
      </c>
      <c r="E162" t="e">
        <f>VLOOKUP('Filtered Data'!C161,'Data Mapping'!$E$3:$F$97,2,0)</f>
        <v>#N/A</v>
      </c>
      <c r="F162">
        <f>'Filtered Data'!D161</f>
        <v>0</v>
      </c>
      <c r="G162" t="e">
        <f>VLOOKUP('Filtered Data'!E161,'Data Mapping'!$J$3:$K$11,2,0)</f>
        <v>#N/A</v>
      </c>
      <c r="H162">
        <f>'Filtered Data'!F161</f>
        <v>0</v>
      </c>
      <c r="I162" t="s">
        <v>5668</v>
      </c>
      <c r="J162" t="s">
        <v>1609</v>
      </c>
      <c r="K162" t="e">
        <f>VLOOKUP('Filtered Data'!A161,'Input 1 CMDB'!A:I,9,0)</f>
        <v>#N/A</v>
      </c>
      <c r="L162">
        <f>'Filtered Data'!K161</f>
        <v>0</v>
      </c>
      <c r="M162" t="e">
        <f t="shared" si="5"/>
        <v>#VALUE!</v>
      </c>
      <c r="N162">
        <f>'Filtered Data'!P161</f>
        <v>0</v>
      </c>
      <c r="O162">
        <f>'Filtered Data'!N161</f>
        <v>0</v>
      </c>
      <c r="P162" t="s">
        <v>5669</v>
      </c>
      <c r="Q162" t="str">
        <f>IF('Filtered Data'!W161,"ITHybridCloudEngineeringOperationsMgmt@Marathonpetroleum.com","mark.newman2@dxc.com")</f>
        <v>mark.newman2@dxc.com</v>
      </c>
      <c r="R162">
        <f t="shared" si="6"/>
        <v>0</v>
      </c>
      <c r="S162" s="31" t="s">
        <v>5738</v>
      </c>
      <c r="T162" t="s">
        <v>1381</v>
      </c>
      <c r="U162">
        <f>'Filtered Data'!V161</f>
        <v>0</v>
      </c>
      <c r="V162" t="str">
        <f>IF('Filtered Data'!W161,"yes","no")</f>
        <v>no</v>
      </c>
      <c r="W162" t="s">
        <v>15</v>
      </c>
      <c r="X162">
        <f>'Filtered Data'!X161</f>
        <v>0</v>
      </c>
    </row>
    <row r="163" spans="1:24" x14ac:dyDescent="0.35">
      <c r="A163">
        <f>'Filtered Data'!A162</f>
        <v>0</v>
      </c>
      <c r="B163">
        <f>'Filtered Data'!B162</f>
        <v>0</v>
      </c>
      <c r="C163" t="s">
        <v>2</v>
      </c>
      <c r="D163" t="e">
        <f>VLOOKUP('Filtered Data'!Z162,'Data Mapping'!$A$4:$B$7,2,0)</f>
        <v>#N/A</v>
      </c>
      <c r="E163" t="e">
        <f>VLOOKUP('Filtered Data'!C162,'Data Mapping'!$E$3:$F$97,2,0)</f>
        <v>#N/A</v>
      </c>
      <c r="F163">
        <f>'Filtered Data'!D162</f>
        <v>0</v>
      </c>
      <c r="G163" t="e">
        <f>VLOOKUP('Filtered Data'!E162,'Data Mapping'!$J$3:$K$11,2,0)</f>
        <v>#N/A</v>
      </c>
      <c r="H163">
        <f>'Filtered Data'!F162</f>
        <v>0</v>
      </c>
      <c r="I163" t="s">
        <v>5668</v>
      </c>
      <c r="J163" t="s">
        <v>1609</v>
      </c>
      <c r="K163" t="e">
        <f>VLOOKUP('Filtered Data'!A162,'Input 1 CMDB'!A:I,9,0)</f>
        <v>#N/A</v>
      </c>
      <c r="L163">
        <f>'Filtered Data'!K162</f>
        <v>0</v>
      </c>
      <c r="M163" t="e">
        <f t="shared" si="5"/>
        <v>#VALUE!</v>
      </c>
      <c r="N163">
        <f>'Filtered Data'!P162</f>
        <v>0</v>
      </c>
      <c r="O163">
        <f>'Filtered Data'!N162</f>
        <v>0</v>
      </c>
      <c r="P163" t="s">
        <v>5669</v>
      </c>
      <c r="Q163" t="str">
        <f>IF('Filtered Data'!W162,"ITHybridCloudEngineeringOperationsMgmt@Marathonpetroleum.com","mark.newman2@dxc.com")</f>
        <v>mark.newman2@dxc.com</v>
      </c>
      <c r="R163">
        <f t="shared" si="6"/>
        <v>0</v>
      </c>
      <c r="S163" s="31" t="s">
        <v>5738</v>
      </c>
      <c r="T163" t="s">
        <v>1381</v>
      </c>
      <c r="U163">
        <f>'Filtered Data'!V162</f>
        <v>0</v>
      </c>
      <c r="V163" t="str">
        <f>IF('Filtered Data'!W162,"yes","no")</f>
        <v>no</v>
      </c>
      <c r="W163" t="s">
        <v>15</v>
      </c>
      <c r="X163">
        <f>'Filtered Data'!X162</f>
        <v>0</v>
      </c>
    </row>
    <row r="164" spans="1:24" x14ac:dyDescent="0.35">
      <c r="A164">
        <f>'Filtered Data'!A163</f>
        <v>0</v>
      </c>
      <c r="B164">
        <f>'Filtered Data'!B163</f>
        <v>0</v>
      </c>
      <c r="C164" t="s">
        <v>2</v>
      </c>
      <c r="D164" t="e">
        <f>VLOOKUP('Filtered Data'!Z163,'Data Mapping'!$A$4:$B$7,2,0)</f>
        <v>#N/A</v>
      </c>
      <c r="E164" t="e">
        <f>VLOOKUP('Filtered Data'!C163,'Data Mapping'!$E$3:$F$97,2,0)</f>
        <v>#N/A</v>
      </c>
      <c r="F164">
        <f>'Filtered Data'!D163</f>
        <v>0</v>
      </c>
      <c r="G164" t="e">
        <f>VLOOKUP('Filtered Data'!E163,'Data Mapping'!$J$3:$K$11,2,0)</f>
        <v>#N/A</v>
      </c>
      <c r="H164">
        <f>'Filtered Data'!F163</f>
        <v>0</v>
      </c>
      <c r="I164" t="s">
        <v>5668</v>
      </c>
      <c r="J164" t="s">
        <v>1609</v>
      </c>
      <c r="K164" t="e">
        <f>VLOOKUP('Filtered Data'!A163,'Input 1 CMDB'!A:I,9,0)</f>
        <v>#N/A</v>
      </c>
      <c r="L164">
        <f>'Filtered Data'!K163</f>
        <v>0</v>
      </c>
      <c r="M164" t="e">
        <f t="shared" si="5"/>
        <v>#VALUE!</v>
      </c>
      <c r="N164">
        <f>'Filtered Data'!P163</f>
        <v>0</v>
      </c>
      <c r="O164">
        <f>'Filtered Data'!N163</f>
        <v>0</v>
      </c>
      <c r="P164" t="s">
        <v>5669</v>
      </c>
      <c r="Q164" t="str">
        <f>IF('Filtered Data'!W163,"ITHybridCloudEngineeringOperationsMgmt@Marathonpetroleum.com","mark.newman2@dxc.com")</f>
        <v>mark.newman2@dxc.com</v>
      </c>
      <c r="R164">
        <f t="shared" si="6"/>
        <v>0</v>
      </c>
      <c r="S164" s="31" t="s">
        <v>5738</v>
      </c>
      <c r="T164" t="s">
        <v>1381</v>
      </c>
      <c r="U164">
        <f>'Filtered Data'!V163</f>
        <v>0</v>
      </c>
      <c r="V164" t="str">
        <f>IF('Filtered Data'!W163,"yes","no")</f>
        <v>no</v>
      </c>
      <c r="W164" t="s">
        <v>15</v>
      </c>
      <c r="X164">
        <f>'Filtered Data'!X163</f>
        <v>0</v>
      </c>
    </row>
    <row r="165" spans="1:24" x14ac:dyDescent="0.35">
      <c r="A165">
        <f>'Filtered Data'!A164</f>
        <v>0</v>
      </c>
      <c r="B165">
        <f>'Filtered Data'!B164</f>
        <v>0</v>
      </c>
      <c r="C165" t="s">
        <v>2</v>
      </c>
      <c r="D165" t="e">
        <f>VLOOKUP('Filtered Data'!Z164,'Data Mapping'!$A$4:$B$7,2,0)</f>
        <v>#N/A</v>
      </c>
      <c r="E165" t="e">
        <f>VLOOKUP('Filtered Data'!C164,'Data Mapping'!$E$3:$F$97,2,0)</f>
        <v>#N/A</v>
      </c>
      <c r="F165">
        <f>'Filtered Data'!D164</f>
        <v>0</v>
      </c>
      <c r="G165" t="e">
        <f>VLOOKUP('Filtered Data'!E164,'Data Mapping'!$J$3:$K$11,2,0)</f>
        <v>#N/A</v>
      </c>
      <c r="H165">
        <f>'Filtered Data'!F164</f>
        <v>0</v>
      </c>
      <c r="I165" t="s">
        <v>5668</v>
      </c>
      <c r="J165" t="s">
        <v>1609</v>
      </c>
      <c r="K165" t="e">
        <f>VLOOKUP('Filtered Data'!A164,'Input 1 CMDB'!A:I,9,0)</f>
        <v>#N/A</v>
      </c>
      <c r="L165">
        <f>'Filtered Data'!K164</f>
        <v>0</v>
      </c>
      <c r="M165" t="e">
        <f t="shared" si="5"/>
        <v>#VALUE!</v>
      </c>
      <c r="N165">
        <f>'Filtered Data'!P164</f>
        <v>0</v>
      </c>
      <c r="O165">
        <f>'Filtered Data'!N164</f>
        <v>0</v>
      </c>
      <c r="P165" t="s">
        <v>5669</v>
      </c>
      <c r="Q165" t="str">
        <f>IF('Filtered Data'!W164,"ITHybridCloudEngineeringOperationsMgmt@Marathonpetroleum.com","mark.newman2@dxc.com")</f>
        <v>mark.newman2@dxc.com</v>
      </c>
      <c r="R165">
        <f t="shared" si="6"/>
        <v>0</v>
      </c>
      <c r="S165" s="31" t="s">
        <v>5738</v>
      </c>
      <c r="T165" t="s">
        <v>1381</v>
      </c>
      <c r="U165">
        <f>'Filtered Data'!V164</f>
        <v>0</v>
      </c>
      <c r="V165" t="str">
        <f>IF('Filtered Data'!W164,"yes","no")</f>
        <v>no</v>
      </c>
      <c r="W165" t="s">
        <v>15</v>
      </c>
      <c r="X165">
        <f>'Filtered Data'!X164</f>
        <v>0</v>
      </c>
    </row>
    <row r="166" spans="1:24" x14ac:dyDescent="0.35">
      <c r="A166">
        <f>'Filtered Data'!A165</f>
        <v>0</v>
      </c>
      <c r="B166">
        <f>'Filtered Data'!B165</f>
        <v>0</v>
      </c>
      <c r="C166" t="s">
        <v>2</v>
      </c>
      <c r="D166" t="e">
        <f>VLOOKUP('Filtered Data'!Z165,'Data Mapping'!$A$4:$B$7,2,0)</f>
        <v>#N/A</v>
      </c>
      <c r="E166" t="e">
        <f>VLOOKUP('Filtered Data'!C165,'Data Mapping'!$E$3:$F$97,2,0)</f>
        <v>#N/A</v>
      </c>
      <c r="F166">
        <f>'Filtered Data'!D165</f>
        <v>0</v>
      </c>
      <c r="G166" t="e">
        <f>VLOOKUP('Filtered Data'!E165,'Data Mapping'!$J$3:$K$11,2,0)</f>
        <v>#N/A</v>
      </c>
      <c r="H166">
        <f>'Filtered Data'!F165</f>
        <v>0</v>
      </c>
      <c r="I166" t="s">
        <v>5668</v>
      </c>
      <c r="J166" t="s">
        <v>1609</v>
      </c>
      <c r="K166" t="e">
        <f>VLOOKUP('Filtered Data'!A165,'Input 1 CMDB'!A:I,9,0)</f>
        <v>#N/A</v>
      </c>
      <c r="L166">
        <f>'Filtered Data'!K165</f>
        <v>0</v>
      </c>
      <c r="M166" t="e">
        <f t="shared" si="5"/>
        <v>#VALUE!</v>
      </c>
      <c r="N166">
        <f>'Filtered Data'!P165</f>
        <v>0</v>
      </c>
      <c r="O166">
        <f>'Filtered Data'!N165</f>
        <v>0</v>
      </c>
      <c r="P166" t="s">
        <v>5669</v>
      </c>
      <c r="Q166" t="str">
        <f>IF('Filtered Data'!W165,"ITHybridCloudEngineeringOperationsMgmt@Marathonpetroleum.com","mark.newman2@dxc.com")</f>
        <v>mark.newman2@dxc.com</v>
      </c>
      <c r="R166">
        <f t="shared" si="6"/>
        <v>0</v>
      </c>
      <c r="S166" s="31" t="s">
        <v>5738</v>
      </c>
      <c r="T166" t="s">
        <v>1381</v>
      </c>
      <c r="U166">
        <f>'Filtered Data'!V165</f>
        <v>0</v>
      </c>
      <c r="V166" t="str">
        <f>IF('Filtered Data'!W165,"yes","no")</f>
        <v>no</v>
      </c>
      <c r="W166" t="s">
        <v>15</v>
      </c>
      <c r="X166">
        <f>'Filtered Data'!X165</f>
        <v>0</v>
      </c>
    </row>
    <row r="167" spans="1:24" x14ac:dyDescent="0.35">
      <c r="A167">
        <f>'Filtered Data'!A166</f>
        <v>0</v>
      </c>
      <c r="B167">
        <f>'Filtered Data'!B166</f>
        <v>0</v>
      </c>
      <c r="C167" t="s">
        <v>2</v>
      </c>
      <c r="D167" t="e">
        <f>VLOOKUP('Filtered Data'!Z166,'Data Mapping'!$A$4:$B$7,2,0)</f>
        <v>#N/A</v>
      </c>
      <c r="E167" t="e">
        <f>VLOOKUP('Filtered Data'!C166,'Data Mapping'!$E$3:$F$97,2,0)</f>
        <v>#N/A</v>
      </c>
      <c r="F167">
        <f>'Filtered Data'!D166</f>
        <v>0</v>
      </c>
      <c r="G167" t="e">
        <f>VLOOKUP('Filtered Data'!E166,'Data Mapping'!$J$3:$K$11,2,0)</f>
        <v>#N/A</v>
      </c>
      <c r="H167">
        <f>'Filtered Data'!F166</f>
        <v>0</v>
      </c>
      <c r="I167" t="s">
        <v>5668</v>
      </c>
      <c r="J167" t="s">
        <v>1609</v>
      </c>
      <c r="K167" t="e">
        <f>VLOOKUP('Filtered Data'!A166,'Input 1 CMDB'!A:I,9,0)</f>
        <v>#N/A</v>
      </c>
      <c r="L167">
        <f>'Filtered Data'!K166</f>
        <v>0</v>
      </c>
      <c r="M167" t="e">
        <f t="shared" ref="M167:M230" si="7">MID(B167,FIND(".",B167)+1,(LEN(B167)-FIND(".",B167)))</f>
        <v>#VALUE!</v>
      </c>
      <c r="N167">
        <f>'Filtered Data'!P166</f>
        <v>0</v>
      </c>
      <c r="O167">
        <f>'Filtered Data'!N166</f>
        <v>0</v>
      </c>
      <c r="P167" t="s">
        <v>5669</v>
      </c>
      <c r="Q167" t="str">
        <f>IF('Filtered Data'!W166,"ITHybridCloudEngineeringOperationsMgmt@Marathonpetroleum.com","mark.newman2@dxc.com")</f>
        <v>mark.newman2@dxc.com</v>
      </c>
      <c r="R167">
        <f t="shared" ref="R167:R230" si="8">N167</f>
        <v>0</v>
      </c>
      <c r="S167" s="31" t="s">
        <v>5738</v>
      </c>
      <c r="T167" t="s">
        <v>1381</v>
      </c>
      <c r="U167">
        <f>'Filtered Data'!V166</f>
        <v>0</v>
      </c>
      <c r="V167" t="str">
        <f>IF('Filtered Data'!W166,"yes","no")</f>
        <v>no</v>
      </c>
      <c r="W167" t="s">
        <v>15</v>
      </c>
      <c r="X167">
        <f>'Filtered Data'!X166</f>
        <v>0</v>
      </c>
    </row>
    <row r="168" spans="1:24" x14ac:dyDescent="0.35">
      <c r="A168">
        <f>'Filtered Data'!A167</f>
        <v>0</v>
      </c>
      <c r="B168">
        <f>'Filtered Data'!B167</f>
        <v>0</v>
      </c>
      <c r="C168" t="s">
        <v>2</v>
      </c>
      <c r="D168" t="e">
        <f>VLOOKUP('Filtered Data'!Z167,'Data Mapping'!$A$4:$B$7,2,0)</f>
        <v>#N/A</v>
      </c>
      <c r="E168" t="e">
        <f>VLOOKUP('Filtered Data'!C167,'Data Mapping'!$E$3:$F$97,2,0)</f>
        <v>#N/A</v>
      </c>
      <c r="F168">
        <f>'Filtered Data'!D167</f>
        <v>0</v>
      </c>
      <c r="G168" t="e">
        <f>VLOOKUP('Filtered Data'!E167,'Data Mapping'!$J$3:$K$11,2,0)</f>
        <v>#N/A</v>
      </c>
      <c r="H168">
        <f>'Filtered Data'!F167</f>
        <v>0</v>
      </c>
      <c r="I168" t="s">
        <v>5668</v>
      </c>
      <c r="J168" t="s">
        <v>1609</v>
      </c>
      <c r="K168" t="e">
        <f>VLOOKUP('Filtered Data'!A167,'Input 1 CMDB'!A:I,9,0)</f>
        <v>#N/A</v>
      </c>
      <c r="L168">
        <f>'Filtered Data'!K167</f>
        <v>0</v>
      </c>
      <c r="M168" t="e">
        <f t="shared" si="7"/>
        <v>#VALUE!</v>
      </c>
      <c r="N168">
        <f>'Filtered Data'!P167</f>
        <v>0</v>
      </c>
      <c r="O168">
        <f>'Filtered Data'!N167</f>
        <v>0</v>
      </c>
      <c r="P168" t="s">
        <v>5669</v>
      </c>
      <c r="Q168" t="str">
        <f>IF('Filtered Data'!W167,"ITHybridCloudEngineeringOperationsMgmt@Marathonpetroleum.com","mark.newman2@dxc.com")</f>
        <v>mark.newman2@dxc.com</v>
      </c>
      <c r="R168">
        <f t="shared" si="8"/>
        <v>0</v>
      </c>
      <c r="S168" s="31" t="s">
        <v>5738</v>
      </c>
      <c r="T168" t="s">
        <v>1381</v>
      </c>
      <c r="U168">
        <f>'Filtered Data'!V167</f>
        <v>0</v>
      </c>
      <c r="V168" t="str">
        <f>IF('Filtered Data'!W167,"yes","no")</f>
        <v>no</v>
      </c>
      <c r="W168" t="s">
        <v>15</v>
      </c>
      <c r="X168">
        <f>'Filtered Data'!X167</f>
        <v>0</v>
      </c>
    </row>
    <row r="169" spans="1:24" x14ac:dyDescent="0.35">
      <c r="A169">
        <f>'Filtered Data'!A168</f>
        <v>0</v>
      </c>
      <c r="B169">
        <f>'Filtered Data'!B168</f>
        <v>0</v>
      </c>
      <c r="C169" t="s">
        <v>2</v>
      </c>
      <c r="D169" t="e">
        <f>VLOOKUP('Filtered Data'!Z168,'Data Mapping'!$A$4:$B$7,2,0)</f>
        <v>#N/A</v>
      </c>
      <c r="E169" t="e">
        <f>VLOOKUP('Filtered Data'!C168,'Data Mapping'!$E$3:$F$97,2,0)</f>
        <v>#N/A</v>
      </c>
      <c r="F169">
        <f>'Filtered Data'!D168</f>
        <v>0</v>
      </c>
      <c r="G169" t="e">
        <f>VLOOKUP('Filtered Data'!E168,'Data Mapping'!$J$3:$K$11,2,0)</f>
        <v>#N/A</v>
      </c>
      <c r="H169">
        <f>'Filtered Data'!F168</f>
        <v>0</v>
      </c>
      <c r="I169" t="s">
        <v>5668</v>
      </c>
      <c r="J169" t="s">
        <v>1609</v>
      </c>
      <c r="K169" t="e">
        <f>VLOOKUP('Filtered Data'!A168,'Input 1 CMDB'!A:I,9,0)</f>
        <v>#N/A</v>
      </c>
      <c r="L169">
        <f>'Filtered Data'!K168</f>
        <v>0</v>
      </c>
      <c r="M169" t="e">
        <f t="shared" si="7"/>
        <v>#VALUE!</v>
      </c>
      <c r="N169">
        <f>'Filtered Data'!P168</f>
        <v>0</v>
      </c>
      <c r="O169">
        <f>'Filtered Data'!N168</f>
        <v>0</v>
      </c>
      <c r="P169" t="s">
        <v>5669</v>
      </c>
      <c r="Q169" t="str">
        <f>IF('Filtered Data'!W168,"ITHybridCloudEngineeringOperationsMgmt@Marathonpetroleum.com","mark.newman2@dxc.com")</f>
        <v>mark.newman2@dxc.com</v>
      </c>
      <c r="R169">
        <f t="shared" si="8"/>
        <v>0</v>
      </c>
      <c r="S169" s="31" t="s">
        <v>5738</v>
      </c>
      <c r="T169" t="s">
        <v>1381</v>
      </c>
      <c r="U169">
        <f>'Filtered Data'!V168</f>
        <v>0</v>
      </c>
      <c r="V169" t="str">
        <f>IF('Filtered Data'!W168,"yes","no")</f>
        <v>no</v>
      </c>
      <c r="W169" t="s">
        <v>15</v>
      </c>
      <c r="X169">
        <f>'Filtered Data'!X168</f>
        <v>0</v>
      </c>
    </row>
    <row r="170" spans="1:24" x14ac:dyDescent="0.35">
      <c r="A170">
        <f>'Filtered Data'!A169</f>
        <v>0</v>
      </c>
      <c r="B170">
        <f>'Filtered Data'!B169</f>
        <v>0</v>
      </c>
      <c r="C170" t="s">
        <v>2</v>
      </c>
      <c r="D170" t="e">
        <f>VLOOKUP('Filtered Data'!Z169,'Data Mapping'!$A$4:$B$7,2,0)</f>
        <v>#N/A</v>
      </c>
      <c r="E170" t="e">
        <f>VLOOKUP('Filtered Data'!C169,'Data Mapping'!$E$3:$F$97,2,0)</f>
        <v>#N/A</v>
      </c>
      <c r="F170">
        <f>'Filtered Data'!D169</f>
        <v>0</v>
      </c>
      <c r="G170" t="e">
        <f>VLOOKUP('Filtered Data'!E169,'Data Mapping'!$J$3:$K$11,2,0)</f>
        <v>#N/A</v>
      </c>
      <c r="H170">
        <f>'Filtered Data'!F169</f>
        <v>0</v>
      </c>
      <c r="I170" t="s">
        <v>5668</v>
      </c>
      <c r="J170" t="s">
        <v>1609</v>
      </c>
      <c r="K170" t="e">
        <f>VLOOKUP('Filtered Data'!A169,'Input 1 CMDB'!A:I,9,0)</f>
        <v>#N/A</v>
      </c>
      <c r="L170">
        <f>'Filtered Data'!K169</f>
        <v>0</v>
      </c>
      <c r="M170" t="e">
        <f t="shared" si="7"/>
        <v>#VALUE!</v>
      </c>
      <c r="N170">
        <f>'Filtered Data'!P169</f>
        <v>0</v>
      </c>
      <c r="O170">
        <f>'Filtered Data'!N169</f>
        <v>0</v>
      </c>
      <c r="P170" t="s">
        <v>5669</v>
      </c>
      <c r="Q170" t="str">
        <f>IF('Filtered Data'!W169,"ITHybridCloudEngineeringOperationsMgmt@Marathonpetroleum.com","mark.newman2@dxc.com")</f>
        <v>mark.newman2@dxc.com</v>
      </c>
      <c r="R170">
        <f t="shared" si="8"/>
        <v>0</v>
      </c>
      <c r="S170" s="31" t="s">
        <v>5738</v>
      </c>
      <c r="T170" t="s">
        <v>1381</v>
      </c>
      <c r="U170">
        <f>'Filtered Data'!V169</f>
        <v>0</v>
      </c>
      <c r="V170" t="str">
        <f>IF('Filtered Data'!W169,"yes","no")</f>
        <v>no</v>
      </c>
      <c r="W170" t="s">
        <v>15</v>
      </c>
      <c r="X170">
        <f>'Filtered Data'!X169</f>
        <v>0</v>
      </c>
    </row>
    <row r="171" spans="1:24" x14ac:dyDescent="0.35">
      <c r="A171">
        <f>'Filtered Data'!A170</f>
        <v>0</v>
      </c>
      <c r="B171">
        <f>'Filtered Data'!B170</f>
        <v>0</v>
      </c>
      <c r="C171" t="s">
        <v>2</v>
      </c>
      <c r="D171" t="e">
        <f>VLOOKUP('Filtered Data'!Z170,'Data Mapping'!$A$4:$B$7,2,0)</f>
        <v>#N/A</v>
      </c>
      <c r="E171" t="e">
        <f>VLOOKUP('Filtered Data'!C170,'Data Mapping'!$E$3:$F$97,2,0)</f>
        <v>#N/A</v>
      </c>
      <c r="F171">
        <f>'Filtered Data'!D170</f>
        <v>0</v>
      </c>
      <c r="G171" t="e">
        <f>VLOOKUP('Filtered Data'!E170,'Data Mapping'!$J$3:$K$11,2,0)</f>
        <v>#N/A</v>
      </c>
      <c r="H171">
        <f>'Filtered Data'!F170</f>
        <v>0</v>
      </c>
      <c r="I171" t="s">
        <v>5668</v>
      </c>
      <c r="J171" t="s">
        <v>1609</v>
      </c>
      <c r="K171" t="e">
        <f>VLOOKUP('Filtered Data'!A170,'Input 1 CMDB'!A:I,9,0)</f>
        <v>#N/A</v>
      </c>
      <c r="L171">
        <f>'Filtered Data'!K170</f>
        <v>0</v>
      </c>
      <c r="M171" t="e">
        <f t="shared" si="7"/>
        <v>#VALUE!</v>
      </c>
      <c r="N171">
        <f>'Filtered Data'!P170</f>
        <v>0</v>
      </c>
      <c r="O171">
        <f>'Filtered Data'!N170</f>
        <v>0</v>
      </c>
      <c r="P171" t="s">
        <v>5669</v>
      </c>
      <c r="Q171" t="str">
        <f>IF('Filtered Data'!W170,"ITHybridCloudEngineeringOperationsMgmt@Marathonpetroleum.com","mark.newman2@dxc.com")</f>
        <v>mark.newman2@dxc.com</v>
      </c>
      <c r="R171">
        <f t="shared" si="8"/>
        <v>0</v>
      </c>
      <c r="S171" s="31" t="s">
        <v>5738</v>
      </c>
      <c r="T171" t="s">
        <v>1381</v>
      </c>
      <c r="U171">
        <f>'Filtered Data'!V170</f>
        <v>0</v>
      </c>
      <c r="V171" t="str">
        <f>IF('Filtered Data'!W170,"yes","no")</f>
        <v>no</v>
      </c>
      <c r="W171" t="s">
        <v>15</v>
      </c>
      <c r="X171">
        <f>'Filtered Data'!X170</f>
        <v>0</v>
      </c>
    </row>
    <row r="172" spans="1:24" x14ac:dyDescent="0.35">
      <c r="A172">
        <f>'Filtered Data'!A171</f>
        <v>0</v>
      </c>
      <c r="B172">
        <f>'Filtered Data'!B171</f>
        <v>0</v>
      </c>
      <c r="C172" t="s">
        <v>2</v>
      </c>
      <c r="D172" t="e">
        <f>VLOOKUP('Filtered Data'!Z171,'Data Mapping'!$A$4:$B$7,2,0)</f>
        <v>#N/A</v>
      </c>
      <c r="E172" t="e">
        <f>VLOOKUP('Filtered Data'!C171,'Data Mapping'!$E$3:$F$97,2,0)</f>
        <v>#N/A</v>
      </c>
      <c r="F172">
        <f>'Filtered Data'!D171</f>
        <v>0</v>
      </c>
      <c r="G172" t="e">
        <f>VLOOKUP('Filtered Data'!E171,'Data Mapping'!$J$3:$K$11,2,0)</f>
        <v>#N/A</v>
      </c>
      <c r="H172">
        <f>'Filtered Data'!F171</f>
        <v>0</v>
      </c>
      <c r="I172" t="s">
        <v>5668</v>
      </c>
      <c r="J172" t="s">
        <v>1609</v>
      </c>
      <c r="K172" t="e">
        <f>VLOOKUP('Filtered Data'!A171,'Input 1 CMDB'!A:I,9,0)</f>
        <v>#N/A</v>
      </c>
      <c r="L172">
        <f>'Filtered Data'!K171</f>
        <v>0</v>
      </c>
      <c r="M172" t="e">
        <f t="shared" si="7"/>
        <v>#VALUE!</v>
      </c>
      <c r="N172">
        <f>'Filtered Data'!P171</f>
        <v>0</v>
      </c>
      <c r="O172">
        <f>'Filtered Data'!N171</f>
        <v>0</v>
      </c>
      <c r="P172" t="s">
        <v>5669</v>
      </c>
      <c r="Q172" t="str">
        <f>IF('Filtered Data'!W171,"ITHybridCloudEngineeringOperationsMgmt@Marathonpetroleum.com","mark.newman2@dxc.com")</f>
        <v>mark.newman2@dxc.com</v>
      </c>
      <c r="R172">
        <f t="shared" si="8"/>
        <v>0</v>
      </c>
      <c r="S172" s="31" t="s">
        <v>5738</v>
      </c>
      <c r="T172" t="s">
        <v>1381</v>
      </c>
      <c r="U172">
        <f>'Filtered Data'!V171</f>
        <v>0</v>
      </c>
      <c r="V172" t="str">
        <f>IF('Filtered Data'!W171,"yes","no")</f>
        <v>no</v>
      </c>
      <c r="W172" t="s">
        <v>15</v>
      </c>
      <c r="X172">
        <f>'Filtered Data'!X171</f>
        <v>0</v>
      </c>
    </row>
    <row r="173" spans="1:24" x14ac:dyDescent="0.35">
      <c r="A173">
        <f>'Filtered Data'!A172</f>
        <v>0</v>
      </c>
      <c r="B173">
        <f>'Filtered Data'!B172</f>
        <v>0</v>
      </c>
      <c r="C173" t="s">
        <v>2</v>
      </c>
      <c r="D173" t="e">
        <f>VLOOKUP('Filtered Data'!Z172,'Data Mapping'!$A$4:$B$7,2,0)</f>
        <v>#N/A</v>
      </c>
      <c r="E173" t="e">
        <f>VLOOKUP('Filtered Data'!C172,'Data Mapping'!$E$3:$F$97,2,0)</f>
        <v>#N/A</v>
      </c>
      <c r="F173">
        <f>'Filtered Data'!D172</f>
        <v>0</v>
      </c>
      <c r="G173" t="e">
        <f>VLOOKUP('Filtered Data'!E172,'Data Mapping'!$J$3:$K$11,2,0)</f>
        <v>#N/A</v>
      </c>
      <c r="H173">
        <f>'Filtered Data'!F172</f>
        <v>0</v>
      </c>
      <c r="I173" t="s">
        <v>5668</v>
      </c>
      <c r="J173" t="s">
        <v>1609</v>
      </c>
      <c r="K173" t="e">
        <f>VLOOKUP('Filtered Data'!A172,'Input 1 CMDB'!A:I,9,0)</f>
        <v>#N/A</v>
      </c>
      <c r="L173">
        <f>'Filtered Data'!K172</f>
        <v>0</v>
      </c>
      <c r="M173" t="e">
        <f t="shared" si="7"/>
        <v>#VALUE!</v>
      </c>
      <c r="N173">
        <f>'Filtered Data'!P172</f>
        <v>0</v>
      </c>
      <c r="O173">
        <f>'Filtered Data'!N172</f>
        <v>0</v>
      </c>
      <c r="P173" t="s">
        <v>5669</v>
      </c>
      <c r="Q173" t="str">
        <f>IF('Filtered Data'!W172,"ITHybridCloudEngineeringOperationsMgmt@Marathonpetroleum.com","mark.newman2@dxc.com")</f>
        <v>mark.newman2@dxc.com</v>
      </c>
      <c r="R173">
        <f t="shared" si="8"/>
        <v>0</v>
      </c>
      <c r="S173" s="31" t="s">
        <v>5738</v>
      </c>
      <c r="T173" t="s">
        <v>1381</v>
      </c>
      <c r="U173">
        <f>'Filtered Data'!V172</f>
        <v>0</v>
      </c>
      <c r="V173" t="str">
        <f>IF('Filtered Data'!W172,"yes","no")</f>
        <v>no</v>
      </c>
      <c r="W173" t="s">
        <v>15</v>
      </c>
      <c r="X173">
        <f>'Filtered Data'!X172</f>
        <v>0</v>
      </c>
    </row>
    <row r="174" spans="1:24" x14ac:dyDescent="0.35">
      <c r="A174">
        <f>'Filtered Data'!A173</f>
        <v>0</v>
      </c>
      <c r="B174">
        <f>'Filtered Data'!B173</f>
        <v>0</v>
      </c>
      <c r="C174" t="s">
        <v>2</v>
      </c>
      <c r="D174" t="e">
        <f>VLOOKUP('Filtered Data'!Z173,'Data Mapping'!$A$4:$B$7,2,0)</f>
        <v>#N/A</v>
      </c>
      <c r="E174" t="e">
        <f>VLOOKUP('Filtered Data'!C173,'Data Mapping'!$E$3:$F$97,2,0)</f>
        <v>#N/A</v>
      </c>
      <c r="F174">
        <f>'Filtered Data'!D173</f>
        <v>0</v>
      </c>
      <c r="G174" t="e">
        <f>VLOOKUP('Filtered Data'!E173,'Data Mapping'!$J$3:$K$11,2,0)</f>
        <v>#N/A</v>
      </c>
      <c r="H174">
        <f>'Filtered Data'!F173</f>
        <v>0</v>
      </c>
      <c r="I174" t="s">
        <v>5668</v>
      </c>
      <c r="J174" t="s">
        <v>1609</v>
      </c>
      <c r="K174" t="e">
        <f>VLOOKUP('Filtered Data'!A173,'Input 1 CMDB'!A:I,9,0)</f>
        <v>#N/A</v>
      </c>
      <c r="L174">
        <f>'Filtered Data'!K173</f>
        <v>0</v>
      </c>
      <c r="M174" t="e">
        <f t="shared" si="7"/>
        <v>#VALUE!</v>
      </c>
      <c r="N174">
        <f>'Filtered Data'!P173</f>
        <v>0</v>
      </c>
      <c r="O174">
        <f>'Filtered Data'!N173</f>
        <v>0</v>
      </c>
      <c r="P174" t="s">
        <v>5669</v>
      </c>
      <c r="Q174" t="str">
        <f>IF('Filtered Data'!W173,"ITHybridCloudEngineeringOperationsMgmt@Marathonpetroleum.com","mark.newman2@dxc.com")</f>
        <v>mark.newman2@dxc.com</v>
      </c>
      <c r="R174">
        <f t="shared" si="8"/>
        <v>0</v>
      </c>
      <c r="S174" s="31" t="s">
        <v>5738</v>
      </c>
      <c r="T174" t="s">
        <v>1381</v>
      </c>
      <c r="U174">
        <f>'Filtered Data'!V173</f>
        <v>0</v>
      </c>
      <c r="V174" t="str">
        <f>IF('Filtered Data'!W173,"yes","no")</f>
        <v>no</v>
      </c>
      <c r="W174" t="s">
        <v>15</v>
      </c>
      <c r="X174">
        <f>'Filtered Data'!X173</f>
        <v>0</v>
      </c>
    </row>
    <row r="175" spans="1:24" x14ac:dyDescent="0.35">
      <c r="A175">
        <f>'Filtered Data'!A174</f>
        <v>0</v>
      </c>
      <c r="B175">
        <f>'Filtered Data'!B174</f>
        <v>0</v>
      </c>
      <c r="C175" t="s">
        <v>2</v>
      </c>
      <c r="D175" t="e">
        <f>VLOOKUP('Filtered Data'!Z174,'Data Mapping'!$A$4:$B$7,2,0)</f>
        <v>#N/A</v>
      </c>
      <c r="E175" t="e">
        <f>VLOOKUP('Filtered Data'!C174,'Data Mapping'!$E$3:$F$97,2,0)</f>
        <v>#N/A</v>
      </c>
      <c r="F175">
        <f>'Filtered Data'!D174</f>
        <v>0</v>
      </c>
      <c r="G175" t="e">
        <f>VLOOKUP('Filtered Data'!E174,'Data Mapping'!$J$3:$K$11,2,0)</f>
        <v>#N/A</v>
      </c>
      <c r="H175">
        <f>'Filtered Data'!F174</f>
        <v>0</v>
      </c>
      <c r="I175" t="s">
        <v>5668</v>
      </c>
      <c r="J175" t="s">
        <v>1609</v>
      </c>
      <c r="K175" t="e">
        <f>VLOOKUP('Filtered Data'!A174,'Input 1 CMDB'!A:I,9,0)</f>
        <v>#N/A</v>
      </c>
      <c r="L175">
        <f>'Filtered Data'!K174</f>
        <v>0</v>
      </c>
      <c r="M175" t="e">
        <f t="shared" si="7"/>
        <v>#VALUE!</v>
      </c>
      <c r="N175">
        <f>'Filtered Data'!P174</f>
        <v>0</v>
      </c>
      <c r="O175">
        <f>'Filtered Data'!N174</f>
        <v>0</v>
      </c>
      <c r="P175" t="s">
        <v>5669</v>
      </c>
      <c r="Q175" t="str">
        <f>IF('Filtered Data'!W174,"ITHybridCloudEngineeringOperationsMgmt@Marathonpetroleum.com","mark.newman2@dxc.com")</f>
        <v>mark.newman2@dxc.com</v>
      </c>
      <c r="R175">
        <f t="shared" si="8"/>
        <v>0</v>
      </c>
      <c r="S175" s="31" t="s">
        <v>5738</v>
      </c>
      <c r="T175" t="s">
        <v>1381</v>
      </c>
      <c r="U175">
        <f>'Filtered Data'!V174</f>
        <v>0</v>
      </c>
      <c r="V175" t="str">
        <f>IF('Filtered Data'!W174,"yes","no")</f>
        <v>no</v>
      </c>
      <c r="W175" t="s">
        <v>15</v>
      </c>
      <c r="X175">
        <f>'Filtered Data'!X174</f>
        <v>0</v>
      </c>
    </row>
    <row r="176" spans="1:24" x14ac:dyDescent="0.35">
      <c r="A176">
        <f>'Filtered Data'!A175</f>
        <v>0</v>
      </c>
      <c r="B176">
        <f>'Filtered Data'!B175</f>
        <v>0</v>
      </c>
      <c r="C176" t="s">
        <v>2</v>
      </c>
      <c r="D176" t="e">
        <f>VLOOKUP('Filtered Data'!Z175,'Data Mapping'!$A$4:$B$7,2,0)</f>
        <v>#N/A</v>
      </c>
      <c r="E176" t="e">
        <f>VLOOKUP('Filtered Data'!C175,'Data Mapping'!$E$3:$F$97,2,0)</f>
        <v>#N/A</v>
      </c>
      <c r="F176">
        <f>'Filtered Data'!D175</f>
        <v>0</v>
      </c>
      <c r="G176" t="e">
        <f>VLOOKUP('Filtered Data'!E175,'Data Mapping'!$J$3:$K$11,2,0)</f>
        <v>#N/A</v>
      </c>
      <c r="H176">
        <f>'Filtered Data'!F175</f>
        <v>0</v>
      </c>
      <c r="I176" t="s">
        <v>5668</v>
      </c>
      <c r="J176" t="s">
        <v>1609</v>
      </c>
      <c r="K176" t="e">
        <f>VLOOKUP('Filtered Data'!A175,'Input 1 CMDB'!A:I,9,0)</f>
        <v>#N/A</v>
      </c>
      <c r="L176">
        <f>'Filtered Data'!K175</f>
        <v>0</v>
      </c>
      <c r="M176" t="e">
        <f t="shared" si="7"/>
        <v>#VALUE!</v>
      </c>
      <c r="N176">
        <f>'Filtered Data'!P175</f>
        <v>0</v>
      </c>
      <c r="O176">
        <f>'Filtered Data'!N175</f>
        <v>0</v>
      </c>
      <c r="P176" t="s">
        <v>5669</v>
      </c>
      <c r="Q176" t="str">
        <f>IF('Filtered Data'!W175,"ITHybridCloudEngineeringOperationsMgmt@Marathonpetroleum.com","mark.newman2@dxc.com")</f>
        <v>mark.newman2@dxc.com</v>
      </c>
      <c r="R176">
        <f t="shared" si="8"/>
        <v>0</v>
      </c>
      <c r="S176" s="31" t="s">
        <v>5738</v>
      </c>
      <c r="T176" t="s">
        <v>1381</v>
      </c>
      <c r="U176">
        <f>'Filtered Data'!V175</f>
        <v>0</v>
      </c>
      <c r="V176" t="str">
        <f>IF('Filtered Data'!W175,"yes","no")</f>
        <v>no</v>
      </c>
      <c r="W176" t="s">
        <v>15</v>
      </c>
      <c r="X176">
        <f>'Filtered Data'!X175</f>
        <v>0</v>
      </c>
    </row>
    <row r="177" spans="1:24" x14ac:dyDescent="0.35">
      <c r="A177">
        <f>'Filtered Data'!A176</f>
        <v>0</v>
      </c>
      <c r="B177">
        <f>'Filtered Data'!B176</f>
        <v>0</v>
      </c>
      <c r="C177" t="s">
        <v>2</v>
      </c>
      <c r="D177" t="e">
        <f>VLOOKUP('Filtered Data'!Z176,'Data Mapping'!$A$4:$B$7,2,0)</f>
        <v>#N/A</v>
      </c>
      <c r="E177" t="e">
        <f>VLOOKUP('Filtered Data'!C176,'Data Mapping'!$E$3:$F$97,2,0)</f>
        <v>#N/A</v>
      </c>
      <c r="F177">
        <f>'Filtered Data'!D176</f>
        <v>0</v>
      </c>
      <c r="G177" t="e">
        <f>VLOOKUP('Filtered Data'!E176,'Data Mapping'!$J$3:$K$11,2,0)</f>
        <v>#N/A</v>
      </c>
      <c r="H177">
        <f>'Filtered Data'!F176</f>
        <v>0</v>
      </c>
      <c r="I177" t="s">
        <v>5668</v>
      </c>
      <c r="J177" t="s">
        <v>1609</v>
      </c>
      <c r="K177" t="e">
        <f>VLOOKUP('Filtered Data'!A176,'Input 1 CMDB'!A:I,9,0)</f>
        <v>#N/A</v>
      </c>
      <c r="L177">
        <f>'Filtered Data'!K176</f>
        <v>0</v>
      </c>
      <c r="M177" t="e">
        <f t="shared" si="7"/>
        <v>#VALUE!</v>
      </c>
      <c r="N177">
        <f>'Filtered Data'!P176</f>
        <v>0</v>
      </c>
      <c r="O177">
        <f>'Filtered Data'!N176</f>
        <v>0</v>
      </c>
      <c r="P177" t="s">
        <v>5669</v>
      </c>
      <c r="Q177" t="str">
        <f>IF('Filtered Data'!W176,"ITHybridCloudEngineeringOperationsMgmt@Marathonpetroleum.com","mark.newman2@dxc.com")</f>
        <v>mark.newman2@dxc.com</v>
      </c>
      <c r="R177">
        <f t="shared" si="8"/>
        <v>0</v>
      </c>
      <c r="S177" s="31" t="s">
        <v>5738</v>
      </c>
      <c r="T177" t="s">
        <v>1381</v>
      </c>
      <c r="U177">
        <f>'Filtered Data'!V176</f>
        <v>0</v>
      </c>
      <c r="V177" t="str">
        <f>IF('Filtered Data'!W176,"yes","no")</f>
        <v>no</v>
      </c>
      <c r="W177" t="s">
        <v>15</v>
      </c>
      <c r="X177">
        <f>'Filtered Data'!X176</f>
        <v>0</v>
      </c>
    </row>
    <row r="178" spans="1:24" x14ac:dyDescent="0.35">
      <c r="A178">
        <f>'Filtered Data'!A177</f>
        <v>0</v>
      </c>
      <c r="B178">
        <f>'Filtered Data'!B177</f>
        <v>0</v>
      </c>
      <c r="C178" t="s">
        <v>2</v>
      </c>
      <c r="D178" t="e">
        <f>VLOOKUP('Filtered Data'!Z177,'Data Mapping'!$A$4:$B$7,2,0)</f>
        <v>#N/A</v>
      </c>
      <c r="E178" t="e">
        <f>VLOOKUP('Filtered Data'!C177,'Data Mapping'!$E$3:$F$97,2,0)</f>
        <v>#N/A</v>
      </c>
      <c r="F178">
        <f>'Filtered Data'!D177</f>
        <v>0</v>
      </c>
      <c r="G178" t="e">
        <f>VLOOKUP('Filtered Data'!E177,'Data Mapping'!$J$3:$K$11,2,0)</f>
        <v>#N/A</v>
      </c>
      <c r="H178">
        <f>'Filtered Data'!F177</f>
        <v>0</v>
      </c>
      <c r="I178" t="s">
        <v>5668</v>
      </c>
      <c r="J178" t="s">
        <v>1609</v>
      </c>
      <c r="K178" t="e">
        <f>VLOOKUP('Filtered Data'!A177,'Input 1 CMDB'!A:I,9,0)</f>
        <v>#N/A</v>
      </c>
      <c r="L178">
        <f>'Filtered Data'!K177</f>
        <v>0</v>
      </c>
      <c r="M178" t="e">
        <f t="shared" si="7"/>
        <v>#VALUE!</v>
      </c>
      <c r="N178">
        <f>'Filtered Data'!P177</f>
        <v>0</v>
      </c>
      <c r="O178">
        <f>'Filtered Data'!N177</f>
        <v>0</v>
      </c>
      <c r="P178" t="s">
        <v>5669</v>
      </c>
      <c r="Q178" t="str">
        <f>IF('Filtered Data'!W177,"ITHybridCloudEngineeringOperationsMgmt@Marathonpetroleum.com","mark.newman2@dxc.com")</f>
        <v>mark.newman2@dxc.com</v>
      </c>
      <c r="R178">
        <f t="shared" si="8"/>
        <v>0</v>
      </c>
      <c r="S178" s="31" t="s">
        <v>5738</v>
      </c>
      <c r="T178" t="s">
        <v>1381</v>
      </c>
      <c r="U178">
        <f>'Filtered Data'!V177</f>
        <v>0</v>
      </c>
      <c r="V178" t="str">
        <f>IF('Filtered Data'!W177,"yes","no")</f>
        <v>no</v>
      </c>
      <c r="W178" t="s">
        <v>15</v>
      </c>
      <c r="X178">
        <f>'Filtered Data'!X177</f>
        <v>0</v>
      </c>
    </row>
    <row r="179" spans="1:24" x14ac:dyDescent="0.35">
      <c r="A179">
        <f>'Filtered Data'!A178</f>
        <v>0</v>
      </c>
      <c r="B179">
        <f>'Filtered Data'!B178</f>
        <v>0</v>
      </c>
      <c r="C179" t="s">
        <v>2</v>
      </c>
      <c r="D179" t="e">
        <f>VLOOKUP('Filtered Data'!Z178,'Data Mapping'!$A$4:$B$7,2,0)</f>
        <v>#N/A</v>
      </c>
      <c r="E179" t="e">
        <f>VLOOKUP('Filtered Data'!C178,'Data Mapping'!$E$3:$F$97,2,0)</f>
        <v>#N/A</v>
      </c>
      <c r="F179">
        <f>'Filtered Data'!D178</f>
        <v>0</v>
      </c>
      <c r="G179" t="e">
        <f>VLOOKUP('Filtered Data'!E178,'Data Mapping'!$J$3:$K$11,2,0)</f>
        <v>#N/A</v>
      </c>
      <c r="H179">
        <f>'Filtered Data'!F178</f>
        <v>0</v>
      </c>
      <c r="I179" t="s">
        <v>5668</v>
      </c>
      <c r="J179" t="s">
        <v>1609</v>
      </c>
      <c r="K179" t="e">
        <f>VLOOKUP('Filtered Data'!A178,'Input 1 CMDB'!A:I,9,0)</f>
        <v>#N/A</v>
      </c>
      <c r="L179">
        <f>'Filtered Data'!K178</f>
        <v>0</v>
      </c>
      <c r="M179" t="e">
        <f t="shared" si="7"/>
        <v>#VALUE!</v>
      </c>
      <c r="N179">
        <f>'Filtered Data'!P178</f>
        <v>0</v>
      </c>
      <c r="O179">
        <f>'Filtered Data'!N178</f>
        <v>0</v>
      </c>
      <c r="P179" t="s">
        <v>5669</v>
      </c>
      <c r="Q179" t="str">
        <f>IF('Filtered Data'!W178,"ITHybridCloudEngineeringOperationsMgmt@Marathonpetroleum.com","mark.newman2@dxc.com")</f>
        <v>mark.newman2@dxc.com</v>
      </c>
      <c r="R179">
        <f t="shared" si="8"/>
        <v>0</v>
      </c>
      <c r="S179" s="31" t="s">
        <v>5738</v>
      </c>
      <c r="T179" t="s">
        <v>1381</v>
      </c>
      <c r="U179">
        <f>'Filtered Data'!V178</f>
        <v>0</v>
      </c>
      <c r="V179" t="str">
        <f>IF('Filtered Data'!W178,"yes","no")</f>
        <v>no</v>
      </c>
      <c r="W179" t="s">
        <v>15</v>
      </c>
      <c r="X179">
        <f>'Filtered Data'!X178</f>
        <v>0</v>
      </c>
    </row>
    <row r="180" spans="1:24" x14ac:dyDescent="0.35">
      <c r="A180">
        <f>'Filtered Data'!A179</f>
        <v>0</v>
      </c>
      <c r="B180">
        <f>'Filtered Data'!B179</f>
        <v>0</v>
      </c>
      <c r="C180" t="s">
        <v>2</v>
      </c>
      <c r="D180" t="e">
        <f>VLOOKUP('Filtered Data'!Z179,'Data Mapping'!$A$4:$B$7,2,0)</f>
        <v>#N/A</v>
      </c>
      <c r="E180" t="e">
        <f>VLOOKUP('Filtered Data'!C179,'Data Mapping'!$E$3:$F$97,2,0)</f>
        <v>#N/A</v>
      </c>
      <c r="F180">
        <f>'Filtered Data'!D179</f>
        <v>0</v>
      </c>
      <c r="G180" t="e">
        <f>VLOOKUP('Filtered Data'!E179,'Data Mapping'!$J$3:$K$11,2,0)</f>
        <v>#N/A</v>
      </c>
      <c r="H180">
        <f>'Filtered Data'!F179</f>
        <v>0</v>
      </c>
      <c r="I180" t="s">
        <v>5668</v>
      </c>
      <c r="J180" t="s">
        <v>1609</v>
      </c>
      <c r="K180" t="e">
        <f>VLOOKUP('Filtered Data'!A179,'Input 1 CMDB'!A:I,9,0)</f>
        <v>#N/A</v>
      </c>
      <c r="L180">
        <f>'Filtered Data'!K179</f>
        <v>0</v>
      </c>
      <c r="M180" t="e">
        <f t="shared" si="7"/>
        <v>#VALUE!</v>
      </c>
      <c r="N180">
        <f>'Filtered Data'!P179</f>
        <v>0</v>
      </c>
      <c r="O180">
        <f>'Filtered Data'!N179</f>
        <v>0</v>
      </c>
      <c r="P180" t="s">
        <v>5669</v>
      </c>
      <c r="Q180" t="str">
        <f>IF('Filtered Data'!W179,"ITHybridCloudEngineeringOperationsMgmt@Marathonpetroleum.com","mark.newman2@dxc.com")</f>
        <v>mark.newman2@dxc.com</v>
      </c>
      <c r="R180">
        <f t="shared" si="8"/>
        <v>0</v>
      </c>
      <c r="S180" s="31" t="s">
        <v>5738</v>
      </c>
      <c r="T180" t="s">
        <v>1381</v>
      </c>
      <c r="U180">
        <f>'Filtered Data'!V179</f>
        <v>0</v>
      </c>
      <c r="V180" t="str">
        <f>IF('Filtered Data'!W179,"yes","no")</f>
        <v>no</v>
      </c>
      <c r="W180" t="s">
        <v>15</v>
      </c>
      <c r="X180">
        <f>'Filtered Data'!X179</f>
        <v>0</v>
      </c>
    </row>
    <row r="181" spans="1:24" x14ac:dyDescent="0.35">
      <c r="A181">
        <f>'Filtered Data'!A180</f>
        <v>0</v>
      </c>
      <c r="B181">
        <f>'Filtered Data'!B180</f>
        <v>0</v>
      </c>
      <c r="C181" t="s">
        <v>2</v>
      </c>
      <c r="D181" t="e">
        <f>VLOOKUP('Filtered Data'!Z180,'Data Mapping'!$A$4:$B$7,2,0)</f>
        <v>#N/A</v>
      </c>
      <c r="E181" t="e">
        <f>VLOOKUP('Filtered Data'!C180,'Data Mapping'!$E$3:$F$97,2,0)</f>
        <v>#N/A</v>
      </c>
      <c r="F181">
        <f>'Filtered Data'!D180</f>
        <v>0</v>
      </c>
      <c r="G181" t="e">
        <f>VLOOKUP('Filtered Data'!E180,'Data Mapping'!$J$3:$K$11,2,0)</f>
        <v>#N/A</v>
      </c>
      <c r="H181">
        <f>'Filtered Data'!F180</f>
        <v>0</v>
      </c>
      <c r="I181" t="s">
        <v>5668</v>
      </c>
      <c r="J181" t="s">
        <v>1609</v>
      </c>
      <c r="K181" t="e">
        <f>VLOOKUP('Filtered Data'!A180,'Input 1 CMDB'!A:I,9,0)</f>
        <v>#N/A</v>
      </c>
      <c r="L181">
        <f>'Filtered Data'!K180</f>
        <v>0</v>
      </c>
      <c r="M181" t="e">
        <f t="shared" si="7"/>
        <v>#VALUE!</v>
      </c>
      <c r="N181">
        <f>'Filtered Data'!P180</f>
        <v>0</v>
      </c>
      <c r="O181">
        <f>'Filtered Data'!N180</f>
        <v>0</v>
      </c>
      <c r="P181" t="s">
        <v>5669</v>
      </c>
      <c r="Q181" t="str">
        <f>IF('Filtered Data'!W180,"ITHybridCloudEngineeringOperationsMgmt@Marathonpetroleum.com","mark.newman2@dxc.com")</f>
        <v>mark.newman2@dxc.com</v>
      </c>
      <c r="R181">
        <f t="shared" si="8"/>
        <v>0</v>
      </c>
      <c r="S181" s="31" t="s">
        <v>5738</v>
      </c>
      <c r="T181" t="s">
        <v>1381</v>
      </c>
      <c r="U181">
        <f>'Filtered Data'!V180</f>
        <v>0</v>
      </c>
      <c r="V181" t="str">
        <f>IF('Filtered Data'!W180,"yes","no")</f>
        <v>no</v>
      </c>
      <c r="W181" t="s">
        <v>15</v>
      </c>
      <c r="X181">
        <f>'Filtered Data'!X180</f>
        <v>0</v>
      </c>
    </row>
    <row r="182" spans="1:24" x14ac:dyDescent="0.35">
      <c r="A182">
        <f>'Filtered Data'!A181</f>
        <v>0</v>
      </c>
      <c r="B182">
        <f>'Filtered Data'!B181</f>
        <v>0</v>
      </c>
      <c r="C182" t="s">
        <v>2</v>
      </c>
      <c r="D182" t="e">
        <f>VLOOKUP('Filtered Data'!Z181,'Data Mapping'!$A$4:$B$7,2,0)</f>
        <v>#N/A</v>
      </c>
      <c r="E182" t="e">
        <f>VLOOKUP('Filtered Data'!C181,'Data Mapping'!$E$3:$F$97,2,0)</f>
        <v>#N/A</v>
      </c>
      <c r="F182">
        <f>'Filtered Data'!D181</f>
        <v>0</v>
      </c>
      <c r="G182" t="e">
        <f>VLOOKUP('Filtered Data'!E181,'Data Mapping'!$J$3:$K$11,2,0)</f>
        <v>#N/A</v>
      </c>
      <c r="H182">
        <f>'Filtered Data'!F181</f>
        <v>0</v>
      </c>
      <c r="I182" t="s">
        <v>5668</v>
      </c>
      <c r="J182" t="s">
        <v>1609</v>
      </c>
      <c r="K182" t="e">
        <f>VLOOKUP('Filtered Data'!A181,'Input 1 CMDB'!A:I,9,0)</f>
        <v>#N/A</v>
      </c>
      <c r="L182">
        <f>'Filtered Data'!K181</f>
        <v>0</v>
      </c>
      <c r="M182" t="e">
        <f t="shared" si="7"/>
        <v>#VALUE!</v>
      </c>
      <c r="N182">
        <f>'Filtered Data'!P181</f>
        <v>0</v>
      </c>
      <c r="O182">
        <f>'Filtered Data'!N181</f>
        <v>0</v>
      </c>
      <c r="P182" t="s">
        <v>5669</v>
      </c>
      <c r="Q182" t="str">
        <f>IF('Filtered Data'!W181,"ITHybridCloudEngineeringOperationsMgmt@Marathonpetroleum.com","mark.newman2@dxc.com")</f>
        <v>mark.newman2@dxc.com</v>
      </c>
      <c r="R182">
        <f t="shared" si="8"/>
        <v>0</v>
      </c>
      <c r="S182" s="31" t="s">
        <v>5738</v>
      </c>
      <c r="T182" t="s">
        <v>1381</v>
      </c>
      <c r="U182">
        <f>'Filtered Data'!V181</f>
        <v>0</v>
      </c>
      <c r="V182" t="str">
        <f>IF('Filtered Data'!W181,"yes","no")</f>
        <v>no</v>
      </c>
      <c r="W182" t="s">
        <v>15</v>
      </c>
      <c r="X182">
        <f>'Filtered Data'!X181</f>
        <v>0</v>
      </c>
    </row>
    <row r="183" spans="1:24" x14ac:dyDescent="0.35">
      <c r="A183">
        <f>'Filtered Data'!A182</f>
        <v>0</v>
      </c>
      <c r="B183">
        <f>'Filtered Data'!B182</f>
        <v>0</v>
      </c>
      <c r="C183" t="s">
        <v>2</v>
      </c>
      <c r="D183" t="e">
        <f>VLOOKUP('Filtered Data'!Z182,'Data Mapping'!$A$4:$B$7,2,0)</f>
        <v>#N/A</v>
      </c>
      <c r="E183" t="e">
        <f>VLOOKUP('Filtered Data'!C182,'Data Mapping'!$E$3:$F$97,2,0)</f>
        <v>#N/A</v>
      </c>
      <c r="F183">
        <f>'Filtered Data'!D182</f>
        <v>0</v>
      </c>
      <c r="G183" t="e">
        <f>VLOOKUP('Filtered Data'!E182,'Data Mapping'!$J$3:$K$11,2,0)</f>
        <v>#N/A</v>
      </c>
      <c r="H183">
        <f>'Filtered Data'!F182</f>
        <v>0</v>
      </c>
      <c r="I183" t="s">
        <v>5668</v>
      </c>
      <c r="J183" t="s">
        <v>1609</v>
      </c>
      <c r="K183" t="e">
        <f>VLOOKUP('Filtered Data'!A182,'Input 1 CMDB'!A:I,9,0)</f>
        <v>#N/A</v>
      </c>
      <c r="L183">
        <f>'Filtered Data'!K182</f>
        <v>0</v>
      </c>
      <c r="M183" t="e">
        <f t="shared" si="7"/>
        <v>#VALUE!</v>
      </c>
      <c r="N183">
        <f>'Filtered Data'!P182</f>
        <v>0</v>
      </c>
      <c r="O183">
        <f>'Filtered Data'!N182</f>
        <v>0</v>
      </c>
      <c r="P183" t="s">
        <v>5669</v>
      </c>
      <c r="Q183" t="str">
        <f>IF('Filtered Data'!W182,"ITHybridCloudEngineeringOperationsMgmt@Marathonpetroleum.com","mark.newman2@dxc.com")</f>
        <v>mark.newman2@dxc.com</v>
      </c>
      <c r="R183">
        <f t="shared" si="8"/>
        <v>0</v>
      </c>
      <c r="S183" s="31" t="s">
        <v>5738</v>
      </c>
      <c r="T183" t="s">
        <v>1381</v>
      </c>
      <c r="U183">
        <f>'Filtered Data'!V182</f>
        <v>0</v>
      </c>
      <c r="V183" t="str">
        <f>IF('Filtered Data'!W182,"yes","no")</f>
        <v>no</v>
      </c>
      <c r="W183" t="s">
        <v>15</v>
      </c>
      <c r="X183">
        <f>'Filtered Data'!X182</f>
        <v>0</v>
      </c>
    </row>
    <row r="184" spans="1:24" x14ac:dyDescent="0.35">
      <c r="A184">
        <f>'Filtered Data'!A183</f>
        <v>0</v>
      </c>
      <c r="B184">
        <f>'Filtered Data'!B183</f>
        <v>0</v>
      </c>
      <c r="C184" t="s">
        <v>2</v>
      </c>
      <c r="D184" t="e">
        <f>VLOOKUP('Filtered Data'!Z183,'Data Mapping'!$A$4:$B$7,2,0)</f>
        <v>#N/A</v>
      </c>
      <c r="E184" t="e">
        <f>VLOOKUP('Filtered Data'!C183,'Data Mapping'!$E$3:$F$97,2,0)</f>
        <v>#N/A</v>
      </c>
      <c r="F184">
        <f>'Filtered Data'!D183</f>
        <v>0</v>
      </c>
      <c r="G184" t="e">
        <f>VLOOKUP('Filtered Data'!E183,'Data Mapping'!$J$3:$K$11,2,0)</f>
        <v>#N/A</v>
      </c>
      <c r="H184">
        <f>'Filtered Data'!F183</f>
        <v>0</v>
      </c>
      <c r="I184" t="s">
        <v>5668</v>
      </c>
      <c r="J184" t="s">
        <v>1609</v>
      </c>
      <c r="K184" t="e">
        <f>VLOOKUP('Filtered Data'!A183,'Input 1 CMDB'!A:I,9,0)</f>
        <v>#N/A</v>
      </c>
      <c r="L184">
        <f>'Filtered Data'!K183</f>
        <v>0</v>
      </c>
      <c r="M184" t="e">
        <f t="shared" si="7"/>
        <v>#VALUE!</v>
      </c>
      <c r="N184">
        <f>'Filtered Data'!P183</f>
        <v>0</v>
      </c>
      <c r="O184">
        <f>'Filtered Data'!N183</f>
        <v>0</v>
      </c>
      <c r="P184" t="s">
        <v>5669</v>
      </c>
      <c r="Q184" t="str">
        <f>IF('Filtered Data'!W183,"ITHybridCloudEngineeringOperationsMgmt@Marathonpetroleum.com","mark.newman2@dxc.com")</f>
        <v>mark.newman2@dxc.com</v>
      </c>
      <c r="R184">
        <f t="shared" si="8"/>
        <v>0</v>
      </c>
      <c r="S184" s="31" t="s">
        <v>5738</v>
      </c>
      <c r="T184" t="s">
        <v>1381</v>
      </c>
      <c r="U184">
        <f>'Filtered Data'!V183</f>
        <v>0</v>
      </c>
      <c r="V184" t="str">
        <f>IF('Filtered Data'!W183,"yes","no")</f>
        <v>no</v>
      </c>
      <c r="W184" t="s">
        <v>15</v>
      </c>
      <c r="X184">
        <f>'Filtered Data'!X183</f>
        <v>0</v>
      </c>
    </row>
    <row r="185" spans="1:24" x14ac:dyDescent="0.35">
      <c r="A185">
        <f>'Filtered Data'!A184</f>
        <v>0</v>
      </c>
      <c r="B185">
        <f>'Filtered Data'!B184</f>
        <v>0</v>
      </c>
      <c r="C185" t="s">
        <v>2</v>
      </c>
      <c r="D185" t="e">
        <f>VLOOKUP('Filtered Data'!Z184,'Data Mapping'!$A$4:$B$7,2,0)</f>
        <v>#N/A</v>
      </c>
      <c r="E185" t="e">
        <f>VLOOKUP('Filtered Data'!C184,'Data Mapping'!$E$3:$F$97,2,0)</f>
        <v>#N/A</v>
      </c>
      <c r="F185">
        <f>'Filtered Data'!D184</f>
        <v>0</v>
      </c>
      <c r="G185" t="e">
        <f>VLOOKUP('Filtered Data'!E184,'Data Mapping'!$J$3:$K$11,2,0)</f>
        <v>#N/A</v>
      </c>
      <c r="H185">
        <f>'Filtered Data'!F184</f>
        <v>0</v>
      </c>
      <c r="I185" t="s">
        <v>5668</v>
      </c>
      <c r="J185" t="s">
        <v>1609</v>
      </c>
      <c r="K185" t="e">
        <f>VLOOKUP('Filtered Data'!A184,'Input 1 CMDB'!A:I,9,0)</f>
        <v>#N/A</v>
      </c>
      <c r="L185">
        <f>'Filtered Data'!K184</f>
        <v>0</v>
      </c>
      <c r="M185" t="e">
        <f t="shared" si="7"/>
        <v>#VALUE!</v>
      </c>
      <c r="N185">
        <f>'Filtered Data'!P184</f>
        <v>0</v>
      </c>
      <c r="O185">
        <f>'Filtered Data'!N184</f>
        <v>0</v>
      </c>
      <c r="P185" t="s">
        <v>5669</v>
      </c>
      <c r="Q185" t="str">
        <f>IF('Filtered Data'!W184,"ITHybridCloudEngineeringOperationsMgmt@Marathonpetroleum.com","mark.newman2@dxc.com")</f>
        <v>mark.newman2@dxc.com</v>
      </c>
      <c r="R185">
        <f t="shared" si="8"/>
        <v>0</v>
      </c>
      <c r="S185" s="31" t="s">
        <v>5738</v>
      </c>
      <c r="T185" t="s">
        <v>1381</v>
      </c>
      <c r="U185">
        <f>'Filtered Data'!V184</f>
        <v>0</v>
      </c>
      <c r="V185" t="str">
        <f>IF('Filtered Data'!W184,"yes","no")</f>
        <v>no</v>
      </c>
      <c r="W185" t="s">
        <v>15</v>
      </c>
      <c r="X185">
        <f>'Filtered Data'!X184</f>
        <v>0</v>
      </c>
    </row>
    <row r="186" spans="1:24" x14ac:dyDescent="0.35">
      <c r="A186">
        <f>'Filtered Data'!A185</f>
        <v>0</v>
      </c>
      <c r="B186">
        <f>'Filtered Data'!B185</f>
        <v>0</v>
      </c>
      <c r="C186" t="s">
        <v>2</v>
      </c>
      <c r="D186" t="e">
        <f>VLOOKUP('Filtered Data'!Z185,'Data Mapping'!$A$4:$B$7,2,0)</f>
        <v>#N/A</v>
      </c>
      <c r="E186" t="e">
        <f>VLOOKUP('Filtered Data'!C185,'Data Mapping'!$E$3:$F$97,2,0)</f>
        <v>#N/A</v>
      </c>
      <c r="F186">
        <f>'Filtered Data'!D185</f>
        <v>0</v>
      </c>
      <c r="G186" t="e">
        <f>VLOOKUP('Filtered Data'!E185,'Data Mapping'!$J$3:$K$11,2,0)</f>
        <v>#N/A</v>
      </c>
      <c r="H186">
        <f>'Filtered Data'!F185</f>
        <v>0</v>
      </c>
      <c r="I186" t="s">
        <v>5668</v>
      </c>
      <c r="J186" t="s">
        <v>1609</v>
      </c>
      <c r="K186" t="e">
        <f>VLOOKUP('Filtered Data'!A185,'Input 1 CMDB'!A:I,9,0)</f>
        <v>#N/A</v>
      </c>
      <c r="L186">
        <f>'Filtered Data'!K185</f>
        <v>0</v>
      </c>
      <c r="M186" t="e">
        <f t="shared" si="7"/>
        <v>#VALUE!</v>
      </c>
      <c r="N186">
        <f>'Filtered Data'!P185</f>
        <v>0</v>
      </c>
      <c r="O186">
        <f>'Filtered Data'!N185</f>
        <v>0</v>
      </c>
      <c r="P186" t="s">
        <v>5669</v>
      </c>
      <c r="Q186" t="str">
        <f>IF('Filtered Data'!W185,"ITHybridCloudEngineeringOperationsMgmt@Marathonpetroleum.com","mark.newman2@dxc.com")</f>
        <v>mark.newman2@dxc.com</v>
      </c>
      <c r="R186">
        <f t="shared" si="8"/>
        <v>0</v>
      </c>
      <c r="S186" s="31" t="s">
        <v>5738</v>
      </c>
      <c r="T186" t="s">
        <v>1381</v>
      </c>
      <c r="U186">
        <f>'Filtered Data'!V185</f>
        <v>0</v>
      </c>
      <c r="V186" t="str">
        <f>IF('Filtered Data'!W185,"yes","no")</f>
        <v>no</v>
      </c>
      <c r="W186" t="s">
        <v>15</v>
      </c>
      <c r="X186">
        <f>'Filtered Data'!X185</f>
        <v>0</v>
      </c>
    </row>
    <row r="187" spans="1:24" x14ac:dyDescent="0.35">
      <c r="A187">
        <f>'Filtered Data'!A186</f>
        <v>0</v>
      </c>
      <c r="B187">
        <f>'Filtered Data'!B186</f>
        <v>0</v>
      </c>
      <c r="C187" t="s">
        <v>2</v>
      </c>
      <c r="D187" t="e">
        <f>VLOOKUP('Filtered Data'!Z186,'Data Mapping'!$A$4:$B$7,2,0)</f>
        <v>#N/A</v>
      </c>
      <c r="E187" t="e">
        <f>VLOOKUP('Filtered Data'!C186,'Data Mapping'!$E$3:$F$97,2,0)</f>
        <v>#N/A</v>
      </c>
      <c r="F187">
        <f>'Filtered Data'!D186</f>
        <v>0</v>
      </c>
      <c r="G187" t="e">
        <f>VLOOKUP('Filtered Data'!E186,'Data Mapping'!$J$3:$K$11,2,0)</f>
        <v>#N/A</v>
      </c>
      <c r="H187">
        <f>'Filtered Data'!F186</f>
        <v>0</v>
      </c>
      <c r="I187" t="s">
        <v>5668</v>
      </c>
      <c r="J187" t="s">
        <v>1609</v>
      </c>
      <c r="K187" t="e">
        <f>VLOOKUP('Filtered Data'!A186,'Input 1 CMDB'!A:I,9,0)</f>
        <v>#N/A</v>
      </c>
      <c r="L187">
        <f>'Filtered Data'!K186</f>
        <v>0</v>
      </c>
      <c r="M187" t="e">
        <f t="shared" si="7"/>
        <v>#VALUE!</v>
      </c>
      <c r="N187">
        <f>'Filtered Data'!P186</f>
        <v>0</v>
      </c>
      <c r="O187">
        <f>'Filtered Data'!N186</f>
        <v>0</v>
      </c>
      <c r="P187" t="s">
        <v>5669</v>
      </c>
      <c r="Q187" t="str">
        <f>IF('Filtered Data'!W186,"ITHybridCloudEngineeringOperationsMgmt@Marathonpetroleum.com","mark.newman2@dxc.com")</f>
        <v>mark.newman2@dxc.com</v>
      </c>
      <c r="R187">
        <f t="shared" si="8"/>
        <v>0</v>
      </c>
      <c r="S187" s="31" t="s">
        <v>5738</v>
      </c>
      <c r="T187" t="s">
        <v>1381</v>
      </c>
      <c r="U187">
        <f>'Filtered Data'!V186</f>
        <v>0</v>
      </c>
      <c r="V187" t="str">
        <f>IF('Filtered Data'!W186,"yes","no")</f>
        <v>no</v>
      </c>
      <c r="W187" t="s">
        <v>15</v>
      </c>
      <c r="X187">
        <f>'Filtered Data'!X186</f>
        <v>0</v>
      </c>
    </row>
    <row r="188" spans="1:24" x14ac:dyDescent="0.35">
      <c r="A188">
        <f>'Filtered Data'!A187</f>
        <v>0</v>
      </c>
      <c r="B188">
        <f>'Filtered Data'!B187</f>
        <v>0</v>
      </c>
      <c r="C188" t="s">
        <v>2</v>
      </c>
      <c r="D188" t="e">
        <f>VLOOKUP('Filtered Data'!Z187,'Data Mapping'!$A$4:$B$7,2,0)</f>
        <v>#N/A</v>
      </c>
      <c r="E188" t="e">
        <f>VLOOKUP('Filtered Data'!C187,'Data Mapping'!$E$3:$F$97,2,0)</f>
        <v>#N/A</v>
      </c>
      <c r="F188">
        <f>'Filtered Data'!D187</f>
        <v>0</v>
      </c>
      <c r="G188" t="e">
        <f>VLOOKUP('Filtered Data'!E187,'Data Mapping'!$J$3:$K$11,2,0)</f>
        <v>#N/A</v>
      </c>
      <c r="H188">
        <f>'Filtered Data'!F187</f>
        <v>0</v>
      </c>
      <c r="I188" t="s">
        <v>5668</v>
      </c>
      <c r="J188" t="s">
        <v>1609</v>
      </c>
      <c r="K188" t="e">
        <f>VLOOKUP('Filtered Data'!A187,'Input 1 CMDB'!A:I,9,0)</f>
        <v>#N/A</v>
      </c>
      <c r="L188">
        <f>'Filtered Data'!K187</f>
        <v>0</v>
      </c>
      <c r="M188" t="e">
        <f t="shared" si="7"/>
        <v>#VALUE!</v>
      </c>
      <c r="N188">
        <f>'Filtered Data'!P187</f>
        <v>0</v>
      </c>
      <c r="O188">
        <f>'Filtered Data'!N187</f>
        <v>0</v>
      </c>
      <c r="P188" t="s">
        <v>5669</v>
      </c>
      <c r="Q188" t="str">
        <f>IF('Filtered Data'!W187,"ITHybridCloudEngineeringOperationsMgmt@Marathonpetroleum.com","mark.newman2@dxc.com")</f>
        <v>mark.newman2@dxc.com</v>
      </c>
      <c r="R188">
        <f t="shared" si="8"/>
        <v>0</v>
      </c>
      <c r="S188" s="31" t="s">
        <v>5738</v>
      </c>
      <c r="T188" t="s">
        <v>1381</v>
      </c>
      <c r="U188">
        <f>'Filtered Data'!V187</f>
        <v>0</v>
      </c>
      <c r="V188" t="str">
        <f>IF('Filtered Data'!W187,"yes","no")</f>
        <v>no</v>
      </c>
      <c r="W188" t="s">
        <v>15</v>
      </c>
      <c r="X188">
        <f>'Filtered Data'!X187</f>
        <v>0</v>
      </c>
    </row>
    <row r="189" spans="1:24" x14ac:dyDescent="0.35">
      <c r="A189">
        <f>'Filtered Data'!A188</f>
        <v>0</v>
      </c>
      <c r="B189">
        <f>'Filtered Data'!B188</f>
        <v>0</v>
      </c>
      <c r="C189" t="s">
        <v>2</v>
      </c>
      <c r="D189" t="e">
        <f>VLOOKUP('Filtered Data'!Z188,'Data Mapping'!$A$4:$B$7,2,0)</f>
        <v>#N/A</v>
      </c>
      <c r="E189" t="e">
        <f>VLOOKUP('Filtered Data'!C188,'Data Mapping'!$E$3:$F$97,2,0)</f>
        <v>#N/A</v>
      </c>
      <c r="F189">
        <f>'Filtered Data'!D188</f>
        <v>0</v>
      </c>
      <c r="G189" t="e">
        <f>VLOOKUP('Filtered Data'!E188,'Data Mapping'!$J$3:$K$11,2,0)</f>
        <v>#N/A</v>
      </c>
      <c r="H189">
        <f>'Filtered Data'!F188</f>
        <v>0</v>
      </c>
      <c r="I189" t="s">
        <v>5668</v>
      </c>
      <c r="J189" t="s">
        <v>1609</v>
      </c>
      <c r="K189" t="e">
        <f>VLOOKUP('Filtered Data'!A188,'Input 1 CMDB'!A:I,9,0)</f>
        <v>#N/A</v>
      </c>
      <c r="L189">
        <f>'Filtered Data'!K188</f>
        <v>0</v>
      </c>
      <c r="M189" t="e">
        <f t="shared" si="7"/>
        <v>#VALUE!</v>
      </c>
      <c r="N189">
        <f>'Filtered Data'!P188</f>
        <v>0</v>
      </c>
      <c r="O189">
        <f>'Filtered Data'!N188</f>
        <v>0</v>
      </c>
      <c r="P189" t="s">
        <v>5669</v>
      </c>
      <c r="Q189" t="str">
        <f>IF('Filtered Data'!W188,"ITHybridCloudEngineeringOperationsMgmt@Marathonpetroleum.com","mark.newman2@dxc.com")</f>
        <v>mark.newman2@dxc.com</v>
      </c>
      <c r="R189">
        <f t="shared" si="8"/>
        <v>0</v>
      </c>
      <c r="S189" s="31" t="s">
        <v>5738</v>
      </c>
      <c r="T189" t="s">
        <v>1381</v>
      </c>
      <c r="U189">
        <f>'Filtered Data'!V188</f>
        <v>0</v>
      </c>
      <c r="V189" t="str">
        <f>IF('Filtered Data'!W188,"yes","no")</f>
        <v>no</v>
      </c>
      <c r="W189" t="s">
        <v>15</v>
      </c>
      <c r="X189">
        <f>'Filtered Data'!X188</f>
        <v>0</v>
      </c>
    </row>
    <row r="190" spans="1:24" x14ac:dyDescent="0.35">
      <c r="A190">
        <f>'Filtered Data'!A189</f>
        <v>0</v>
      </c>
      <c r="B190">
        <f>'Filtered Data'!B189</f>
        <v>0</v>
      </c>
      <c r="C190" t="s">
        <v>2</v>
      </c>
      <c r="D190" t="e">
        <f>VLOOKUP('Filtered Data'!Z189,'Data Mapping'!$A$4:$B$7,2,0)</f>
        <v>#N/A</v>
      </c>
      <c r="E190" t="e">
        <f>VLOOKUP('Filtered Data'!C189,'Data Mapping'!$E$3:$F$97,2,0)</f>
        <v>#N/A</v>
      </c>
      <c r="F190">
        <f>'Filtered Data'!D189</f>
        <v>0</v>
      </c>
      <c r="G190" t="e">
        <f>VLOOKUP('Filtered Data'!E189,'Data Mapping'!$J$3:$K$11,2,0)</f>
        <v>#N/A</v>
      </c>
      <c r="H190">
        <f>'Filtered Data'!F189</f>
        <v>0</v>
      </c>
      <c r="I190" t="s">
        <v>5668</v>
      </c>
      <c r="J190" t="s">
        <v>1609</v>
      </c>
      <c r="K190" t="e">
        <f>VLOOKUP('Filtered Data'!A189,'Input 1 CMDB'!A:I,9,0)</f>
        <v>#N/A</v>
      </c>
      <c r="L190">
        <f>'Filtered Data'!K189</f>
        <v>0</v>
      </c>
      <c r="M190" t="e">
        <f t="shared" si="7"/>
        <v>#VALUE!</v>
      </c>
      <c r="N190">
        <f>'Filtered Data'!P189</f>
        <v>0</v>
      </c>
      <c r="O190">
        <f>'Filtered Data'!N189</f>
        <v>0</v>
      </c>
      <c r="P190" t="s">
        <v>5669</v>
      </c>
      <c r="Q190" t="str">
        <f>IF('Filtered Data'!W189,"ITHybridCloudEngineeringOperationsMgmt@Marathonpetroleum.com","mark.newman2@dxc.com")</f>
        <v>mark.newman2@dxc.com</v>
      </c>
      <c r="R190">
        <f t="shared" si="8"/>
        <v>0</v>
      </c>
      <c r="S190" s="31" t="s">
        <v>5738</v>
      </c>
      <c r="T190" t="s">
        <v>1381</v>
      </c>
      <c r="U190">
        <f>'Filtered Data'!V189</f>
        <v>0</v>
      </c>
      <c r="V190" t="str">
        <f>IF('Filtered Data'!W189,"yes","no")</f>
        <v>no</v>
      </c>
      <c r="W190" t="s">
        <v>15</v>
      </c>
      <c r="X190">
        <f>'Filtered Data'!X189</f>
        <v>0</v>
      </c>
    </row>
    <row r="191" spans="1:24" x14ac:dyDescent="0.35">
      <c r="A191">
        <f>'Filtered Data'!A190</f>
        <v>0</v>
      </c>
      <c r="B191">
        <f>'Filtered Data'!B190</f>
        <v>0</v>
      </c>
      <c r="C191" t="s">
        <v>2</v>
      </c>
      <c r="D191" t="e">
        <f>VLOOKUP('Filtered Data'!Z190,'Data Mapping'!$A$4:$B$7,2,0)</f>
        <v>#N/A</v>
      </c>
      <c r="E191" t="e">
        <f>VLOOKUP('Filtered Data'!C190,'Data Mapping'!$E$3:$F$97,2,0)</f>
        <v>#N/A</v>
      </c>
      <c r="F191">
        <f>'Filtered Data'!D190</f>
        <v>0</v>
      </c>
      <c r="G191" t="e">
        <f>VLOOKUP('Filtered Data'!E190,'Data Mapping'!$J$3:$K$11,2,0)</f>
        <v>#N/A</v>
      </c>
      <c r="H191">
        <f>'Filtered Data'!F190</f>
        <v>0</v>
      </c>
      <c r="I191" t="s">
        <v>5668</v>
      </c>
      <c r="J191" t="s">
        <v>1609</v>
      </c>
      <c r="K191" t="e">
        <f>VLOOKUP('Filtered Data'!A190,'Input 1 CMDB'!A:I,9,0)</f>
        <v>#N/A</v>
      </c>
      <c r="L191">
        <f>'Filtered Data'!K190</f>
        <v>0</v>
      </c>
      <c r="M191" t="e">
        <f t="shared" si="7"/>
        <v>#VALUE!</v>
      </c>
      <c r="N191">
        <f>'Filtered Data'!P190</f>
        <v>0</v>
      </c>
      <c r="O191">
        <f>'Filtered Data'!N190</f>
        <v>0</v>
      </c>
      <c r="P191" t="s">
        <v>5669</v>
      </c>
      <c r="Q191" t="str">
        <f>IF('Filtered Data'!W190,"ITHybridCloudEngineeringOperationsMgmt@Marathonpetroleum.com","mark.newman2@dxc.com")</f>
        <v>mark.newman2@dxc.com</v>
      </c>
      <c r="R191">
        <f t="shared" si="8"/>
        <v>0</v>
      </c>
      <c r="S191" s="31" t="s">
        <v>5738</v>
      </c>
      <c r="T191" t="s">
        <v>1381</v>
      </c>
      <c r="U191">
        <f>'Filtered Data'!V190</f>
        <v>0</v>
      </c>
      <c r="V191" t="str">
        <f>IF('Filtered Data'!W190,"yes","no")</f>
        <v>no</v>
      </c>
      <c r="W191" t="s">
        <v>15</v>
      </c>
      <c r="X191">
        <f>'Filtered Data'!X190</f>
        <v>0</v>
      </c>
    </row>
    <row r="192" spans="1:24" x14ac:dyDescent="0.35">
      <c r="A192">
        <f>'Filtered Data'!A191</f>
        <v>0</v>
      </c>
      <c r="B192">
        <f>'Filtered Data'!B191</f>
        <v>0</v>
      </c>
      <c r="C192" t="s">
        <v>2</v>
      </c>
      <c r="D192" t="e">
        <f>VLOOKUP('Filtered Data'!Z191,'Data Mapping'!$A$4:$B$7,2,0)</f>
        <v>#N/A</v>
      </c>
      <c r="E192" t="e">
        <f>VLOOKUP('Filtered Data'!C191,'Data Mapping'!$E$3:$F$97,2,0)</f>
        <v>#N/A</v>
      </c>
      <c r="F192">
        <f>'Filtered Data'!D191</f>
        <v>0</v>
      </c>
      <c r="G192" t="e">
        <f>VLOOKUP('Filtered Data'!E191,'Data Mapping'!$J$3:$K$11,2,0)</f>
        <v>#N/A</v>
      </c>
      <c r="H192">
        <f>'Filtered Data'!F191</f>
        <v>0</v>
      </c>
      <c r="I192" t="s">
        <v>5668</v>
      </c>
      <c r="J192" t="s">
        <v>1609</v>
      </c>
      <c r="K192" t="e">
        <f>VLOOKUP('Filtered Data'!A191,'Input 1 CMDB'!A:I,9,0)</f>
        <v>#N/A</v>
      </c>
      <c r="L192">
        <f>'Filtered Data'!K191</f>
        <v>0</v>
      </c>
      <c r="M192" t="e">
        <f t="shared" si="7"/>
        <v>#VALUE!</v>
      </c>
      <c r="N192">
        <f>'Filtered Data'!P191</f>
        <v>0</v>
      </c>
      <c r="O192">
        <f>'Filtered Data'!N191</f>
        <v>0</v>
      </c>
      <c r="P192" t="s">
        <v>5669</v>
      </c>
      <c r="Q192" t="str">
        <f>IF('Filtered Data'!W191,"ITHybridCloudEngineeringOperationsMgmt@Marathonpetroleum.com","mark.newman2@dxc.com")</f>
        <v>mark.newman2@dxc.com</v>
      </c>
      <c r="R192">
        <f t="shared" si="8"/>
        <v>0</v>
      </c>
      <c r="S192" s="31" t="s">
        <v>5738</v>
      </c>
      <c r="T192" t="s">
        <v>1381</v>
      </c>
      <c r="U192">
        <f>'Filtered Data'!V191</f>
        <v>0</v>
      </c>
      <c r="V192" t="str">
        <f>IF('Filtered Data'!W191,"yes","no")</f>
        <v>no</v>
      </c>
      <c r="W192" t="s">
        <v>15</v>
      </c>
      <c r="X192">
        <f>'Filtered Data'!X191</f>
        <v>0</v>
      </c>
    </row>
    <row r="193" spans="1:24" x14ac:dyDescent="0.35">
      <c r="A193">
        <f>'Filtered Data'!A192</f>
        <v>0</v>
      </c>
      <c r="B193">
        <f>'Filtered Data'!B192</f>
        <v>0</v>
      </c>
      <c r="C193" t="s">
        <v>2</v>
      </c>
      <c r="D193" t="e">
        <f>VLOOKUP('Filtered Data'!Z192,'Data Mapping'!$A$4:$B$7,2,0)</f>
        <v>#N/A</v>
      </c>
      <c r="E193" t="e">
        <f>VLOOKUP('Filtered Data'!C192,'Data Mapping'!$E$3:$F$97,2,0)</f>
        <v>#N/A</v>
      </c>
      <c r="F193">
        <f>'Filtered Data'!D192</f>
        <v>0</v>
      </c>
      <c r="G193" t="e">
        <f>VLOOKUP('Filtered Data'!E192,'Data Mapping'!$J$3:$K$11,2,0)</f>
        <v>#N/A</v>
      </c>
      <c r="H193">
        <f>'Filtered Data'!F192</f>
        <v>0</v>
      </c>
      <c r="I193" t="s">
        <v>5668</v>
      </c>
      <c r="J193" t="s">
        <v>1609</v>
      </c>
      <c r="K193" t="e">
        <f>VLOOKUP('Filtered Data'!A192,'Input 1 CMDB'!A:I,9,0)</f>
        <v>#N/A</v>
      </c>
      <c r="L193">
        <f>'Filtered Data'!K192</f>
        <v>0</v>
      </c>
      <c r="M193" t="e">
        <f t="shared" si="7"/>
        <v>#VALUE!</v>
      </c>
      <c r="N193">
        <f>'Filtered Data'!P192</f>
        <v>0</v>
      </c>
      <c r="O193">
        <f>'Filtered Data'!N192</f>
        <v>0</v>
      </c>
      <c r="P193" t="s">
        <v>5669</v>
      </c>
      <c r="Q193" t="str">
        <f>IF('Filtered Data'!W192,"ITHybridCloudEngineeringOperationsMgmt@Marathonpetroleum.com","mark.newman2@dxc.com")</f>
        <v>mark.newman2@dxc.com</v>
      </c>
      <c r="R193">
        <f t="shared" si="8"/>
        <v>0</v>
      </c>
      <c r="S193" s="31" t="s">
        <v>5738</v>
      </c>
      <c r="T193" t="s">
        <v>1381</v>
      </c>
      <c r="U193">
        <f>'Filtered Data'!V192</f>
        <v>0</v>
      </c>
      <c r="V193" t="str">
        <f>IF('Filtered Data'!W192,"yes","no")</f>
        <v>no</v>
      </c>
      <c r="W193" t="s">
        <v>15</v>
      </c>
      <c r="X193">
        <f>'Filtered Data'!X192</f>
        <v>0</v>
      </c>
    </row>
    <row r="194" spans="1:24" x14ac:dyDescent="0.35">
      <c r="A194">
        <f>'Filtered Data'!A193</f>
        <v>0</v>
      </c>
      <c r="B194">
        <f>'Filtered Data'!B193</f>
        <v>0</v>
      </c>
      <c r="C194" t="s">
        <v>2</v>
      </c>
      <c r="D194" t="e">
        <f>VLOOKUP('Filtered Data'!Z193,'Data Mapping'!$A$4:$B$7,2,0)</f>
        <v>#N/A</v>
      </c>
      <c r="E194" t="e">
        <f>VLOOKUP('Filtered Data'!C193,'Data Mapping'!$E$3:$F$97,2,0)</f>
        <v>#N/A</v>
      </c>
      <c r="F194">
        <f>'Filtered Data'!D193</f>
        <v>0</v>
      </c>
      <c r="G194" t="e">
        <f>VLOOKUP('Filtered Data'!E193,'Data Mapping'!$J$3:$K$11,2,0)</f>
        <v>#N/A</v>
      </c>
      <c r="H194">
        <f>'Filtered Data'!F193</f>
        <v>0</v>
      </c>
      <c r="I194" t="s">
        <v>5668</v>
      </c>
      <c r="J194" t="s">
        <v>1609</v>
      </c>
      <c r="K194" t="e">
        <f>VLOOKUP('Filtered Data'!A193,'Input 1 CMDB'!A:I,9,0)</f>
        <v>#N/A</v>
      </c>
      <c r="L194">
        <f>'Filtered Data'!K193</f>
        <v>0</v>
      </c>
      <c r="M194" t="e">
        <f t="shared" si="7"/>
        <v>#VALUE!</v>
      </c>
      <c r="N194">
        <f>'Filtered Data'!P193</f>
        <v>0</v>
      </c>
      <c r="O194">
        <f>'Filtered Data'!N193</f>
        <v>0</v>
      </c>
      <c r="P194" t="s">
        <v>5669</v>
      </c>
      <c r="Q194" t="str">
        <f>IF('Filtered Data'!W193,"ITHybridCloudEngineeringOperationsMgmt@Marathonpetroleum.com","mark.newman2@dxc.com")</f>
        <v>mark.newman2@dxc.com</v>
      </c>
      <c r="R194">
        <f t="shared" si="8"/>
        <v>0</v>
      </c>
      <c r="S194" s="31" t="s">
        <v>5738</v>
      </c>
      <c r="T194" t="s">
        <v>1381</v>
      </c>
      <c r="U194">
        <f>'Filtered Data'!V193</f>
        <v>0</v>
      </c>
      <c r="V194" t="str">
        <f>IF('Filtered Data'!W193,"yes","no")</f>
        <v>no</v>
      </c>
      <c r="W194" t="s">
        <v>15</v>
      </c>
      <c r="X194">
        <f>'Filtered Data'!X193</f>
        <v>0</v>
      </c>
    </row>
    <row r="195" spans="1:24" x14ac:dyDescent="0.35">
      <c r="A195">
        <f>'Filtered Data'!A194</f>
        <v>0</v>
      </c>
      <c r="B195">
        <f>'Filtered Data'!B194</f>
        <v>0</v>
      </c>
      <c r="C195" t="s">
        <v>2</v>
      </c>
      <c r="D195" t="e">
        <f>VLOOKUP('Filtered Data'!Z194,'Data Mapping'!$A$4:$B$7,2,0)</f>
        <v>#N/A</v>
      </c>
      <c r="E195" t="e">
        <f>VLOOKUP('Filtered Data'!C194,'Data Mapping'!$E$3:$F$97,2,0)</f>
        <v>#N/A</v>
      </c>
      <c r="F195">
        <f>'Filtered Data'!D194</f>
        <v>0</v>
      </c>
      <c r="G195" t="e">
        <f>VLOOKUP('Filtered Data'!E194,'Data Mapping'!$J$3:$K$11,2,0)</f>
        <v>#N/A</v>
      </c>
      <c r="H195">
        <f>'Filtered Data'!F194</f>
        <v>0</v>
      </c>
      <c r="I195" t="s">
        <v>5668</v>
      </c>
      <c r="J195" t="s">
        <v>1609</v>
      </c>
      <c r="K195" t="e">
        <f>VLOOKUP('Filtered Data'!A194,'Input 1 CMDB'!A:I,9,0)</f>
        <v>#N/A</v>
      </c>
      <c r="L195">
        <f>'Filtered Data'!K194</f>
        <v>0</v>
      </c>
      <c r="M195" t="e">
        <f t="shared" si="7"/>
        <v>#VALUE!</v>
      </c>
      <c r="N195">
        <f>'Filtered Data'!P194</f>
        <v>0</v>
      </c>
      <c r="O195">
        <f>'Filtered Data'!N194</f>
        <v>0</v>
      </c>
      <c r="P195" t="s">
        <v>5669</v>
      </c>
      <c r="Q195" t="str">
        <f>IF('Filtered Data'!W194,"ITHybridCloudEngineeringOperationsMgmt@Marathonpetroleum.com","mark.newman2@dxc.com")</f>
        <v>mark.newman2@dxc.com</v>
      </c>
      <c r="R195">
        <f t="shared" si="8"/>
        <v>0</v>
      </c>
      <c r="S195" s="31" t="s">
        <v>5738</v>
      </c>
      <c r="T195" t="s">
        <v>1381</v>
      </c>
      <c r="U195">
        <f>'Filtered Data'!V194</f>
        <v>0</v>
      </c>
      <c r="V195" t="str">
        <f>IF('Filtered Data'!W194,"yes","no")</f>
        <v>no</v>
      </c>
      <c r="W195" t="s">
        <v>15</v>
      </c>
      <c r="X195">
        <f>'Filtered Data'!X194</f>
        <v>0</v>
      </c>
    </row>
    <row r="196" spans="1:24" x14ac:dyDescent="0.35">
      <c r="A196">
        <f>'Filtered Data'!A195</f>
        <v>0</v>
      </c>
      <c r="B196">
        <f>'Filtered Data'!B195</f>
        <v>0</v>
      </c>
      <c r="C196" t="s">
        <v>2</v>
      </c>
      <c r="D196" t="e">
        <f>VLOOKUP('Filtered Data'!Z195,'Data Mapping'!$A$4:$B$7,2,0)</f>
        <v>#N/A</v>
      </c>
      <c r="E196" t="e">
        <f>VLOOKUP('Filtered Data'!C195,'Data Mapping'!$E$3:$F$97,2,0)</f>
        <v>#N/A</v>
      </c>
      <c r="F196">
        <f>'Filtered Data'!D195</f>
        <v>0</v>
      </c>
      <c r="G196" t="e">
        <f>VLOOKUP('Filtered Data'!E195,'Data Mapping'!$J$3:$K$11,2,0)</f>
        <v>#N/A</v>
      </c>
      <c r="H196">
        <f>'Filtered Data'!F195</f>
        <v>0</v>
      </c>
      <c r="I196" t="s">
        <v>5668</v>
      </c>
      <c r="J196" t="s">
        <v>1609</v>
      </c>
      <c r="K196" t="e">
        <f>VLOOKUP('Filtered Data'!A195,'Input 1 CMDB'!A:I,9,0)</f>
        <v>#N/A</v>
      </c>
      <c r="L196">
        <f>'Filtered Data'!K195</f>
        <v>0</v>
      </c>
      <c r="M196" t="e">
        <f t="shared" si="7"/>
        <v>#VALUE!</v>
      </c>
      <c r="N196">
        <f>'Filtered Data'!P195</f>
        <v>0</v>
      </c>
      <c r="O196">
        <f>'Filtered Data'!N195</f>
        <v>0</v>
      </c>
      <c r="P196" t="s">
        <v>5669</v>
      </c>
      <c r="Q196" t="str">
        <f>IF('Filtered Data'!W195,"ITHybridCloudEngineeringOperationsMgmt@Marathonpetroleum.com","mark.newman2@dxc.com")</f>
        <v>mark.newman2@dxc.com</v>
      </c>
      <c r="R196">
        <f t="shared" si="8"/>
        <v>0</v>
      </c>
      <c r="S196" s="31" t="s">
        <v>5738</v>
      </c>
      <c r="T196" t="s">
        <v>1381</v>
      </c>
      <c r="U196">
        <f>'Filtered Data'!V195</f>
        <v>0</v>
      </c>
      <c r="V196" t="str">
        <f>IF('Filtered Data'!W195,"yes","no")</f>
        <v>no</v>
      </c>
      <c r="W196" t="s">
        <v>15</v>
      </c>
      <c r="X196">
        <f>'Filtered Data'!X195</f>
        <v>0</v>
      </c>
    </row>
    <row r="197" spans="1:24" x14ac:dyDescent="0.35">
      <c r="A197">
        <f>'Filtered Data'!A196</f>
        <v>0</v>
      </c>
      <c r="B197">
        <f>'Filtered Data'!B196</f>
        <v>0</v>
      </c>
      <c r="C197" t="s">
        <v>2</v>
      </c>
      <c r="D197" t="e">
        <f>VLOOKUP('Filtered Data'!Z196,'Data Mapping'!$A$4:$B$7,2,0)</f>
        <v>#N/A</v>
      </c>
      <c r="E197" t="e">
        <f>VLOOKUP('Filtered Data'!C196,'Data Mapping'!$E$3:$F$97,2,0)</f>
        <v>#N/A</v>
      </c>
      <c r="F197">
        <f>'Filtered Data'!D196</f>
        <v>0</v>
      </c>
      <c r="G197" t="e">
        <f>VLOOKUP('Filtered Data'!E196,'Data Mapping'!$J$3:$K$11,2,0)</f>
        <v>#N/A</v>
      </c>
      <c r="H197">
        <f>'Filtered Data'!F196</f>
        <v>0</v>
      </c>
      <c r="I197" t="s">
        <v>5668</v>
      </c>
      <c r="J197" t="s">
        <v>1609</v>
      </c>
      <c r="K197" t="e">
        <f>VLOOKUP('Filtered Data'!A196,'Input 1 CMDB'!A:I,9,0)</f>
        <v>#N/A</v>
      </c>
      <c r="L197">
        <f>'Filtered Data'!K196</f>
        <v>0</v>
      </c>
      <c r="M197" t="e">
        <f t="shared" si="7"/>
        <v>#VALUE!</v>
      </c>
      <c r="N197">
        <f>'Filtered Data'!P196</f>
        <v>0</v>
      </c>
      <c r="O197">
        <f>'Filtered Data'!N196</f>
        <v>0</v>
      </c>
      <c r="P197" t="s">
        <v>5669</v>
      </c>
      <c r="Q197" t="str">
        <f>IF('Filtered Data'!W196,"ITHybridCloudEngineeringOperationsMgmt@Marathonpetroleum.com","mark.newman2@dxc.com")</f>
        <v>mark.newman2@dxc.com</v>
      </c>
      <c r="R197">
        <f t="shared" si="8"/>
        <v>0</v>
      </c>
      <c r="S197" s="31" t="s">
        <v>5738</v>
      </c>
      <c r="T197" t="s">
        <v>1381</v>
      </c>
      <c r="U197">
        <f>'Filtered Data'!V196</f>
        <v>0</v>
      </c>
      <c r="V197" t="str">
        <f>IF('Filtered Data'!W196,"yes","no")</f>
        <v>no</v>
      </c>
      <c r="W197" t="s">
        <v>15</v>
      </c>
      <c r="X197">
        <f>'Filtered Data'!X196</f>
        <v>0</v>
      </c>
    </row>
    <row r="198" spans="1:24" x14ac:dyDescent="0.35">
      <c r="A198">
        <f>'Filtered Data'!A197</f>
        <v>0</v>
      </c>
      <c r="B198">
        <f>'Filtered Data'!B197</f>
        <v>0</v>
      </c>
      <c r="C198" t="s">
        <v>2</v>
      </c>
      <c r="D198" t="e">
        <f>VLOOKUP('Filtered Data'!Z197,'Data Mapping'!$A$4:$B$7,2,0)</f>
        <v>#N/A</v>
      </c>
      <c r="E198" t="e">
        <f>VLOOKUP('Filtered Data'!C197,'Data Mapping'!$E$3:$F$97,2,0)</f>
        <v>#N/A</v>
      </c>
      <c r="F198">
        <f>'Filtered Data'!D197</f>
        <v>0</v>
      </c>
      <c r="G198" t="e">
        <f>VLOOKUP('Filtered Data'!E197,'Data Mapping'!$J$3:$K$11,2,0)</f>
        <v>#N/A</v>
      </c>
      <c r="H198">
        <f>'Filtered Data'!F197</f>
        <v>0</v>
      </c>
      <c r="I198" t="s">
        <v>5668</v>
      </c>
      <c r="J198" t="s">
        <v>1609</v>
      </c>
      <c r="K198" t="e">
        <f>VLOOKUP('Filtered Data'!A197,'Input 1 CMDB'!A:I,9,0)</f>
        <v>#N/A</v>
      </c>
      <c r="L198">
        <f>'Filtered Data'!K197</f>
        <v>0</v>
      </c>
      <c r="M198" t="e">
        <f t="shared" si="7"/>
        <v>#VALUE!</v>
      </c>
      <c r="N198">
        <f>'Filtered Data'!P197</f>
        <v>0</v>
      </c>
      <c r="O198">
        <f>'Filtered Data'!N197</f>
        <v>0</v>
      </c>
      <c r="P198" t="s">
        <v>5669</v>
      </c>
      <c r="Q198" t="str">
        <f>IF('Filtered Data'!W197,"ITHybridCloudEngineeringOperationsMgmt@Marathonpetroleum.com","mark.newman2@dxc.com")</f>
        <v>mark.newman2@dxc.com</v>
      </c>
      <c r="R198">
        <f t="shared" si="8"/>
        <v>0</v>
      </c>
      <c r="S198" s="31" t="s">
        <v>5738</v>
      </c>
      <c r="T198" t="s">
        <v>1381</v>
      </c>
      <c r="U198">
        <f>'Filtered Data'!V197</f>
        <v>0</v>
      </c>
      <c r="V198" t="str">
        <f>IF('Filtered Data'!W197,"yes","no")</f>
        <v>no</v>
      </c>
      <c r="W198" t="s">
        <v>15</v>
      </c>
      <c r="X198">
        <f>'Filtered Data'!X197</f>
        <v>0</v>
      </c>
    </row>
    <row r="199" spans="1:24" x14ac:dyDescent="0.35">
      <c r="A199">
        <f>'Filtered Data'!A198</f>
        <v>0</v>
      </c>
      <c r="B199">
        <f>'Filtered Data'!B198</f>
        <v>0</v>
      </c>
      <c r="C199" t="s">
        <v>2</v>
      </c>
      <c r="D199" t="e">
        <f>VLOOKUP('Filtered Data'!Z198,'Data Mapping'!$A$4:$B$7,2,0)</f>
        <v>#N/A</v>
      </c>
      <c r="E199" t="e">
        <f>VLOOKUP('Filtered Data'!C198,'Data Mapping'!$E$3:$F$97,2,0)</f>
        <v>#N/A</v>
      </c>
      <c r="F199">
        <f>'Filtered Data'!D198</f>
        <v>0</v>
      </c>
      <c r="G199" t="e">
        <f>VLOOKUP('Filtered Data'!E198,'Data Mapping'!$J$3:$K$11,2,0)</f>
        <v>#N/A</v>
      </c>
      <c r="H199">
        <f>'Filtered Data'!F198</f>
        <v>0</v>
      </c>
      <c r="I199" t="s">
        <v>5668</v>
      </c>
      <c r="J199" t="s">
        <v>1609</v>
      </c>
      <c r="K199" t="e">
        <f>VLOOKUP('Filtered Data'!A198,'Input 1 CMDB'!A:I,9,0)</f>
        <v>#N/A</v>
      </c>
      <c r="L199">
        <f>'Filtered Data'!K198</f>
        <v>0</v>
      </c>
      <c r="M199" t="e">
        <f t="shared" si="7"/>
        <v>#VALUE!</v>
      </c>
      <c r="N199">
        <f>'Filtered Data'!P198</f>
        <v>0</v>
      </c>
      <c r="O199">
        <f>'Filtered Data'!N198</f>
        <v>0</v>
      </c>
      <c r="P199" t="s">
        <v>5669</v>
      </c>
      <c r="Q199" t="str">
        <f>IF('Filtered Data'!W198,"ITHybridCloudEngineeringOperationsMgmt@Marathonpetroleum.com","mark.newman2@dxc.com")</f>
        <v>mark.newman2@dxc.com</v>
      </c>
      <c r="R199">
        <f t="shared" si="8"/>
        <v>0</v>
      </c>
      <c r="S199" s="31" t="s">
        <v>5738</v>
      </c>
      <c r="T199" t="s">
        <v>1381</v>
      </c>
      <c r="U199">
        <f>'Filtered Data'!V198</f>
        <v>0</v>
      </c>
      <c r="V199" t="str">
        <f>IF('Filtered Data'!W198,"yes","no")</f>
        <v>no</v>
      </c>
      <c r="W199" t="s">
        <v>15</v>
      </c>
      <c r="X199">
        <f>'Filtered Data'!X198</f>
        <v>0</v>
      </c>
    </row>
    <row r="200" spans="1:24" x14ac:dyDescent="0.35">
      <c r="A200">
        <f>'Filtered Data'!A199</f>
        <v>0</v>
      </c>
      <c r="B200">
        <f>'Filtered Data'!B199</f>
        <v>0</v>
      </c>
      <c r="C200" t="s">
        <v>2</v>
      </c>
      <c r="D200" t="e">
        <f>VLOOKUP('Filtered Data'!Z199,'Data Mapping'!$A$4:$B$7,2,0)</f>
        <v>#N/A</v>
      </c>
      <c r="E200" t="e">
        <f>VLOOKUP('Filtered Data'!C199,'Data Mapping'!$E$3:$F$97,2,0)</f>
        <v>#N/A</v>
      </c>
      <c r="F200">
        <f>'Filtered Data'!D199</f>
        <v>0</v>
      </c>
      <c r="G200" t="e">
        <f>VLOOKUP('Filtered Data'!E199,'Data Mapping'!$J$3:$K$11,2,0)</f>
        <v>#N/A</v>
      </c>
      <c r="H200">
        <f>'Filtered Data'!F199</f>
        <v>0</v>
      </c>
      <c r="I200" t="s">
        <v>5668</v>
      </c>
      <c r="J200" t="s">
        <v>1609</v>
      </c>
      <c r="K200" t="e">
        <f>VLOOKUP('Filtered Data'!A199,'Input 1 CMDB'!A:I,9,0)</f>
        <v>#N/A</v>
      </c>
      <c r="L200">
        <f>'Filtered Data'!K199</f>
        <v>0</v>
      </c>
      <c r="M200" t="e">
        <f t="shared" si="7"/>
        <v>#VALUE!</v>
      </c>
      <c r="N200">
        <f>'Filtered Data'!P199</f>
        <v>0</v>
      </c>
      <c r="O200">
        <f>'Filtered Data'!N199</f>
        <v>0</v>
      </c>
      <c r="P200" t="s">
        <v>5669</v>
      </c>
      <c r="Q200" t="str">
        <f>IF('Filtered Data'!W199,"ITHybridCloudEngineeringOperationsMgmt@Marathonpetroleum.com","mark.newman2@dxc.com")</f>
        <v>mark.newman2@dxc.com</v>
      </c>
      <c r="R200">
        <f t="shared" si="8"/>
        <v>0</v>
      </c>
      <c r="S200" s="31" t="s">
        <v>5738</v>
      </c>
      <c r="T200" t="s">
        <v>1381</v>
      </c>
      <c r="U200">
        <f>'Filtered Data'!V199</f>
        <v>0</v>
      </c>
      <c r="V200" t="str">
        <f>IF('Filtered Data'!W199,"yes","no")</f>
        <v>no</v>
      </c>
      <c r="W200" t="s">
        <v>15</v>
      </c>
      <c r="X200">
        <f>'Filtered Data'!X199</f>
        <v>0</v>
      </c>
    </row>
    <row r="201" spans="1:24" x14ac:dyDescent="0.35">
      <c r="A201">
        <f>'Filtered Data'!A200</f>
        <v>0</v>
      </c>
      <c r="B201">
        <f>'Filtered Data'!B200</f>
        <v>0</v>
      </c>
      <c r="C201" t="s">
        <v>2</v>
      </c>
      <c r="D201" t="e">
        <f>VLOOKUP('Filtered Data'!Z200,'Data Mapping'!$A$4:$B$7,2,0)</f>
        <v>#N/A</v>
      </c>
      <c r="E201" t="e">
        <f>VLOOKUP('Filtered Data'!C200,'Data Mapping'!$E$3:$F$97,2,0)</f>
        <v>#N/A</v>
      </c>
      <c r="F201">
        <f>'Filtered Data'!D200</f>
        <v>0</v>
      </c>
      <c r="G201" t="e">
        <f>VLOOKUP('Filtered Data'!E200,'Data Mapping'!$J$3:$K$11,2,0)</f>
        <v>#N/A</v>
      </c>
      <c r="H201">
        <f>'Filtered Data'!F200</f>
        <v>0</v>
      </c>
      <c r="I201" t="s">
        <v>5668</v>
      </c>
      <c r="J201" t="s">
        <v>1609</v>
      </c>
      <c r="K201" t="e">
        <f>VLOOKUP('Filtered Data'!A200,'Input 1 CMDB'!A:I,9,0)</f>
        <v>#N/A</v>
      </c>
      <c r="L201">
        <f>'Filtered Data'!K200</f>
        <v>0</v>
      </c>
      <c r="M201" t="e">
        <f t="shared" si="7"/>
        <v>#VALUE!</v>
      </c>
      <c r="N201">
        <f>'Filtered Data'!P200</f>
        <v>0</v>
      </c>
      <c r="O201">
        <f>'Filtered Data'!N200</f>
        <v>0</v>
      </c>
      <c r="P201" t="s">
        <v>5669</v>
      </c>
      <c r="Q201" t="str">
        <f>IF('Filtered Data'!W200,"ITHybridCloudEngineeringOperationsMgmt@Marathonpetroleum.com","mark.newman2@dxc.com")</f>
        <v>mark.newman2@dxc.com</v>
      </c>
      <c r="R201">
        <f t="shared" si="8"/>
        <v>0</v>
      </c>
      <c r="S201" s="31" t="s">
        <v>5738</v>
      </c>
      <c r="T201" t="s">
        <v>1381</v>
      </c>
      <c r="U201">
        <f>'Filtered Data'!V200</f>
        <v>0</v>
      </c>
      <c r="V201" t="str">
        <f>IF('Filtered Data'!W200,"yes","no")</f>
        <v>no</v>
      </c>
      <c r="W201" t="s">
        <v>15</v>
      </c>
      <c r="X201">
        <f>'Filtered Data'!X200</f>
        <v>0</v>
      </c>
    </row>
    <row r="202" spans="1:24" x14ac:dyDescent="0.35">
      <c r="A202">
        <f>'Filtered Data'!A201</f>
        <v>0</v>
      </c>
      <c r="B202">
        <f>'Filtered Data'!B201</f>
        <v>0</v>
      </c>
      <c r="C202" t="s">
        <v>2</v>
      </c>
      <c r="D202" t="e">
        <f>VLOOKUP('Filtered Data'!Z201,'Data Mapping'!$A$4:$B$7,2,0)</f>
        <v>#N/A</v>
      </c>
      <c r="E202" t="e">
        <f>VLOOKUP('Filtered Data'!C201,'Data Mapping'!$E$3:$F$97,2,0)</f>
        <v>#N/A</v>
      </c>
      <c r="F202">
        <f>'Filtered Data'!D201</f>
        <v>0</v>
      </c>
      <c r="G202" t="e">
        <f>VLOOKUP('Filtered Data'!E201,'Data Mapping'!$J$3:$K$11,2,0)</f>
        <v>#N/A</v>
      </c>
      <c r="H202">
        <f>'Filtered Data'!F201</f>
        <v>0</v>
      </c>
      <c r="I202" t="s">
        <v>5668</v>
      </c>
      <c r="J202" t="s">
        <v>1609</v>
      </c>
      <c r="K202" t="e">
        <f>VLOOKUP('Filtered Data'!A201,'Input 1 CMDB'!A:I,9,0)</f>
        <v>#N/A</v>
      </c>
      <c r="L202">
        <f>'Filtered Data'!K201</f>
        <v>0</v>
      </c>
      <c r="M202" t="e">
        <f t="shared" si="7"/>
        <v>#VALUE!</v>
      </c>
      <c r="N202">
        <f>'Filtered Data'!P201</f>
        <v>0</v>
      </c>
      <c r="O202">
        <f>'Filtered Data'!N201</f>
        <v>0</v>
      </c>
      <c r="P202" t="s">
        <v>5669</v>
      </c>
      <c r="Q202" t="str">
        <f>IF('Filtered Data'!W201,"ITHybridCloudEngineeringOperationsMgmt@Marathonpetroleum.com","mark.newman2@dxc.com")</f>
        <v>mark.newman2@dxc.com</v>
      </c>
      <c r="R202">
        <f t="shared" si="8"/>
        <v>0</v>
      </c>
      <c r="S202" s="31" t="s">
        <v>5738</v>
      </c>
      <c r="T202" t="s">
        <v>1381</v>
      </c>
      <c r="U202">
        <f>'Filtered Data'!V201</f>
        <v>0</v>
      </c>
      <c r="V202" t="str">
        <f>IF('Filtered Data'!W201,"yes","no")</f>
        <v>no</v>
      </c>
      <c r="W202" t="s">
        <v>15</v>
      </c>
      <c r="X202">
        <f>'Filtered Data'!X201</f>
        <v>0</v>
      </c>
    </row>
    <row r="203" spans="1:24" x14ac:dyDescent="0.35">
      <c r="A203">
        <f>'Filtered Data'!A202</f>
        <v>0</v>
      </c>
      <c r="B203">
        <f>'Filtered Data'!B202</f>
        <v>0</v>
      </c>
      <c r="C203" t="s">
        <v>2</v>
      </c>
      <c r="D203" t="e">
        <f>VLOOKUP('Filtered Data'!Z202,'Data Mapping'!$A$4:$B$7,2,0)</f>
        <v>#N/A</v>
      </c>
      <c r="E203" t="e">
        <f>VLOOKUP('Filtered Data'!C202,'Data Mapping'!$E$3:$F$97,2,0)</f>
        <v>#N/A</v>
      </c>
      <c r="F203">
        <f>'Filtered Data'!D202</f>
        <v>0</v>
      </c>
      <c r="G203" t="e">
        <f>VLOOKUP('Filtered Data'!E202,'Data Mapping'!$J$3:$K$11,2,0)</f>
        <v>#N/A</v>
      </c>
      <c r="H203">
        <f>'Filtered Data'!F202</f>
        <v>0</v>
      </c>
      <c r="I203" t="s">
        <v>5668</v>
      </c>
      <c r="J203" t="s">
        <v>1609</v>
      </c>
      <c r="K203" t="e">
        <f>VLOOKUP('Filtered Data'!A202,'Input 1 CMDB'!A:I,9,0)</f>
        <v>#N/A</v>
      </c>
      <c r="L203">
        <f>'Filtered Data'!K202</f>
        <v>0</v>
      </c>
      <c r="M203" t="e">
        <f t="shared" si="7"/>
        <v>#VALUE!</v>
      </c>
      <c r="N203">
        <f>'Filtered Data'!P202</f>
        <v>0</v>
      </c>
      <c r="O203">
        <f>'Filtered Data'!N202</f>
        <v>0</v>
      </c>
      <c r="P203" t="s">
        <v>5669</v>
      </c>
      <c r="Q203" t="str">
        <f>IF('Filtered Data'!W202,"ITHybridCloudEngineeringOperationsMgmt@Marathonpetroleum.com","mark.newman2@dxc.com")</f>
        <v>mark.newman2@dxc.com</v>
      </c>
      <c r="R203">
        <f t="shared" si="8"/>
        <v>0</v>
      </c>
      <c r="S203" s="31" t="s">
        <v>5738</v>
      </c>
      <c r="T203" t="s">
        <v>1381</v>
      </c>
      <c r="U203">
        <f>'Filtered Data'!V202</f>
        <v>0</v>
      </c>
      <c r="V203" t="str">
        <f>IF('Filtered Data'!W202,"yes","no")</f>
        <v>no</v>
      </c>
      <c r="W203" t="s">
        <v>15</v>
      </c>
      <c r="X203">
        <f>'Filtered Data'!X202</f>
        <v>0</v>
      </c>
    </row>
    <row r="204" spans="1:24" x14ac:dyDescent="0.35">
      <c r="A204">
        <f>'Filtered Data'!A203</f>
        <v>0</v>
      </c>
      <c r="B204">
        <f>'Filtered Data'!B203</f>
        <v>0</v>
      </c>
      <c r="C204" t="s">
        <v>2</v>
      </c>
      <c r="D204" t="e">
        <f>VLOOKUP('Filtered Data'!Z203,'Data Mapping'!$A$4:$B$7,2,0)</f>
        <v>#N/A</v>
      </c>
      <c r="E204" t="e">
        <f>VLOOKUP('Filtered Data'!C203,'Data Mapping'!$E$3:$F$97,2,0)</f>
        <v>#N/A</v>
      </c>
      <c r="F204">
        <f>'Filtered Data'!D203</f>
        <v>0</v>
      </c>
      <c r="G204" t="e">
        <f>VLOOKUP('Filtered Data'!E203,'Data Mapping'!$J$3:$K$11,2,0)</f>
        <v>#N/A</v>
      </c>
      <c r="H204">
        <f>'Filtered Data'!F203</f>
        <v>0</v>
      </c>
      <c r="I204" t="s">
        <v>5668</v>
      </c>
      <c r="J204" t="s">
        <v>1609</v>
      </c>
      <c r="K204" t="e">
        <f>VLOOKUP('Filtered Data'!A203,'Input 1 CMDB'!A:I,9,0)</f>
        <v>#N/A</v>
      </c>
      <c r="L204">
        <f>'Filtered Data'!K203</f>
        <v>0</v>
      </c>
      <c r="M204" t="e">
        <f t="shared" si="7"/>
        <v>#VALUE!</v>
      </c>
      <c r="N204">
        <f>'Filtered Data'!P203</f>
        <v>0</v>
      </c>
      <c r="O204">
        <f>'Filtered Data'!N203</f>
        <v>0</v>
      </c>
      <c r="P204" t="s">
        <v>5669</v>
      </c>
      <c r="Q204" t="str">
        <f>IF('Filtered Data'!W203,"ITHybridCloudEngineeringOperationsMgmt@Marathonpetroleum.com","mark.newman2@dxc.com")</f>
        <v>mark.newman2@dxc.com</v>
      </c>
      <c r="R204">
        <f t="shared" si="8"/>
        <v>0</v>
      </c>
      <c r="S204" s="31" t="s">
        <v>5738</v>
      </c>
      <c r="T204" t="s">
        <v>1381</v>
      </c>
      <c r="U204">
        <f>'Filtered Data'!V203</f>
        <v>0</v>
      </c>
      <c r="V204" t="str">
        <f>IF('Filtered Data'!W203,"yes","no")</f>
        <v>no</v>
      </c>
      <c r="W204" t="s">
        <v>15</v>
      </c>
      <c r="X204">
        <f>'Filtered Data'!X203</f>
        <v>0</v>
      </c>
    </row>
    <row r="205" spans="1:24" x14ac:dyDescent="0.35">
      <c r="A205">
        <f>'Filtered Data'!A204</f>
        <v>0</v>
      </c>
      <c r="B205">
        <f>'Filtered Data'!B204</f>
        <v>0</v>
      </c>
      <c r="C205" t="s">
        <v>2</v>
      </c>
      <c r="D205" t="e">
        <f>VLOOKUP('Filtered Data'!Z204,'Data Mapping'!$A$4:$B$7,2,0)</f>
        <v>#N/A</v>
      </c>
      <c r="E205" t="e">
        <f>VLOOKUP('Filtered Data'!C204,'Data Mapping'!$E$3:$F$97,2,0)</f>
        <v>#N/A</v>
      </c>
      <c r="F205">
        <f>'Filtered Data'!D204</f>
        <v>0</v>
      </c>
      <c r="G205" t="e">
        <f>VLOOKUP('Filtered Data'!E204,'Data Mapping'!$J$3:$K$11,2,0)</f>
        <v>#N/A</v>
      </c>
      <c r="H205">
        <f>'Filtered Data'!F204</f>
        <v>0</v>
      </c>
      <c r="I205" t="s">
        <v>5668</v>
      </c>
      <c r="J205" t="s">
        <v>1609</v>
      </c>
      <c r="K205" t="e">
        <f>VLOOKUP('Filtered Data'!A204,'Input 1 CMDB'!A:I,9,0)</f>
        <v>#N/A</v>
      </c>
      <c r="L205">
        <f>'Filtered Data'!K204</f>
        <v>0</v>
      </c>
      <c r="M205" t="e">
        <f t="shared" si="7"/>
        <v>#VALUE!</v>
      </c>
      <c r="N205">
        <f>'Filtered Data'!P204</f>
        <v>0</v>
      </c>
      <c r="O205">
        <f>'Filtered Data'!N204</f>
        <v>0</v>
      </c>
      <c r="P205" t="s">
        <v>5669</v>
      </c>
      <c r="Q205" t="str">
        <f>IF('Filtered Data'!W204,"ITHybridCloudEngineeringOperationsMgmt@Marathonpetroleum.com","mark.newman2@dxc.com")</f>
        <v>mark.newman2@dxc.com</v>
      </c>
      <c r="R205">
        <f t="shared" si="8"/>
        <v>0</v>
      </c>
      <c r="S205" s="31" t="s">
        <v>5738</v>
      </c>
      <c r="T205" t="s">
        <v>1381</v>
      </c>
      <c r="U205">
        <f>'Filtered Data'!V204</f>
        <v>0</v>
      </c>
      <c r="V205" t="str">
        <f>IF('Filtered Data'!W204,"yes","no")</f>
        <v>no</v>
      </c>
      <c r="W205" t="s">
        <v>15</v>
      </c>
      <c r="X205">
        <f>'Filtered Data'!X204</f>
        <v>0</v>
      </c>
    </row>
    <row r="206" spans="1:24" x14ac:dyDescent="0.35">
      <c r="A206">
        <f>'Filtered Data'!A205</f>
        <v>0</v>
      </c>
      <c r="B206">
        <f>'Filtered Data'!B205</f>
        <v>0</v>
      </c>
      <c r="C206" t="s">
        <v>2</v>
      </c>
      <c r="D206" t="e">
        <f>VLOOKUP('Filtered Data'!Z205,'Data Mapping'!$A$4:$B$7,2,0)</f>
        <v>#N/A</v>
      </c>
      <c r="E206" t="e">
        <f>VLOOKUP('Filtered Data'!C205,'Data Mapping'!$E$3:$F$97,2,0)</f>
        <v>#N/A</v>
      </c>
      <c r="F206">
        <f>'Filtered Data'!D205</f>
        <v>0</v>
      </c>
      <c r="G206" t="e">
        <f>VLOOKUP('Filtered Data'!E205,'Data Mapping'!$J$3:$K$11,2,0)</f>
        <v>#N/A</v>
      </c>
      <c r="H206">
        <f>'Filtered Data'!F205</f>
        <v>0</v>
      </c>
      <c r="I206" t="s">
        <v>5668</v>
      </c>
      <c r="J206" t="s">
        <v>1609</v>
      </c>
      <c r="K206" t="e">
        <f>VLOOKUP('Filtered Data'!A205,'Input 1 CMDB'!A:I,9,0)</f>
        <v>#N/A</v>
      </c>
      <c r="L206">
        <f>'Filtered Data'!K205</f>
        <v>0</v>
      </c>
      <c r="M206" t="e">
        <f t="shared" si="7"/>
        <v>#VALUE!</v>
      </c>
      <c r="N206">
        <f>'Filtered Data'!P205</f>
        <v>0</v>
      </c>
      <c r="O206">
        <f>'Filtered Data'!N205</f>
        <v>0</v>
      </c>
      <c r="P206" t="s">
        <v>5669</v>
      </c>
      <c r="Q206" t="str">
        <f>IF('Filtered Data'!W205,"ITHybridCloudEngineeringOperationsMgmt@Marathonpetroleum.com","mark.newman2@dxc.com")</f>
        <v>mark.newman2@dxc.com</v>
      </c>
      <c r="R206">
        <f t="shared" si="8"/>
        <v>0</v>
      </c>
      <c r="S206" s="31" t="s">
        <v>5738</v>
      </c>
      <c r="T206" t="s">
        <v>1381</v>
      </c>
      <c r="U206">
        <f>'Filtered Data'!V205</f>
        <v>0</v>
      </c>
      <c r="V206" t="str">
        <f>IF('Filtered Data'!W205,"yes","no")</f>
        <v>no</v>
      </c>
      <c r="W206" t="s">
        <v>15</v>
      </c>
      <c r="X206">
        <f>'Filtered Data'!X205</f>
        <v>0</v>
      </c>
    </row>
    <row r="207" spans="1:24" x14ac:dyDescent="0.35">
      <c r="A207">
        <f>'Filtered Data'!A206</f>
        <v>0</v>
      </c>
      <c r="B207">
        <f>'Filtered Data'!B206</f>
        <v>0</v>
      </c>
      <c r="C207" t="s">
        <v>2</v>
      </c>
      <c r="D207" t="e">
        <f>VLOOKUP('Filtered Data'!Z206,'Data Mapping'!$A$4:$B$7,2,0)</f>
        <v>#N/A</v>
      </c>
      <c r="E207" t="e">
        <f>VLOOKUP('Filtered Data'!C206,'Data Mapping'!$E$3:$F$97,2,0)</f>
        <v>#N/A</v>
      </c>
      <c r="F207">
        <f>'Filtered Data'!D206</f>
        <v>0</v>
      </c>
      <c r="G207" t="e">
        <f>VLOOKUP('Filtered Data'!E206,'Data Mapping'!$J$3:$K$11,2,0)</f>
        <v>#N/A</v>
      </c>
      <c r="H207">
        <f>'Filtered Data'!F206</f>
        <v>0</v>
      </c>
      <c r="I207" t="s">
        <v>5668</v>
      </c>
      <c r="J207" t="s">
        <v>1609</v>
      </c>
      <c r="K207" t="e">
        <f>VLOOKUP('Filtered Data'!A206,'Input 1 CMDB'!A:I,9,0)</f>
        <v>#N/A</v>
      </c>
      <c r="L207">
        <f>'Filtered Data'!K206</f>
        <v>0</v>
      </c>
      <c r="M207" t="e">
        <f t="shared" si="7"/>
        <v>#VALUE!</v>
      </c>
      <c r="N207">
        <f>'Filtered Data'!P206</f>
        <v>0</v>
      </c>
      <c r="O207">
        <f>'Filtered Data'!N206</f>
        <v>0</v>
      </c>
      <c r="P207" t="s">
        <v>5669</v>
      </c>
      <c r="Q207" t="str">
        <f>IF('Filtered Data'!W206,"ITHybridCloudEngineeringOperationsMgmt@Marathonpetroleum.com","mark.newman2@dxc.com")</f>
        <v>mark.newman2@dxc.com</v>
      </c>
      <c r="R207">
        <f t="shared" si="8"/>
        <v>0</v>
      </c>
      <c r="S207" s="31" t="s">
        <v>5738</v>
      </c>
      <c r="T207" t="s">
        <v>1381</v>
      </c>
      <c r="U207">
        <f>'Filtered Data'!V206</f>
        <v>0</v>
      </c>
      <c r="V207" t="str">
        <f>IF('Filtered Data'!W206,"yes","no")</f>
        <v>no</v>
      </c>
      <c r="W207" t="s">
        <v>15</v>
      </c>
      <c r="X207">
        <f>'Filtered Data'!X206</f>
        <v>0</v>
      </c>
    </row>
    <row r="208" spans="1:24" x14ac:dyDescent="0.35">
      <c r="A208">
        <f>'Filtered Data'!A207</f>
        <v>0</v>
      </c>
      <c r="B208">
        <f>'Filtered Data'!B207</f>
        <v>0</v>
      </c>
      <c r="C208" t="s">
        <v>2</v>
      </c>
      <c r="D208" t="e">
        <f>VLOOKUP('Filtered Data'!Z207,'Data Mapping'!$A$4:$B$7,2,0)</f>
        <v>#N/A</v>
      </c>
      <c r="E208" t="e">
        <f>VLOOKUP('Filtered Data'!C207,'Data Mapping'!$E$3:$F$97,2,0)</f>
        <v>#N/A</v>
      </c>
      <c r="F208">
        <f>'Filtered Data'!D207</f>
        <v>0</v>
      </c>
      <c r="G208" t="e">
        <f>VLOOKUP('Filtered Data'!E207,'Data Mapping'!$J$3:$K$11,2,0)</f>
        <v>#N/A</v>
      </c>
      <c r="H208">
        <f>'Filtered Data'!F207</f>
        <v>0</v>
      </c>
      <c r="I208" t="s">
        <v>5668</v>
      </c>
      <c r="J208" t="s">
        <v>1609</v>
      </c>
      <c r="K208" t="e">
        <f>VLOOKUP('Filtered Data'!A207,'Input 1 CMDB'!A:I,9,0)</f>
        <v>#N/A</v>
      </c>
      <c r="L208">
        <f>'Filtered Data'!K207</f>
        <v>0</v>
      </c>
      <c r="M208" t="e">
        <f t="shared" si="7"/>
        <v>#VALUE!</v>
      </c>
      <c r="N208">
        <f>'Filtered Data'!P207</f>
        <v>0</v>
      </c>
      <c r="O208">
        <f>'Filtered Data'!N207</f>
        <v>0</v>
      </c>
      <c r="P208" t="s">
        <v>5669</v>
      </c>
      <c r="Q208" t="str">
        <f>IF('Filtered Data'!W207,"ITHybridCloudEngineeringOperationsMgmt@Marathonpetroleum.com","mark.newman2@dxc.com")</f>
        <v>mark.newman2@dxc.com</v>
      </c>
      <c r="R208">
        <f t="shared" si="8"/>
        <v>0</v>
      </c>
      <c r="S208" s="31" t="s">
        <v>5738</v>
      </c>
      <c r="T208" t="s">
        <v>1381</v>
      </c>
      <c r="U208">
        <f>'Filtered Data'!V207</f>
        <v>0</v>
      </c>
      <c r="V208" t="str">
        <f>IF('Filtered Data'!W207,"yes","no")</f>
        <v>no</v>
      </c>
      <c r="W208" t="s">
        <v>15</v>
      </c>
      <c r="X208">
        <f>'Filtered Data'!X207</f>
        <v>0</v>
      </c>
    </row>
    <row r="209" spans="1:24" x14ac:dyDescent="0.35">
      <c r="A209">
        <f>'Filtered Data'!A208</f>
        <v>0</v>
      </c>
      <c r="B209">
        <f>'Filtered Data'!B208</f>
        <v>0</v>
      </c>
      <c r="C209" t="s">
        <v>2</v>
      </c>
      <c r="D209" t="e">
        <f>VLOOKUP('Filtered Data'!Z208,'Data Mapping'!$A$4:$B$7,2,0)</f>
        <v>#N/A</v>
      </c>
      <c r="E209" t="e">
        <f>VLOOKUP('Filtered Data'!C208,'Data Mapping'!$E$3:$F$97,2,0)</f>
        <v>#N/A</v>
      </c>
      <c r="F209">
        <f>'Filtered Data'!D208</f>
        <v>0</v>
      </c>
      <c r="G209" t="e">
        <f>VLOOKUP('Filtered Data'!E208,'Data Mapping'!$J$3:$K$11,2,0)</f>
        <v>#N/A</v>
      </c>
      <c r="H209">
        <f>'Filtered Data'!F208</f>
        <v>0</v>
      </c>
      <c r="I209" t="s">
        <v>5668</v>
      </c>
      <c r="J209" t="s">
        <v>1609</v>
      </c>
      <c r="K209" t="e">
        <f>VLOOKUP('Filtered Data'!A208,'Input 1 CMDB'!A:I,9,0)</f>
        <v>#N/A</v>
      </c>
      <c r="L209">
        <f>'Filtered Data'!K208</f>
        <v>0</v>
      </c>
      <c r="M209" t="e">
        <f t="shared" si="7"/>
        <v>#VALUE!</v>
      </c>
      <c r="N209">
        <f>'Filtered Data'!P208</f>
        <v>0</v>
      </c>
      <c r="O209">
        <f>'Filtered Data'!N208</f>
        <v>0</v>
      </c>
      <c r="P209" t="s">
        <v>5669</v>
      </c>
      <c r="Q209" t="str">
        <f>IF('Filtered Data'!W208,"ITHybridCloudEngineeringOperationsMgmt@Marathonpetroleum.com","mark.newman2@dxc.com")</f>
        <v>mark.newman2@dxc.com</v>
      </c>
      <c r="R209">
        <f t="shared" si="8"/>
        <v>0</v>
      </c>
      <c r="S209" s="31" t="s">
        <v>5738</v>
      </c>
      <c r="T209" t="s">
        <v>1381</v>
      </c>
      <c r="U209">
        <f>'Filtered Data'!V208</f>
        <v>0</v>
      </c>
      <c r="V209" t="str">
        <f>IF('Filtered Data'!W208,"yes","no")</f>
        <v>no</v>
      </c>
      <c r="W209" t="s">
        <v>15</v>
      </c>
      <c r="X209">
        <f>'Filtered Data'!X208</f>
        <v>0</v>
      </c>
    </row>
    <row r="210" spans="1:24" x14ac:dyDescent="0.35">
      <c r="A210">
        <f>'Filtered Data'!A209</f>
        <v>0</v>
      </c>
      <c r="B210">
        <f>'Filtered Data'!B209</f>
        <v>0</v>
      </c>
      <c r="C210" t="s">
        <v>2</v>
      </c>
      <c r="D210" t="e">
        <f>VLOOKUP('Filtered Data'!Z209,'Data Mapping'!$A$4:$B$7,2,0)</f>
        <v>#N/A</v>
      </c>
      <c r="E210" t="e">
        <f>VLOOKUP('Filtered Data'!C209,'Data Mapping'!$E$3:$F$97,2,0)</f>
        <v>#N/A</v>
      </c>
      <c r="F210">
        <f>'Filtered Data'!D209</f>
        <v>0</v>
      </c>
      <c r="G210" t="e">
        <f>VLOOKUP('Filtered Data'!E209,'Data Mapping'!$J$3:$K$11,2,0)</f>
        <v>#N/A</v>
      </c>
      <c r="H210">
        <f>'Filtered Data'!F209</f>
        <v>0</v>
      </c>
      <c r="I210" t="s">
        <v>5668</v>
      </c>
      <c r="J210" t="s">
        <v>1609</v>
      </c>
      <c r="K210" t="e">
        <f>VLOOKUP('Filtered Data'!A209,'Input 1 CMDB'!A:I,9,0)</f>
        <v>#N/A</v>
      </c>
      <c r="L210">
        <f>'Filtered Data'!K209</f>
        <v>0</v>
      </c>
      <c r="M210" t="e">
        <f t="shared" si="7"/>
        <v>#VALUE!</v>
      </c>
      <c r="N210">
        <f>'Filtered Data'!P209</f>
        <v>0</v>
      </c>
      <c r="O210">
        <f>'Filtered Data'!N209</f>
        <v>0</v>
      </c>
      <c r="P210" t="s">
        <v>5669</v>
      </c>
      <c r="Q210" t="str">
        <f>IF('Filtered Data'!W209,"ITHybridCloudEngineeringOperationsMgmt@Marathonpetroleum.com","mark.newman2@dxc.com")</f>
        <v>mark.newman2@dxc.com</v>
      </c>
      <c r="R210">
        <f t="shared" si="8"/>
        <v>0</v>
      </c>
      <c r="S210" s="31" t="s">
        <v>5738</v>
      </c>
      <c r="T210" t="s">
        <v>1381</v>
      </c>
      <c r="U210">
        <f>'Filtered Data'!V209</f>
        <v>0</v>
      </c>
      <c r="V210" t="str">
        <f>IF('Filtered Data'!W209,"yes","no")</f>
        <v>no</v>
      </c>
      <c r="W210" t="s">
        <v>15</v>
      </c>
      <c r="X210">
        <f>'Filtered Data'!X209</f>
        <v>0</v>
      </c>
    </row>
    <row r="211" spans="1:24" x14ac:dyDescent="0.35">
      <c r="A211">
        <f>'Filtered Data'!A210</f>
        <v>0</v>
      </c>
      <c r="B211">
        <f>'Filtered Data'!B210</f>
        <v>0</v>
      </c>
      <c r="C211" t="s">
        <v>2</v>
      </c>
      <c r="D211" t="e">
        <f>VLOOKUP('Filtered Data'!Z210,'Data Mapping'!$A$4:$B$7,2,0)</f>
        <v>#N/A</v>
      </c>
      <c r="E211" t="e">
        <f>VLOOKUP('Filtered Data'!C210,'Data Mapping'!$E$3:$F$97,2,0)</f>
        <v>#N/A</v>
      </c>
      <c r="F211">
        <f>'Filtered Data'!D210</f>
        <v>0</v>
      </c>
      <c r="G211" t="e">
        <f>VLOOKUP('Filtered Data'!E210,'Data Mapping'!$J$3:$K$11,2,0)</f>
        <v>#N/A</v>
      </c>
      <c r="H211">
        <f>'Filtered Data'!F210</f>
        <v>0</v>
      </c>
      <c r="I211" t="s">
        <v>5668</v>
      </c>
      <c r="J211" t="s">
        <v>1609</v>
      </c>
      <c r="K211" t="e">
        <f>VLOOKUP('Filtered Data'!A210,'Input 1 CMDB'!A:I,9,0)</f>
        <v>#N/A</v>
      </c>
      <c r="L211">
        <f>'Filtered Data'!K210</f>
        <v>0</v>
      </c>
      <c r="M211" t="e">
        <f t="shared" si="7"/>
        <v>#VALUE!</v>
      </c>
      <c r="N211">
        <f>'Filtered Data'!P210</f>
        <v>0</v>
      </c>
      <c r="O211">
        <f>'Filtered Data'!N210</f>
        <v>0</v>
      </c>
      <c r="P211" t="s">
        <v>5669</v>
      </c>
      <c r="Q211" t="str">
        <f>IF('Filtered Data'!W210,"ITHybridCloudEngineeringOperationsMgmt@Marathonpetroleum.com","mark.newman2@dxc.com")</f>
        <v>mark.newman2@dxc.com</v>
      </c>
      <c r="R211">
        <f t="shared" si="8"/>
        <v>0</v>
      </c>
      <c r="S211" s="31" t="s">
        <v>5738</v>
      </c>
      <c r="T211" t="s">
        <v>1381</v>
      </c>
      <c r="U211">
        <f>'Filtered Data'!V210</f>
        <v>0</v>
      </c>
      <c r="V211" t="str">
        <f>IF('Filtered Data'!W210,"yes","no")</f>
        <v>no</v>
      </c>
      <c r="W211" t="s">
        <v>15</v>
      </c>
      <c r="X211">
        <f>'Filtered Data'!X210</f>
        <v>0</v>
      </c>
    </row>
    <row r="212" spans="1:24" x14ac:dyDescent="0.35">
      <c r="A212">
        <f>'Filtered Data'!A211</f>
        <v>0</v>
      </c>
      <c r="B212">
        <f>'Filtered Data'!B211</f>
        <v>0</v>
      </c>
      <c r="C212" t="s">
        <v>2</v>
      </c>
      <c r="D212" t="e">
        <f>VLOOKUP('Filtered Data'!Z211,'Data Mapping'!$A$4:$B$7,2,0)</f>
        <v>#N/A</v>
      </c>
      <c r="E212" t="e">
        <f>VLOOKUP('Filtered Data'!C211,'Data Mapping'!$E$3:$F$97,2,0)</f>
        <v>#N/A</v>
      </c>
      <c r="F212">
        <f>'Filtered Data'!D211</f>
        <v>0</v>
      </c>
      <c r="G212" t="e">
        <f>VLOOKUP('Filtered Data'!E211,'Data Mapping'!$J$3:$K$11,2,0)</f>
        <v>#N/A</v>
      </c>
      <c r="H212">
        <f>'Filtered Data'!F211</f>
        <v>0</v>
      </c>
      <c r="I212" t="s">
        <v>5668</v>
      </c>
      <c r="J212" t="s">
        <v>1609</v>
      </c>
      <c r="K212" t="e">
        <f>VLOOKUP('Filtered Data'!A211,'Input 1 CMDB'!A:I,9,0)</f>
        <v>#N/A</v>
      </c>
      <c r="L212">
        <f>'Filtered Data'!K211</f>
        <v>0</v>
      </c>
      <c r="M212" t="e">
        <f t="shared" si="7"/>
        <v>#VALUE!</v>
      </c>
      <c r="N212">
        <f>'Filtered Data'!P211</f>
        <v>0</v>
      </c>
      <c r="O212">
        <f>'Filtered Data'!N211</f>
        <v>0</v>
      </c>
      <c r="P212" t="s">
        <v>5669</v>
      </c>
      <c r="Q212" t="str">
        <f>IF('Filtered Data'!W211,"ITHybridCloudEngineeringOperationsMgmt@Marathonpetroleum.com","mark.newman2@dxc.com")</f>
        <v>mark.newman2@dxc.com</v>
      </c>
      <c r="R212">
        <f t="shared" si="8"/>
        <v>0</v>
      </c>
      <c r="S212" s="31" t="s">
        <v>5738</v>
      </c>
      <c r="T212" t="s">
        <v>1381</v>
      </c>
      <c r="U212">
        <f>'Filtered Data'!V211</f>
        <v>0</v>
      </c>
      <c r="V212" t="str">
        <f>IF('Filtered Data'!W211,"yes","no")</f>
        <v>no</v>
      </c>
      <c r="W212" t="s">
        <v>15</v>
      </c>
      <c r="X212">
        <f>'Filtered Data'!X211</f>
        <v>0</v>
      </c>
    </row>
    <row r="213" spans="1:24" x14ac:dyDescent="0.35">
      <c r="A213">
        <f>'Filtered Data'!A212</f>
        <v>0</v>
      </c>
      <c r="B213">
        <f>'Filtered Data'!B212</f>
        <v>0</v>
      </c>
      <c r="C213" t="s">
        <v>2</v>
      </c>
      <c r="D213" t="e">
        <f>VLOOKUP('Filtered Data'!Z212,'Data Mapping'!$A$4:$B$7,2,0)</f>
        <v>#N/A</v>
      </c>
      <c r="E213" t="e">
        <f>VLOOKUP('Filtered Data'!C212,'Data Mapping'!$E$3:$F$97,2,0)</f>
        <v>#N/A</v>
      </c>
      <c r="F213">
        <f>'Filtered Data'!D212</f>
        <v>0</v>
      </c>
      <c r="G213" t="e">
        <f>VLOOKUP('Filtered Data'!E212,'Data Mapping'!$J$3:$K$11,2,0)</f>
        <v>#N/A</v>
      </c>
      <c r="H213">
        <f>'Filtered Data'!F212</f>
        <v>0</v>
      </c>
      <c r="I213" t="s">
        <v>5668</v>
      </c>
      <c r="J213" t="s">
        <v>1609</v>
      </c>
      <c r="K213" t="e">
        <f>VLOOKUP('Filtered Data'!A212,'Input 1 CMDB'!A:I,9,0)</f>
        <v>#N/A</v>
      </c>
      <c r="L213">
        <f>'Filtered Data'!K212</f>
        <v>0</v>
      </c>
      <c r="M213" t="e">
        <f t="shared" si="7"/>
        <v>#VALUE!</v>
      </c>
      <c r="N213">
        <f>'Filtered Data'!P212</f>
        <v>0</v>
      </c>
      <c r="O213">
        <f>'Filtered Data'!N212</f>
        <v>0</v>
      </c>
      <c r="P213" t="s">
        <v>5669</v>
      </c>
      <c r="Q213" t="str">
        <f>IF('Filtered Data'!W212,"ITHybridCloudEngineeringOperationsMgmt@Marathonpetroleum.com","mark.newman2@dxc.com")</f>
        <v>mark.newman2@dxc.com</v>
      </c>
      <c r="R213">
        <f t="shared" si="8"/>
        <v>0</v>
      </c>
      <c r="S213" s="31" t="s">
        <v>5738</v>
      </c>
      <c r="T213" t="s">
        <v>1381</v>
      </c>
      <c r="U213">
        <f>'Filtered Data'!V212</f>
        <v>0</v>
      </c>
      <c r="V213" t="str">
        <f>IF('Filtered Data'!W212,"yes","no")</f>
        <v>no</v>
      </c>
      <c r="W213" t="s">
        <v>15</v>
      </c>
      <c r="X213">
        <f>'Filtered Data'!X212</f>
        <v>0</v>
      </c>
    </row>
    <row r="214" spans="1:24" x14ac:dyDescent="0.35">
      <c r="A214">
        <f>'Filtered Data'!A213</f>
        <v>0</v>
      </c>
      <c r="B214">
        <f>'Filtered Data'!B213</f>
        <v>0</v>
      </c>
      <c r="C214" t="s">
        <v>2</v>
      </c>
      <c r="D214" t="e">
        <f>VLOOKUP('Filtered Data'!Z213,'Data Mapping'!$A$4:$B$7,2,0)</f>
        <v>#N/A</v>
      </c>
      <c r="E214" t="e">
        <f>VLOOKUP('Filtered Data'!C213,'Data Mapping'!$E$3:$F$97,2,0)</f>
        <v>#N/A</v>
      </c>
      <c r="F214">
        <f>'Filtered Data'!D213</f>
        <v>0</v>
      </c>
      <c r="G214" t="e">
        <f>VLOOKUP('Filtered Data'!E213,'Data Mapping'!$J$3:$K$11,2,0)</f>
        <v>#N/A</v>
      </c>
      <c r="H214">
        <f>'Filtered Data'!F213</f>
        <v>0</v>
      </c>
      <c r="I214" t="s">
        <v>5668</v>
      </c>
      <c r="J214" t="s">
        <v>1609</v>
      </c>
      <c r="K214" t="e">
        <f>VLOOKUP('Filtered Data'!A213,'Input 1 CMDB'!A:I,9,0)</f>
        <v>#N/A</v>
      </c>
      <c r="L214">
        <f>'Filtered Data'!K213</f>
        <v>0</v>
      </c>
      <c r="M214" t="e">
        <f t="shared" si="7"/>
        <v>#VALUE!</v>
      </c>
      <c r="N214">
        <f>'Filtered Data'!P213</f>
        <v>0</v>
      </c>
      <c r="O214">
        <f>'Filtered Data'!N213</f>
        <v>0</v>
      </c>
      <c r="P214" t="s">
        <v>5669</v>
      </c>
      <c r="Q214" t="str">
        <f>IF('Filtered Data'!W213,"ITHybridCloudEngineeringOperationsMgmt@Marathonpetroleum.com","mark.newman2@dxc.com")</f>
        <v>mark.newman2@dxc.com</v>
      </c>
      <c r="R214">
        <f t="shared" si="8"/>
        <v>0</v>
      </c>
      <c r="S214" s="31" t="s">
        <v>5738</v>
      </c>
      <c r="T214" t="s">
        <v>1381</v>
      </c>
      <c r="U214">
        <f>'Filtered Data'!V213</f>
        <v>0</v>
      </c>
      <c r="V214" t="str">
        <f>IF('Filtered Data'!W213,"yes","no")</f>
        <v>no</v>
      </c>
      <c r="W214" t="s">
        <v>15</v>
      </c>
      <c r="X214">
        <f>'Filtered Data'!X213</f>
        <v>0</v>
      </c>
    </row>
    <row r="215" spans="1:24" x14ac:dyDescent="0.35">
      <c r="A215">
        <f>'Filtered Data'!A214</f>
        <v>0</v>
      </c>
      <c r="B215">
        <f>'Filtered Data'!B214</f>
        <v>0</v>
      </c>
      <c r="C215" t="s">
        <v>2</v>
      </c>
      <c r="D215" t="e">
        <f>VLOOKUP('Filtered Data'!Z214,'Data Mapping'!$A$4:$B$7,2,0)</f>
        <v>#N/A</v>
      </c>
      <c r="E215" t="e">
        <f>VLOOKUP('Filtered Data'!C214,'Data Mapping'!$E$3:$F$97,2,0)</f>
        <v>#N/A</v>
      </c>
      <c r="F215">
        <f>'Filtered Data'!D214</f>
        <v>0</v>
      </c>
      <c r="G215" t="e">
        <f>VLOOKUP('Filtered Data'!E214,'Data Mapping'!$J$3:$K$11,2,0)</f>
        <v>#N/A</v>
      </c>
      <c r="H215">
        <f>'Filtered Data'!F214</f>
        <v>0</v>
      </c>
      <c r="I215" t="s">
        <v>5668</v>
      </c>
      <c r="J215" t="s">
        <v>1609</v>
      </c>
      <c r="K215" t="e">
        <f>VLOOKUP('Filtered Data'!A214,'Input 1 CMDB'!A:I,9,0)</f>
        <v>#N/A</v>
      </c>
      <c r="L215">
        <f>'Filtered Data'!K214</f>
        <v>0</v>
      </c>
      <c r="M215" t="e">
        <f t="shared" si="7"/>
        <v>#VALUE!</v>
      </c>
      <c r="N215">
        <f>'Filtered Data'!P214</f>
        <v>0</v>
      </c>
      <c r="O215">
        <f>'Filtered Data'!N214</f>
        <v>0</v>
      </c>
      <c r="P215" t="s">
        <v>5669</v>
      </c>
      <c r="Q215" t="str">
        <f>IF('Filtered Data'!W214,"ITHybridCloudEngineeringOperationsMgmt@Marathonpetroleum.com","mark.newman2@dxc.com")</f>
        <v>mark.newman2@dxc.com</v>
      </c>
      <c r="R215">
        <f t="shared" si="8"/>
        <v>0</v>
      </c>
      <c r="S215" s="31" t="s">
        <v>5738</v>
      </c>
      <c r="T215" t="s">
        <v>1381</v>
      </c>
      <c r="U215">
        <f>'Filtered Data'!V214</f>
        <v>0</v>
      </c>
      <c r="V215" t="str">
        <f>IF('Filtered Data'!W214,"yes","no")</f>
        <v>no</v>
      </c>
      <c r="W215" t="s">
        <v>15</v>
      </c>
      <c r="X215">
        <f>'Filtered Data'!X214</f>
        <v>0</v>
      </c>
    </row>
    <row r="216" spans="1:24" x14ac:dyDescent="0.35">
      <c r="A216">
        <f>'Filtered Data'!A215</f>
        <v>0</v>
      </c>
      <c r="B216">
        <f>'Filtered Data'!B215</f>
        <v>0</v>
      </c>
      <c r="C216" t="s">
        <v>2</v>
      </c>
      <c r="D216" t="e">
        <f>VLOOKUP('Filtered Data'!Z215,'Data Mapping'!$A$4:$B$7,2,0)</f>
        <v>#N/A</v>
      </c>
      <c r="E216" t="e">
        <f>VLOOKUP('Filtered Data'!C215,'Data Mapping'!$E$3:$F$97,2,0)</f>
        <v>#N/A</v>
      </c>
      <c r="F216">
        <f>'Filtered Data'!D215</f>
        <v>0</v>
      </c>
      <c r="G216" t="e">
        <f>VLOOKUP('Filtered Data'!E215,'Data Mapping'!$J$3:$K$11,2,0)</f>
        <v>#N/A</v>
      </c>
      <c r="H216">
        <f>'Filtered Data'!F215</f>
        <v>0</v>
      </c>
      <c r="I216" t="s">
        <v>5668</v>
      </c>
      <c r="J216" t="s">
        <v>1609</v>
      </c>
      <c r="K216" t="e">
        <f>VLOOKUP('Filtered Data'!A215,'Input 1 CMDB'!A:I,9,0)</f>
        <v>#N/A</v>
      </c>
      <c r="L216">
        <f>'Filtered Data'!K215</f>
        <v>0</v>
      </c>
      <c r="M216" t="e">
        <f t="shared" si="7"/>
        <v>#VALUE!</v>
      </c>
      <c r="N216">
        <f>'Filtered Data'!P215</f>
        <v>0</v>
      </c>
      <c r="O216">
        <f>'Filtered Data'!N215</f>
        <v>0</v>
      </c>
      <c r="P216" t="s">
        <v>5669</v>
      </c>
      <c r="Q216" t="str">
        <f>IF('Filtered Data'!W215,"ITHybridCloudEngineeringOperationsMgmt@Marathonpetroleum.com","mark.newman2@dxc.com")</f>
        <v>mark.newman2@dxc.com</v>
      </c>
      <c r="R216">
        <f t="shared" si="8"/>
        <v>0</v>
      </c>
      <c r="S216" s="31" t="s">
        <v>5738</v>
      </c>
      <c r="T216" t="s">
        <v>1381</v>
      </c>
      <c r="U216">
        <f>'Filtered Data'!V215</f>
        <v>0</v>
      </c>
      <c r="V216" t="str">
        <f>IF('Filtered Data'!W215,"yes","no")</f>
        <v>no</v>
      </c>
      <c r="W216" t="s">
        <v>15</v>
      </c>
      <c r="X216">
        <f>'Filtered Data'!X215</f>
        <v>0</v>
      </c>
    </row>
    <row r="217" spans="1:24" x14ac:dyDescent="0.35">
      <c r="A217">
        <f>'Filtered Data'!A216</f>
        <v>0</v>
      </c>
      <c r="B217">
        <f>'Filtered Data'!B216</f>
        <v>0</v>
      </c>
      <c r="C217" t="s">
        <v>2</v>
      </c>
      <c r="D217" t="e">
        <f>VLOOKUP('Filtered Data'!Z216,'Data Mapping'!$A$4:$B$7,2,0)</f>
        <v>#N/A</v>
      </c>
      <c r="E217" t="e">
        <f>VLOOKUP('Filtered Data'!C216,'Data Mapping'!$E$3:$F$97,2,0)</f>
        <v>#N/A</v>
      </c>
      <c r="F217">
        <f>'Filtered Data'!D216</f>
        <v>0</v>
      </c>
      <c r="G217" t="e">
        <f>VLOOKUP('Filtered Data'!E216,'Data Mapping'!$J$3:$K$11,2,0)</f>
        <v>#N/A</v>
      </c>
      <c r="H217">
        <f>'Filtered Data'!F216</f>
        <v>0</v>
      </c>
      <c r="I217" t="s">
        <v>5668</v>
      </c>
      <c r="J217" t="s">
        <v>1609</v>
      </c>
      <c r="K217" t="e">
        <f>VLOOKUP('Filtered Data'!A216,'Input 1 CMDB'!A:I,9,0)</f>
        <v>#N/A</v>
      </c>
      <c r="L217">
        <f>'Filtered Data'!K216</f>
        <v>0</v>
      </c>
      <c r="M217" t="e">
        <f t="shared" si="7"/>
        <v>#VALUE!</v>
      </c>
      <c r="N217">
        <f>'Filtered Data'!P216</f>
        <v>0</v>
      </c>
      <c r="O217">
        <f>'Filtered Data'!N216</f>
        <v>0</v>
      </c>
      <c r="P217" t="s">
        <v>5669</v>
      </c>
      <c r="Q217" t="str">
        <f>IF('Filtered Data'!W216,"ITHybridCloudEngineeringOperationsMgmt@Marathonpetroleum.com","mark.newman2@dxc.com")</f>
        <v>mark.newman2@dxc.com</v>
      </c>
      <c r="R217">
        <f t="shared" si="8"/>
        <v>0</v>
      </c>
      <c r="S217" s="31" t="s">
        <v>5738</v>
      </c>
      <c r="T217" t="s">
        <v>1381</v>
      </c>
      <c r="U217">
        <f>'Filtered Data'!V216</f>
        <v>0</v>
      </c>
      <c r="V217" t="str">
        <f>IF('Filtered Data'!W216,"yes","no")</f>
        <v>no</v>
      </c>
      <c r="W217" t="s">
        <v>15</v>
      </c>
      <c r="X217">
        <f>'Filtered Data'!X216</f>
        <v>0</v>
      </c>
    </row>
    <row r="218" spans="1:24" x14ac:dyDescent="0.35">
      <c r="A218">
        <f>'Filtered Data'!A217</f>
        <v>0</v>
      </c>
      <c r="B218">
        <f>'Filtered Data'!B217</f>
        <v>0</v>
      </c>
      <c r="C218" t="s">
        <v>2</v>
      </c>
      <c r="D218" t="e">
        <f>VLOOKUP('Filtered Data'!Z217,'Data Mapping'!$A$4:$B$7,2,0)</f>
        <v>#N/A</v>
      </c>
      <c r="E218" t="e">
        <f>VLOOKUP('Filtered Data'!C217,'Data Mapping'!$E$3:$F$97,2,0)</f>
        <v>#N/A</v>
      </c>
      <c r="F218">
        <f>'Filtered Data'!D217</f>
        <v>0</v>
      </c>
      <c r="G218" t="e">
        <f>VLOOKUP('Filtered Data'!E217,'Data Mapping'!$J$3:$K$11,2,0)</f>
        <v>#N/A</v>
      </c>
      <c r="H218">
        <f>'Filtered Data'!F217</f>
        <v>0</v>
      </c>
      <c r="I218" t="s">
        <v>5668</v>
      </c>
      <c r="J218" t="s">
        <v>1609</v>
      </c>
      <c r="K218" t="e">
        <f>VLOOKUP('Filtered Data'!A217,'Input 1 CMDB'!A:I,9,0)</f>
        <v>#N/A</v>
      </c>
      <c r="L218">
        <f>'Filtered Data'!K217</f>
        <v>0</v>
      </c>
      <c r="M218" t="e">
        <f t="shared" si="7"/>
        <v>#VALUE!</v>
      </c>
      <c r="N218">
        <f>'Filtered Data'!P217</f>
        <v>0</v>
      </c>
      <c r="O218">
        <f>'Filtered Data'!N217</f>
        <v>0</v>
      </c>
      <c r="P218" t="s">
        <v>5669</v>
      </c>
      <c r="Q218" t="str">
        <f>IF('Filtered Data'!W217,"ITHybridCloudEngineeringOperationsMgmt@Marathonpetroleum.com","mark.newman2@dxc.com")</f>
        <v>mark.newman2@dxc.com</v>
      </c>
      <c r="R218">
        <f t="shared" si="8"/>
        <v>0</v>
      </c>
      <c r="S218" s="31" t="s">
        <v>5738</v>
      </c>
      <c r="T218" t="s">
        <v>1381</v>
      </c>
      <c r="U218">
        <f>'Filtered Data'!V217</f>
        <v>0</v>
      </c>
      <c r="V218" t="str">
        <f>IF('Filtered Data'!W217,"yes","no")</f>
        <v>no</v>
      </c>
      <c r="W218" t="s">
        <v>15</v>
      </c>
      <c r="X218">
        <f>'Filtered Data'!X217</f>
        <v>0</v>
      </c>
    </row>
    <row r="219" spans="1:24" x14ac:dyDescent="0.35">
      <c r="A219">
        <f>'Filtered Data'!A218</f>
        <v>0</v>
      </c>
      <c r="B219">
        <f>'Filtered Data'!B218</f>
        <v>0</v>
      </c>
      <c r="C219" t="s">
        <v>2</v>
      </c>
      <c r="D219" t="e">
        <f>VLOOKUP('Filtered Data'!Z218,'Data Mapping'!$A$4:$B$7,2,0)</f>
        <v>#N/A</v>
      </c>
      <c r="E219" t="e">
        <f>VLOOKUP('Filtered Data'!C218,'Data Mapping'!$E$3:$F$97,2,0)</f>
        <v>#N/A</v>
      </c>
      <c r="F219">
        <f>'Filtered Data'!D218</f>
        <v>0</v>
      </c>
      <c r="G219" t="e">
        <f>VLOOKUP('Filtered Data'!E218,'Data Mapping'!$J$3:$K$11,2,0)</f>
        <v>#N/A</v>
      </c>
      <c r="H219">
        <f>'Filtered Data'!F218</f>
        <v>0</v>
      </c>
      <c r="I219" t="s">
        <v>5668</v>
      </c>
      <c r="J219" t="s">
        <v>1609</v>
      </c>
      <c r="K219" t="e">
        <f>VLOOKUP('Filtered Data'!A218,'Input 1 CMDB'!A:I,9,0)</f>
        <v>#N/A</v>
      </c>
      <c r="L219">
        <f>'Filtered Data'!K218</f>
        <v>0</v>
      </c>
      <c r="M219" t="e">
        <f t="shared" si="7"/>
        <v>#VALUE!</v>
      </c>
      <c r="N219">
        <f>'Filtered Data'!P218</f>
        <v>0</v>
      </c>
      <c r="O219">
        <f>'Filtered Data'!N218</f>
        <v>0</v>
      </c>
      <c r="P219" t="s">
        <v>5669</v>
      </c>
      <c r="Q219" t="str">
        <f>IF('Filtered Data'!W218,"ITHybridCloudEngineeringOperationsMgmt@Marathonpetroleum.com","mark.newman2@dxc.com")</f>
        <v>mark.newman2@dxc.com</v>
      </c>
      <c r="R219">
        <f t="shared" si="8"/>
        <v>0</v>
      </c>
      <c r="S219" s="31" t="s">
        <v>5738</v>
      </c>
      <c r="T219" t="s">
        <v>1381</v>
      </c>
      <c r="U219">
        <f>'Filtered Data'!V218</f>
        <v>0</v>
      </c>
      <c r="V219" t="str">
        <f>IF('Filtered Data'!W218,"yes","no")</f>
        <v>no</v>
      </c>
      <c r="W219" t="s">
        <v>15</v>
      </c>
      <c r="X219">
        <f>'Filtered Data'!X218</f>
        <v>0</v>
      </c>
    </row>
    <row r="220" spans="1:24" x14ac:dyDescent="0.35">
      <c r="A220">
        <f>'Filtered Data'!A219</f>
        <v>0</v>
      </c>
      <c r="B220">
        <f>'Filtered Data'!B219</f>
        <v>0</v>
      </c>
      <c r="C220" t="s">
        <v>2</v>
      </c>
      <c r="D220" t="e">
        <f>VLOOKUP('Filtered Data'!Z219,'Data Mapping'!$A$4:$B$7,2,0)</f>
        <v>#N/A</v>
      </c>
      <c r="E220" t="e">
        <f>VLOOKUP('Filtered Data'!C219,'Data Mapping'!$E$3:$F$97,2,0)</f>
        <v>#N/A</v>
      </c>
      <c r="F220">
        <f>'Filtered Data'!D219</f>
        <v>0</v>
      </c>
      <c r="G220" t="e">
        <f>VLOOKUP('Filtered Data'!E219,'Data Mapping'!$J$3:$K$11,2,0)</f>
        <v>#N/A</v>
      </c>
      <c r="H220">
        <f>'Filtered Data'!F219</f>
        <v>0</v>
      </c>
      <c r="I220" t="s">
        <v>5668</v>
      </c>
      <c r="J220" t="s">
        <v>1609</v>
      </c>
      <c r="K220" t="e">
        <f>VLOOKUP('Filtered Data'!A219,'Input 1 CMDB'!A:I,9,0)</f>
        <v>#N/A</v>
      </c>
      <c r="L220">
        <f>'Filtered Data'!K219</f>
        <v>0</v>
      </c>
      <c r="M220" t="e">
        <f t="shared" si="7"/>
        <v>#VALUE!</v>
      </c>
      <c r="N220">
        <f>'Filtered Data'!P219</f>
        <v>0</v>
      </c>
      <c r="O220">
        <f>'Filtered Data'!N219</f>
        <v>0</v>
      </c>
      <c r="P220" t="s">
        <v>5669</v>
      </c>
      <c r="Q220" t="str">
        <f>IF('Filtered Data'!W219,"ITHybridCloudEngineeringOperationsMgmt@Marathonpetroleum.com","mark.newman2@dxc.com")</f>
        <v>mark.newman2@dxc.com</v>
      </c>
      <c r="R220">
        <f t="shared" si="8"/>
        <v>0</v>
      </c>
      <c r="S220" s="31" t="s">
        <v>5738</v>
      </c>
      <c r="T220" t="s">
        <v>1381</v>
      </c>
      <c r="U220">
        <f>'Filtered Data'!V219</f>
        <v>0</v>
      </c>
      <c r="V220" t="str">
        <f>IF('Filtered Data'!W219,"yes","no")</f>
        <v>no</v>
      </c>
      <c r="W220" t="s">
        <v>15</v>
      </c>
      <c r="X220">
        <f>'Filtered Data'!X219</f>
        <v>0</v>
      </c>
    </row>
    <row r="221" spans="1:24" x14ac:dyDescent="0.35">
      <c r="A221">
        <f>'Filtered Data'!A220</f>
        <v>0</v>
      </c>
      <c r="B221">
        <f>'Filtered Data'!B220</f>
        <v>0</v>
      </c>
      <c r="C221" t="s">
        <v>2</v>
      </c>
      <c r="D221" t="e">
        <f>VLOOKUP('Filtered Data'!Z220,'Data Mapping'!$A$4:$B$7,2,0)</f>
        <v>#N/A</v>
      </c>
      <c r="E221" t="e">
        <f>VLOOKUP('Filtered Data'!C220,'Data Mapping'!$E$3:$F$97,2,0)</f>
        <v>#N/A</v>
      </c>
      <c r="F221">
        <f>'Filtered Data'!D220</f>
        <v>0</v>
      </c>
      <c r="G221" t="e">
        <f>VLOOKUP('Filtered Data'!E220,'Data Mapping'!$J$3:$K$11,2,0)</f>
        <v>#N/A</v>
      </c>
      <c r="H221">
        <f>'Filtered Data'!F220</f>
        <v>0</v>
      </c>
      <c r="I221" t="s">
        <v>5668</v>
      </c>
      <c r="J221" t="s">
        <v>1609</v>
      </c>
      <c r="K221" t="e">
        <f>VLOOKUP('Filtered Data'!A220,'Input 1 CMDB'!A:I,9,0)</f>
        <v>#N/A</v>
      </c>
      <c r="L221">
        <f>'Filtered Data'!K220</f>
        <v>0</v>
      </c>
      <c r="M221" t="e">
        <f t="shared" si="7"/>
        <v>#VALUE!</v>
      </c>
      <c r="N221">
        <f>'Filtered Data'!P220</f>
        <v>0</v>
      </c>
      <c r="O221">
        <f>'Filtered Data'!N220</f>
        <v>0</v>
      </c>
      <c r="P221" t="s">
        <v>5669</v>
      </c>
      <c r="Q221" t="str">
        <f>IF('Filtered Data'!W220,"ITHybridCloudEngineeringOperationsMgmt@Marathonpetroleum.com","mark.newman2@dxc.com")</f>
        <v>mark.newman2@dxc.com</v>
      </c>
      <c r="R221">
        <f t="shared" si="8"/>
        <v>0</v>
      </c>
      <c r="S221" s="31" t="s">
        <v>5738</v>
      </c>
      <c r="T221" t="s">
        <v>1381</v>
      </c>
      <c r="U221">
        <f>'Filtered Data'!V220</f>
        <v>0</v>
      </c>
      <c r="V221" t="str">
        <f>IF('Filtered Data'!W220,"yes","no")</f>
        <v>no</v>
      </c>
      <c r="W221" t="s">
        <v>15</v>
      </c>
      <c r="X221">
        <f>'Filtered Data'!X220</f>
        <v>0</v>
      </c>
    </row>
    <row r="222" spans="1:24" x14ac:dyDescent="0.35">
      <c r="A222">
        <f>'Filtered Data'!A221</f>
        <v>0</v>
      </c>
      <c r="B222">
        <f>'Filtered Data'!B221</f>
        <v>0</v>
      </c>
      <c r="C222" t="s">
        <v>2</v>
      </c>
      <c r="D222" t="e">
        <f>VLOOKUP('Filtered Data'!Z221,'Data Mapping'!$A$4:$B$7,2,0)</f>
        <v>#N/A</v>
      </c>
      <c r="E222" t="e">
        <f>VLOOKUP('Filtered Data'!C221,'Data Mapping'!$E$3:$F$97,2,0)</f>
        <v>#N/A</v>
      </c>
      <c r="F222">
        <f>'Filtered Data'!D221</f>
        <v>0</v>
      </c>
      <c r="G222" t="e">
        <f>VLOOKUP('Filtered Data'!E221,'Data Mapping'!$J$3:$K$11,2,0)</f>
        <v>#N/A</v>
      </c>
      <c r="H222">
        <f>'Filtered Data'!F221</f>
        <v>0</v>
      </c>
      <c r="I222" t="s">
        <v>5668</v>
      </c>
      <c r="J222" t="s">
        <v>1609</v>
      </c>
      <c r="K222" t="e">
        <f>VLOOKUP('Filtered Data'!A221,'Input 1 CMDB'!A:I,9,0)</f>
        <v>#N/A</v>
      </c>
      <c r="L222">
        <f>'Filtered Data'!K221</f>
        <v>0</v>
      </c>
      <c r="M222" t="e">
        <f t="shared" si="7"/>
        <v>#VALUE!</v>
      </c>
      <c r="N222">
        <f>'Filtered Data'!P221</f>
        <v>0</v>
      </c>
      <c r="O222">
        <f>'Filtered Data'!N221</f>
        <v>0</v>
      </c>
      <c r="P222" t="s">
        <v>5669</v>
      </c>
      <c r="Q222" t="str">
        <f>IF('Filtered Data'!W221,"ITHybridCloudEngineeringOperationsMgmt@Marathonpetroleum.com","mark.newman2@dxc.com")</f>
        <v>mark.newman2@dxc.com</v>
      </c>
      <c r="R222">
        <f t="shared" si="8"/>
        <v>0</v>
      </c>
      <c r="S222" s="31" t="s">
        <v>5738</v>
      </c>
      <c r="T222" t="s">
        <v>1381</v>
      </c>
      <c r="U222">
        <f>'Filtered Data'!V221</f>
        <v>0</v>
      </c>
      <c r="V222" t="str">
        <f>IF('Filtered Data'!W221,"yes","no")</f>
        <v>no</v>
      </c>
      <c r="W222" t="s">
        <v>15</v>
      </c>
      <c r="X222">
        <f>'Filtered Data'!X221</f>
        <v>0</v>
      </c>
    </row>
    <row r="223" spans="1:24" x14ac:dyDescent="0.35">
      <c r="A223">
        <f>'Filtered Data'!A222</f>
        <v>0</v>
      </c>
      <c r="B223">
        <f>'Filtered Data'!B222</f>
        <v>0</v>
      </c>
      <c r="C223" t="s">
        <v>2</v>
      </c>
      <c r="D223" t="e">
        <f>VLOOKUP('Filtered Data'!Z222,'Data Mapping'!$A$4:$B$7,2,0)</f>
        <v>#N/A</v>
      </c>
      <c r="E223" t="e">
        <f>VLOOKUP('Filtered Data'!C222,'Data Mapping'!$E$3:$F$97,2,0)</f>
        <v>#N/A</v>
      </c>
      <c r="F223">
        <f>'Filtered Data'!D222</f>
        <v>0</v>
      </c>
      <c r="G223" t="e">
        <f>VLOOKUP('Filtered Data'!E222,'Data Mapping'!$J$3:$K$11,2,0)</f>
        <v>#N/A</v>
      </c>
      <c r="H223">
        <f>'Filtered Data'!F222</f>
        <v>0</v>
      </c>
      <c r="I223" t="s">
        <v>5668</v>
      </c>
      <c r="J223" t="s">
        <v>1609</v>
      </c>
      <c r="K223" t="e">
        <f>VLOOKUP('Filtered Data'!A222,'Input 1 CMDB'!A:I,9,0)</f>
        <v>#N/A</v>
      </c>
      <c r="L223">
        <f>'Filtered Data'!K222</f>
        <v>0</v>
      </c>
      <c r="M223" t="e">
        <f t="shared" si="7"/>
        <v>#VALUE!</v>
      </c>
      <c r="N223">
        <f>'Filtered Data'!P222</f>
        <v>0</v>
      </c>
      <c r="O223">
        <f>'Filtered Data'!N222</f>
        <v>0</v>
      </c>
      <c r="P223" t="s">
        <v>5669</v>
      </c>
      <c r="Q223" t="str">
        <f>IF('Filtered Data'!W222,"ITHybridCloudEngineeringOperationsMgmt@Marathonpetroleum.com","mark.newman2@dxc.com")</f>
        <v>mark.newman2@dxc.com</v>
      </c>
      <c r="R223">
        <f t="shared" si="8"/>
        <v>0</v>
      </c>
      <c r="S223" s="31" t="s">
        <v>5738</v>
      </c>
      <c r="T223" t="s">
        <v>1381</v>
      </c>
      <c r="U223">
        <f>'Filtered Data'!V222</f>
        <v>0</v>
      </c>
      <c r="V223" t="str">
        <f>IF('Filtered Data'!W222,"yes","no")</f>
        <v>no</v>
      </c>
      <c r="W223" t="s">
        <v>15</v>
      </c>
      <c r="X223">
        <f>'Filtered Data'!X222</f>
        <v>0</v>
      </c>
    </row>
    <row r="224" spans="1:24" x14ac:dyDescent="0.35">
      <c r="A224">
        <f>'Filtered Data'!A223</f>
        <v>0</v>
      </c>
      <c r="B224">
        <f>'Filtered Data'!B223</f>
        <v>0</v>
      </c>
      <c r="C224" t="s">
        <v>2</v>
      </c>
      <c r="D224" t="e">
        <f>VLOOKUP('Filtered Data'!Z223,'Data Mapping'!$A$4:$B$7,2,0)</f>
        <v>#N/A</v>
      </c>
      <c r="E224" t="e">
        <f>VLOOKUP('Filtered Data'!C223,'Data Mapping'!$E$3:$F$97,2,0)</f>
        <v>#N/A</v>
      </c>
      <c r="F224">
        <f>'Filtered Data'!D223</f>
        <v>0</v>
      </c>
      <c r="G224" t="e">
        <f>VLOOKUP('Filtered Data'!E223,'Data Mapping'!$J$3:$K$11,2,0)</f>
        <v>#N/A</v>
      </c>
      <c r="H224">
        <f>'Filtered Data'!F223</f>
        <v>0</v>
      </c>
      <c r="I224" t="s">
        <v>5668</v>
      </c>
      <c r="J224" t="s">
        <v>1609</v>
      </c>
      <c r="K224" t="e">
        <f>VLOOKUP('Filtered Data'!A223,'Input 1 CMDB'!A:I,9,0)</f>
        <v>#N/A</v>
      </c>
      <c r="L224">
        <f>'Filtered Data'!K223</f>
        <v>0</v>
      </c>
      <c r="M224" t="e">
        <f t="shared" si="7"/>
        <v>#VALUE!</v>
      </c>
      <c r="N224">
        <f>'Filtered Data'!P223</f>
        <v>0</v>
      </c>
      <c r="O224">
        <f>'Filtered Data'!N223</f>
        <v>0</v>
      </c>
      <c r="P224" t="s">
        <v>5669</v>
      </c>
      <c r="Q224" t="str">
        <f>IF('Filtered Data'!W223,"ITHybridCloudEngineeringOperationsMgmt@Marathonpetroleum.com","mark.newman2@dxc.com")</f>
        <v>mark.newman2@dxc.com</v>
      </c>
      <c r="R224">
        <f t="shared" si="8"/>
        <v>0</v>
      </c>
      <c r="S224" s="31" t="s">
        <v>5738</v>
      </c>
      <c r="T224" t="s">
        <v>1381</v>
      </c>
      <c r="U224">
        <f>'Filtered Data'!V223</f>
        <v>0</v>
      </c>
      <c r="V224" t="str">
        <f>IF('Filtered Data'!W223,"yes","no")</f>
        <v>no</v>
      </c>
      <c r="W224" t="s">
        <v>15</v>
      </c>
      <c r="X224">
        <f>'Filtered Data'!X223</f>
        <v>0</v>
      </c>
    </row>
    <row r="225" spans="1:24" x14ac:dyDescent="0.35">
      <c r="A225">
        <f>'Filtered Data'!A224</f>
        <v>0</v>
      </c>
      <c r="B225">
        <f>'Filtered Data'!B224</f>
        <v>0</v>
      </c>
      <c r="C225" t="s">
        <v>2</v>
      </c>
      <c r="D225" t="e">
        <f>VLOOKUP('Filtered Data'!Z224,'Data Mapping'!$A$4:$B$7,2,0)</f>
        <v>#N/A</v>
      </c>
      <c r="E225" t="e">
        <f>VLOOKUP('Filtered Data'!C224,'Data Mapping'!$E$3:$F$97,2,0)</f>
        <v>#N/A</v>
      </c>
      <c r="F225">
        <f>'Filtered Data'!D224</f>
        <v>0</v>
      </c>
      <c r="G225" t="e">
        <f>VLOOKUP('Filtered Data'!E224,'Data Mapping'!$J$3:$K$11,2,0)</f>
        <v>#N/A</v>
      </c>
      <c r="H225">
        <f>'Filtered Data'!F224</f>
        <v>0</v>
      </c>
      <c r="I225" t="s">
        <v>5668</v>
      </c>
      <c r="J225" t="s">
        <v>1609</v>
      </c>
      <c r="K225" t="e">
        <f>VLOOKUP('Filtered Data'!A224,'Input 1 CMDB'!A:I,9,0)</f>
        <v>#N/A</v>
      </c>
      <c r="L225">
        <f>'Filtered Data'!K224</f>
        <v>0</v>
      </c>
      <c r="M225" t="e">
        <f t="shared" si="7"/>
        <v>#VALUE!</v>
      </c>
      <c r="N225">
        <f>'Filtered Data'!P224</f>
        <v>0</v>
      </c>
      <c r="O225">
        <f>'Filtered Data'!N224</f>
        <v>0</v>
      </c>
      <c r="P225" t="s">
        <v>5669</v>
      </c>
      <c r="Q225" t="str">
        <f>IF('Filtered Data'!W224,"ITHybridCloudEngineeringOperationsMgmt@Marathonpetroleum.com","mark.newman2@dxc.com")</f>
        <v>mark.newman2@dxc.com</v>
      </c>
      <c r="R225">
        <f t="shared" si="8"/>
        <v>0</v>
      </c>
      <c r="S225" s="31" t="s">
        <v>5738</v>
      </c>
      <c r="T225" t="s">
        <v>1381</v>
      </c>
      <c r="U225">
        <f>'Filtered Data'!V224</f>
        <v>0</v>
      </c>
      <c r="V225" t="str">
        <f>IF('Filtered Data'!W224,"yes","no")</f>
        <v>no</v>
      </c>
      <c r="W225" t="s">
        <v>15</v>
      </c>
      <c r="X225">
        <f>'Filtered Data'!X224</f>
        <v>0</v>
      </c>
    </row>
    <row r="226" spans="1:24" x14ac:dyDescent="0.35">
      <c r="A226">
        <f>'Filtered Data'!A225</f>
        <v>0</v>
      </c>
      <c r="B226">
        <f>'Filtered Data'!B225</f>
        <v>0</v>
      </c>
      <c r="C226" t="s">
        <v>2</v>
      </c>
      <c r="D226" t="e">
        <f>VLOOKUP('Filtered Data'!Z225,'Data Mapping'!$A$4:$B$7,2,0)</f>
        <v>#N/A</v>
      </c>
      <c r="E226" t="e">
        <f>VLOOKUP('Filtered Data'!C225,'Data Mapping'!$E$3:$F$97,2,0)</f>
        <v>#N/A</v>
      </c>
      <c r="F226">
        <f>'Filtered Data'!D225</f>
        <v>0</v>
      </c>
      <c r="G226" t="e">
        <f>VLOOKUP('Filtered Data'!E225,'Data Mapping'!$J$3:$K$11,2,0)</f>
        <v>#N/A</v>
      </c>
      <c r="H226">
        <f>'Filtered Data'!F225</f>
        <v>0</v>
      </c>
      <c r="I226" t="s">
        <v>5668</v>
      </c>
      <c r="J226" t="s">
        <v>1609</v>
      </c>
      <c r="K226" t="e">
        <f>VLOOKUP('Filtered Data'!A225,'Input 1 CMDB'!A:I,9,0)</f>
        <v>#N/A</v>
      </c>
      <c r="L226">
        <f>'Filtered Data'!K225</f>
        <v>0</v>
      </c>
      <c r="M226" t="e">
        <f t="shared" si="7"/>
        <v>#VALUE!</v>
      </c>
      <c r="N226">
        <f>'Filtered Data'!P225</f>
        <v>0</v>
      </c>
      <c r="O226">
        <f>'Filtered Data'!N225</f>
        <v>0</v>
      </c>
      <c r="P226" t="s">
        <v>5669</v>
      </c>
      <c r="Q226" t="str">
        <f>IF('Filtered Data'!W225,"ITHybridCloudEngineeringOperationsMgmt@Marathonpetroleum.com","mark.newman2@dxc.com")</f>
        <v>mark.newman2@dxc.com</v>
      </c>
      <c r="R226">
        <f t="shared" si="8"/>
        <v>0</v>
      </c>
      <c r="S226" s="31" t="s">
        <v>5738</v>
      </c>
      <c r="T226" t="s">
        <v>1381</v>
      </c>
      <c r="U226">
        <f>'Filtered Data'!V225</f>
        <v>0</v>
      </c>
      <c r="V226" t="str">
        <f>IF('Filtered Data'!W225,"yes","no")</f>
        <v>no</v>
      </c>
      <c r="W226" t="s">
        <v>15</v>
      </c>
      <c r="X226">
        <f>'Filtered Data'!X225</f>
        <v>0</v>
      </c>
    </row>
    <row r="227" spans="1:24" x14ac:dyDescent="0.35">
      <c r="A227">
        <f>'Filtered Data'!A226</f>
        <v>0</v>
      </c>
      <c r="B227">
        <f>'Filtered Data'!B226</f>
        <v>0</v>
      </c>
      <c r="C227" t="s">
        <v>2</v>
      </c>
      <c r="D227" t="e">
        <f>VLOOKUP('Filtered Data'!Z226,'Data Mapping'!$A$4:$B$7,2,0)</f>
        <v>#N/A</v>
      </c>
      <c r="E227" t="e">
        <f>VLOOKUP('Filtered Data'!C226,'Data Mapping'!$E$3:$F$97,2,0)</f>
        <v>#N/A</v>
      </c>
      <c r="F227">
        <f>'Filtered Data'!D226</f>
        <v>0</v>
      </c>
      <c r="G227" t="e">
        <f>VLOOKUP('Filtered Data'!E226,'Data Mapping'!$J$3:$K$11,2,0)</f>
        <v>#N/A</v>
      </c>
      <c r="H227">
        <f>'Filtered Data'!F226</f>
        <v>0</v>
      </c>
      <c r="I227" t="s">
        <v>5668</v>
      </c>
      <c r="J227" t="s">
        <v>1609</v>
      </c>
      <c r="K227" t="e">
        <f>VLOOKUP('Filtered Data'!A226,'Input 1 CMDB'!A:I,9,0)</f>
        <v>#N/A</v>
      </c>
      <c r="L227">
        <f>'Filtered Data'!K226</f>
        <v>0</v>
      </c>
      <c r="M227" t="e">
        <f t="shared" si="7"/>
        <v>#VALUE!</v>
      </c>
      <c r="N227">
        <f>'Filtered Data'!P226</f>
        <v>0</v>
      </c>
      <c r="O227">
        <f>'Filtered Data'!N226</f>
        <v>0</v>
      </c>
      <c r="P227" t="s">
        <v>5669</v>
      </c>
      <c r="Q227" t="str">
        <f>IF('Filtered Data'!W226,"ITHybridCloudEngineeringOperationsMgmt@Marathonpetroleum.com","mark.newman2@dxc.com")</f>
        <v>mark.newman2@dxc.com</v>
      </c>
      <c r="R227">
        <f t="shared" si="8"/>
        <v>0</v>
      </c>
      <c r="S227" s="31" t="s">
        <v>5738</v>
      </c>
      <c r="T227" t="s">
        <v>1381</v>
      </c>
      <c r="U227">
        <f>'Filtered Data'!V226</f>
        <v>0</v>
      </c>
      <c r="V227" t="str">
        <f>IF('Filtered Data'!W226,"yes","no")</f>
        <v>no</v>
      </c>
      <c r="W227" t="s">
        <v>15</v>
      </c>
      <c r="X227">
        <f>'Filtered Data'!X226</f>
        <v>0</v>
      </c>
    </row>
    <row r="228" spans="1:24" x14ac:dyDescent="0.35">
      <c r="A228">
        <f>'Filtered Data'!A227</f>
        <v>0</v>
      </c>
      <c r="B228">
        <f>'Filtered Data'!B227</f>
        <v>0</v>
      </c>
      <c r="C228" t="s">
        <v>2</v>
      </c>
      <c r="D228" t="e">
        <f>VLOOKUP('Filtered Data'!Z227,'Data Mapping'!$A$4:$B$7,2,0)</f>
        <v>#N/A</v>
      </c>
      <c r="E228" t="e">
        <f>VLOOKUP('Filtered Data'!C227,'Data Mapping'!$E$3:$F$97,2,0)</f>
        <v>#N/A</v>
      </c>
      <c r="F228">
        <f>'Filtered Data'!D227</f>
        <v>0</v>
      </c>
      <c r="G228" t="e">
        <f>VLOOKUP('Filtered Data'!E227,'Data Mapping'!$J$3:$K$11,2,0)</f>
        <v>#N/A</v>
      </c>
      <c r="H228">
        <f>'Filtered Data'!F227</f>
        <v>0</v>
      </c>
      <c r="I228" t="s">
        <v>5668</v>
      </c>
      <c r="J228" t="s">
        <v>1609</v>
      </c>
      <c r="K228" t="e">
        <f>VLOOKUP('Filtered Data'!A227,'Input 1 CMDB'!A:I,9,0)</f>
        <v>#N/A</v>
      </c>
      <c r="L228">
        <f>'Filtered Data'!K227</f>
        <v>0</v>
      </c>
      <c r="M228" t="e">
        <f t="shared" si="7"/>
        <v>#VALUE!</v>
      </c>
      <c r="N228">
        <f>'Filtered Data'!P227</f>
        <v>0</v>
      </c>
      <c r="O228">
        <f>'Filtered Data'!N227</f>
        <v>0</v>
      </c>
      <c r="P228" t="s">
        <v>5669</v>
      </c>
      <c r="Q228" t="str">
        <f>IF('Filtered Data'!W227,"ITHybridCloudEngineeringOperationsMgmt@Marathonpetroleum.com","mark.newman2@dxc.com")</f>
        <v>mark.newman2@dxc.com</v>
      </c>
      <c r="R228">
        <f t="shared" si="8"/>
        <v>0</v>
      </c>
      <c r="S228" s="31" t="s">
        <v>5738</v>
      </c>
      <c r="T228" t="s">
        <v>1381</v>
      </c>
      <c r="U228">
        <f>'Filtered Data'!V227</f>
        <v>0</v>
      </c>
      <c r="V228" t="str">
        <f>IF('Filtered Data'!W227,"yes","no")</f>
        <v>no</v>
      </c>
      <c r="W228" t="s">
        <v>15</v>
      </c>
      <c r="X228">
        <f>'Filtered Data'!X227</f>
        <v>0</v>
      </c>
    </row>
    <row r="229" spans="1:24" x14ac:dyDescent="0.35">
      <c r="A229">
        <f>'Filtered Data'!A228</f>
        <v>0</v>
      </c>
      <c r="B229">
        <f>'Filtered Data'!B228</f>
        <v>0</v>
      </c>
      <c r="C229" t="s">
        <v>2</v>
      </c>
      <c r="D229" t="e">
        <f>VLOOKUP('Filtered Data'!Z228,'Data Mapping'!$A$4:$B$7,2,0)</f>
        <v>#N/A</v>
      </c>
      <c r="E229" t="e">
        <f>VLOOKUP('Filtered Data'!C228,'Data Mapping'!$E$3:$F$97,2,0)</f>
        <v>#N/A</v>
      </c>
      <c r="F229">
        <f>'Filtered Data'!D228</f>
        <v>0</v>
      </c>
      <c r="G229" t="e">
        <f>VLOOKUP('Filtered Data'!E228,'Data Mapping'!$J$3:$K$11,2,0)</f>
        <v>#N/A</v>
      </c>
      <c r="H229">
        <f>'Filtered Data'!F228</f>
        <v>0</v>
      </c>
      <c r="I229" t="s">
        <v>5668</v>
      </c>
      <c r="J229" t="s">
        <v>1609</v>
      </c>
      <c r="K229" t="e">
        <f>VLOOKUP('Filtered Data'!A228,'Input 1 CMDB'!A:I,9,0)</f>
        <v>#N/A</v>
      </c>
      <c r="L229">
        <f>'Filtered Data'!K228</f>
        <v>0</v>
      </c>
      <c r="M229" t="e">
        <f t="shared" si="7"/>
        <v>#VALUE!</v>
      </c>
      <c r="N229">
        <f>'Filtered Data'!P228</f>
        <v>0</v>
      </c>
      <c r="O229">
        <f>'Filtered Data'!N228</f>
        <v>0</v>
      </c>
      <c r="P229" t="s">
        <v>5669</v>
      </c>
      <c r="Q229" t="str">
        <f>IF('Filtered Data'!W228,"ITHybridCloudEngineeringOperationsMgmt@Marathonpetroleum.com","mark.newman2@dxc.com")</f>
        <v>mark.newman2@dxc.com</v>
      </c>
      <c r="R229">
        <f t="shared" si="8"/>
        <v>0</v>
      </c>
      <c r="S229" s="31" t="s">
        <v>5738</v>
      </c>
      <c r="T229" t="s">
        <v>1381</v>
      </c>
      <c r="U229">
        <f>'Filtered Data'!V228</f>
        <v>0</v>
      </c>
      <c r="V229" t="str">
        <f>IF('Filtered Data'!W228,"yes","no")</f>
        <v>no</v>
      </c>
      <c r="W229" t="s">
        <v>15</v>
      </c>
      <c r="X229">
        <f>'Filtered Data'!X228</f>
        <v>0</v>
      </c>
    </row>
    <row r="230" spans="1:24" x14ac:dyDescent="0.35">
      <c r="A230">
        <f>'Filtered Data'!A229</f>
        <v>0</v>
      </c>
      <c r="B230">
        <f>'Filtered Data'!B229</f>
        <v>0</v>
      </c>
      <c r="C230" t="s">
        <v>2</v>
      </c>
      <c r="D230" t="e">
        <f>VLOOKUP('Filtered Data'!Z229,'Data Mapping'!$A$4:$B$7,2,0)</f>
        <v>#N/A</v>
      </c>
      <c r="E230" t="e">
        <f>VLOOKUP('Filtered Data'!C229,'Data Mapping'!$E$3:$F$97,2,0)</f>
        <v>#N/A</v>
      </c>
      <c r="F230">
        <f>'Filtered Data'!D229</f>
        <v>0</v>
      </c>
      <c r="G230" t="e">
        <f>VLOOKUP('Filtered Data'!E229,'Data Mapping'!$J$3:$K$11,2,0)</f>
        <v>#N/A</v>
      </c>
      <c r="H230">
        <f>'Filtered Data'!F229</f>
        <v>0</v>
      </c>
      <c r="I230" t="s">
        <v>5668</v>
      </c>
      <c r="J230" t="s">
        <v>1609</v>
      </c>
      <c r="K230" t="e">
        <f>VLOOKUP('Filtered Data'!A229,'Input 1 CMDB'!A:I,9,0)</f>
        <v>#N/A</v>
      </c>
      <c r="L230">
        <f>'Filtered Data'!K229</f>
        <v>0</v>
      </c>
      <c r="M230" t="e">
        <f t="shared" si="7"/>
        <v>#VALUE!</v>
      </c>
      <c r="N230">
        <f>'Filtered Data'!P229</f>
        <v>0</v>
      </c>
      <c r="O230">
        <f>'Filtered Data'!N229</f>
        <v>0</v>
      </c>
      <c r="P230" t="s">
        <v>5669</v>
      </c>
      <c r="Q230" t="str">
        <f>IF('Filtered Data'!W229,"ITHybridCloudEngineeringOperationsMgmt@Marathonpetroleum.com","mark.newman2@dxc.com")</f>
        <v>mark.newman2@dxc.com</v>
      </c>
      <c r="R230">
        <f t="shared" si="8"/>
        <v>0</v>
      </c>
      <c r="S230" s="31" t="s">
        <v>5738</v>
      </c>
      <c r="T230" t="s">
        <v>1381</v>
      </c>
      <c r="U230">
        <f>'Filtered Data'!V229</f>
        <v>0</v>
      </c>
      <c r="V230" t="str">
        <f>IF('Filtered Data'!W229,"yes","no")</f>
        <v>no</v>
      </c>
      <c r="W230" t="s">
        <v>15</v>
      </c>
      <c r="X230">
        <f>'Filtered Data'!X229</f>
        <v>0</v>
      </c>
    </row>
    <row r="231" spans="1:24" x14ac:dyDescent="0.35">
      <c r="A231">
        <f>'Filtered Data'!A230</f>
        <v>0</v>
      </c>
      <c r="B231">
        <f>'Filtered Data'!B230</f>
        <v>0</v>
      </c>
      <c r="C231" t="s">
        <v>2</v>
      </c>
      <c r="D231" t="e">
        <f>VLOOKUP('Filtered Data'!Z230,'Data Mapping'!$A$4:$B$7,2,0)</f>
        <v>#N/A</v>
      </c>
      <c r="E231" t="e">
        <f>VLOOKUP('Filtered Data'!C230,'Data Mapping'!$E$3:$F$97,2,0)</f>
        <v>#N/A</v>
      </c>
      <c r="F231">
        <f>'Filtered Data'!D230</f>
        <v>0</v>
      </c>
      <c r="G231" t="e">
        <f>VLOOKUP('Filtered Data'!E230,'Data Mapping'!$J$3:$K$11,2,0)</f>
        <v>#N/A</v>
      </c>
      <c r="H231">
        <f>'Filtered Data'!F230</f>
        <v>0</v>
      </c>
      <c r="I231" t="s">
        <v>5668</v>
      </c>
      <c r="J231" t="s">
        <v>1609</v>
      </c>
      <c r="K231" t="e">
        <f>VLOOKUP('Filtered Data'!A230,'Input 1 CMDB'!A:I,9,0)</f>
        <v>#N/A</v>
      </c>
      <c r="L231">
        <f>'Filtered Data'!K230</f>
        <v>0</v>
      </c>
      <c r="M231" t="e">
        <f t="shared" ref="M231:M294" si="9">MID(B231,FIND(".",B231)+1,(LEN(B231)-FIND(".",B231)))</f>
        <v>#VALUE!</v>
      </c>
      <c r="N231">
        <f>'Filtered Data'!P230</f>
        <v>0</v>
      </c>
      <c r="O231">
        <f>'Filtered Data'!N230</f>
        <v>0</v>
      </c>
      <c r="P231" t="s">
        <v>5669</v>
      </c>
      <c r="Q231" t="str">
        <f>IF('Filtered Data'!W230,"ITHybridCloudEngineeringOperationsMgmt@Marathonpetroleum.com","mark.newman2@dxc.com")</f>
        <v>mark.newman2@dxc.com</v>
      </c>
      <c r="R231">
        <f t="shared" ref="R231:R294" si="10">N231</f>
        <v>0</v>
      </c>
      <c r="S231" s="31" t="s">
        <v>5738</v>
      </c>
      <c r="T231" t="s">
        <v>1381</v>
      </c>
      <c r="U231">
        <f>'Filtered Data'!V230</f>
        <v>0</v>
      </c>
      <c r="V231" t="str">
        <f>IF('Filtered Data'!W230,"yes","no")</f>
        <v>no</v>
      </c>
      <c r="W231" t="s">
        <v>15</v>
      </c>
      <c r="X231">
        <f>'Filtered Data'!X230</f>
        <v>0</v>
      </c>
    </row>
    <row r="232" spans="1:24" x14ac:dyDescent="0.35">
      <c r="A232">
        <f>'Filtered Data'!A231</f>
        <v>0</v>
      </c>
      <c r="B232">
        <f>'Filtered Data'!B231</f>
        <v>0</v>
      </c>
      <c r="C232" t="s">
        <v>2</v>
      </c>
      <c r="D232" t="e">
        <f>VLOOKUP('Filtered Data'!Z231,'Data Mapping'!$A$4:$B$7,2,0)</f>
        <v>#N/A</v>
      </c>
      <c r="E232" t="e">
        <f>VLOOKUP('Filtered Data'!C231,'Data Mapping'!$E$3:$F$97,2,0)</f>
        <v>#N/A</v>
      </c>
      <c r="F232">
        <f>'Filtered Data'!D231</f>
        <v>0</v>
      </c>
      <c r="G232" t="e">
        <f>VLOOKUP('Filtered Data'!E231,'Data Mapping'!$J$3:$K$11,2,0)</f>
        <v>#N/A</v>
      </c>
      <c r="H232">
        <f>'Filtered Data'!F231</f>
        <v>0</v>
      </c>
      <c r="I232" t="s">
        <v>5668</v>
      </c>
      <c r="J232" t="s">
        <v>1609</v>
      </c>
      <c r="K232" t="e">
        <f>VLOOKUP('Filtered Data'!A231,'Input 1 CMDB'!A:I,9,0)</f>
        <v>#N/A</v>
      </c>
      <c r="L232">
        <f>'Filtered Data'!K231</f>
        <v>0</v>
      </c>
      <c r="M232" t="e">
        <f t="shared" si="9"/>
        <v>#VALUE!</v>
      </c>
      <c r="N232">
        <f>'Filtered Data'!P231</f>
        <v>0</v>
      </c>
      <c r="O232">
        <f>'Filtered Data'!N231</f>
        <v>0</v>
      </c>
      <c r="P232" t="s">
        <v>5669</v>
      </c>
      <c r="Q232" t="str">
        <f>IF('Filtered Data'!W231,"ITHybridCloudEngineeringOperationsMgmt@Marathonpetroleum.com","mark.newman2@dxc.com")</f>
        <v>mark.newman2@dxc.com</v>
      </c>
      <c r="R232">
        <f t="shared" si="10"/>
        <v>0</v>
      </c>
      <c r="S232" s="31" t="s">
        <v>5738</v>
      </c>
      <c r="T232" t="s">
        <v>1381</v>
      </c>
      <c r="U232">
        <f>'Filtered Data'!V231</f>
        <v>0</v>
      </c>
      <c r="V232" t="str">
        <f>IF('Filtered Data'!W231,"yes","no")</f>
        <v>no</v>
      </c>
      <c r="W232" t="s">
        <v>15</v>
      </c>
      <c r="X232">
        <f>'Filtered Data'!X231</f>
        <v>0</v>
      </c>
    </row>
    <row r="233" spans="1:24" x14ac:dyDescent="0.35">
      <c r="A233">
        <f>'Filtered Data'!A232</f>
        <v>0</v>
      </c>
      <c r="B233">
        <f>'Filtered Data'!B232</f>
        <v>0</v>
      </c>
      <c r="C233" t="s">
        <v>2</v>
      </c>
      <c r="D233" t="e">
        <f>VLOOKUP('Filtered Data'!Z232,'Data Mapping'!$A$4:$B$7,2,0)</f>
        <v>#N/A</v>
      </c>
      <c r="E233" t="e">
        <f>VLOOKUP('Filtered Data'!C232,'Data Mapping'!$E$3:$F$97,2,0)</f>
        <v>#N/A</v>
      </c>
      <c r="F233">
        <f>'Filtered Data'!D232</f>
        <v>0</v>
      </c>
      <c r="G233" t="e">
        <f>VLOOKUP('Filtered Data'!E232,'Data Mapping'!$J$3:$K$11,2,0)</f>
        <v>#N/A</v>
      </c>
      <c r="H233">
        <f>'Filtered Data'!F232</f>
        <v>0</v>
      </c>
      <c r="I233" t="s">
        <v>5668</v>
      </c>
      <c r="J233" t="s">
        <v>1609</v>
      </c>
      <c r="K233" t="e">
        <f>VLOOKUP('Filtered Data'!A232,'Input 1 CMDB'!A:I,9,0)</f>
        <v>#N/A</v>
      </c>
      <c r="L233">
        <f>'Filtered Data'!K232</f>
        <v>0</v>
      </c>
      <c r="M233" t="e">
        <f t="shared" si="9"/>
        <v>#VALUE!</v>
      </c>
      <c r="N233">
        <f>'Filtered Data'!P232</f>
        <v>0</v>
      </c>
      <c r="O233">
        <f>'Filtered Data'!N232</f>
        <v>0</v>
      </c>
      <c r="P233" t="s">
        <v>5669</v>
      </c>
      <c r="Q233" t="str">
        <f>IF('Filtered Data'!W232,"ITHybridCloudEngineeringOperationsMgmt@Marathonpetroleum.com","mark.newman2@dxc.com")</f>
        <v>mark.newman2@dxc.com</v>
      </c>
      <c r="R233">
        <f t="shared" si="10"/>
        <v>0</v>
      </c>
      <c r="S233" s="31" t="s">
        <v>5738</v>
      </c>
      <c r="T233" t="s">
        <v>1381</v>
      </c>
      <c r="U233">
        <f>'Filtered Data'!V232</f>
        <v>0</v>
      </c>
      <c r="V233" t="str">
        <f>IF('Filtered Data'!W232,"yes","no")</f>
        <v>no</v>
      </c>
      <c r="W233" t="s">
        <v>15</v>
      </c>
      <c r="X233">
        <f>'Filtered Data'!X232</f>
        <v>0</v>
      </c>
    </row>
    <row r="234" spans="1:24" x14ac:dyDescent="0.35">
      <c r="A234">
        <f>'Filtered Data'!A233</f>
        <v>0</v>
      </c>
      <c r="B234">
        <f>'Filtered Data'!B233</f>
        <v>0</v>
      </c>
      <c r="C234" t="s">
        <v>2</v>
      </c>
      <c r="D234" t="e">
        <f>VLOOKUP('Filtered Data'!Z233,'Data Mapping'!$A$4:$B$7,2,0)</f>
        <v>#N/A</v>
      </c>
      <c r="E234" t="e">
        <f>VLOOKUP('Filtered Data'!C233,'Data Mapping'!$E$3:$F$97,2,0)</f>
        <v>#N/A</v>
      </c>
      <c r="F234">
        <f>'Filtered Data'!D233</f>
        <v>0</v>
      </c>
      <c r="G234" t="e">
        <f>VLOOKUP('Filtered Data'!E233,'Data Mapping'!$J$3:$K$11,2,0)</f>
        <v>#N/A</v>
      </c>
      <c r="H234">
        <f>'Filtered Data'!F233</f>
        <v>0</v>
      </c>
      <c r="I234" t="s">
        <v>5668</v>
      </c>
      <c r="J234" t="s">
        <v>1609</v>
      </c>
      <c r="K234" t="e">
        <f>VLOOKUP('Filtered Data'!A233,'Input 1 CMDB'!A:I,9,0)</f>
        <v>#N/A</v>
      </c>
      <c r="L234">
        <f>'Filtered Data'!K233</f>
        <v>0</v>
      </c>
      <c r="M234" t="e">
        <f t="shared" si="9"/>
        <v>#VALUE!</v>
      </c>
      <c r="N234">
        <f>'Filtered Data'!P233</f>
        <v>0</v>
      </c>
      <c r="O234">
        <f>'Filtered Data'!N233</f>
        <v>0</v>
      </c>
      <c r="P234" t="s">
        <v>5669</v>
      </c>
      <c r="Q234" t="str">
        <f>IF('Filtered Data'!W233,"ITHybridCloudEngineeringOperationsMgmt@Marathonpetroleum.com","mark.newman2@dxc.com")</f>
        <v>mark.newman2@dxc.com</v>
      </c>
      <c r="R234">
        <f t="shared" si="10"/>
        <v>0</v>
      </c>
      <c r="S234" s="31" t="s">
        <v>5738</v>
      </c>
      <c r="T234" t="s">
        <v>1381</v>
      </c>
      <c r="U234">
        <f>'Filtered Data'!V233</f>
        <v>0</v>
      </c>
      <c r="V234" t="str">
        <f>IF('Filtered Data'!W233,"yes","no")</f>
        <v>no</v>
      </c>
      <c r="W234" t="s">
        <v>15</v>
      </c>
      <c r="X234">
        <f>'Filtered Data'!X233</f>
        <v>0</v>
      </c>
    </row>
    <row r="235" spans="1:24" x14ac:dyDescent="0.35">
      <c r="A235">
        <f>'Filtered Data'!A234</f>
        <v>0</v>
      </c>
      <c r="B235">
        <f>'Filtered Data'!B234</f>
        <v>0</v>
      </c>
      <c r="C235" t="s">
        <v>2</v>
      </c>
      <c r="D235" t="e">
        <f>VLOOKUP('Filtered Data'!Z234,'Data Mapping'!$A$4:$B$7,2,0)</f>
        <v>#N/A</v>
      </c>
      <c r="E235" t="e">
        <f>VLOOKUP('Filtered Data'!C234,'Data Mapping'!$E$3:$F$97,2,0)</f>
        <v>#N/A</v>
      </c>
      <c r="F235">
        <f>'Filtered Data'!D234</f>
        <v>0</v>
      </c>
      <c r="G235" t="e">
        <f>VLOOKUP('Filtered Data'!E234,'Data Mapping'!$J$3:$K$11,2,0)</f>
        <v>#N/A</v>
      </c>
      <c r="H235">
        <f>'Filtered Data'!F234</f>
        <v>0</v>
      </c>
      <c r="I235" t="s">
        <v>5668</v>
      </c>
      <c r="J235" t="s">
        <v>1609</v>
      </c>
      <c r="K235" t="e">
        <f>VLOOKUP('Filtered Data'!A234,'Input 1 CMDB'!A:I,9,0)</f>
        <v>#N/A</v>
      </c>
      <c r="L235">
        <f>'Filtered Data'!K234</f>
        <v>0</v>
      </c>
      <c r="M235" t="e">
        <f t="shared" si="9"/>
        <v>#VALUE!</v>
      </c>
      <c r="N235">
        <f>'Filtered Data'!P234</f>
        <v>0</v>
      </c>
      <c r="O235">
        <f>'Filtered Data'!N234</f>
        <v>0</v>
      </c>
      <c r="P235" t="s">
        <v>5669</v>
      </c>
      <c r="Q235" t="str">
        <f>IF('Filtered Data'!W234,"ITHybridCloudEngineeringOperationsMgmt@Marathonpetroleum.com","mark.newman2@dxc.com")</f>
        <v>mark.newman2@dxc.com</v>
      </c>
      <c r="R235">
        <f t="shared" si="10"/>
        <v>0</v>
      </c>
      <c r="S235" s="31" t="s">
        <v>5738</v>
      </c>
      <c r="T235" t="s">
        <v>1381</v>
      </c>
      <c r="U235">
        <f>'Filtered Data'!V234</f>
        <v>0</v>
      </c>
      <c r="V235" t="str">
        <f>IF('Filtered Data'!W234,"yes","no")</f>
        <v>no</v>
      </c>
      <c r="W235" t="s">
        <v>15</v>
      </c>
      <c r="X235">
        <f>'Filtered Data'!X234</f>
        <v>0</v>
      </c>
    </row>
    <row r="236" spans="1:24" x14ac:dyDescent="0.35">
      <c r="A236">
        <f>'Filtered Data'!A235</f>
        <v>0</v>
      </c>
      <c r="B236">
        <f>'Filtered Data'!B235</f>
        <v>0</v>
      </c>
      <c r="C236" t="s">
        <v>2</v>
      </c>
      <c r="D236" t="e">
        <f>VLOOKUP('Filtered Data'!Z235,'Data Mapping'!$A$4:$B$7,2,0)</f>
        <v>#N/A</v>
      </c>
      <c r="E236" t="e">
        <f>VLOOKUP('Filtered Data'!C235,'Data Mapping'!$E$3:$F$97,2,0)</f>
        <v>#N/A</v>
      </c>
      <c r="F236">
        <f>'Filtered Data'!D235</f>
        <v>0</v>
      </c>
      <c r="G236" t="e">
        <f>VLOOKUP('Filtered Data'!E235,'Data Mapping'!$J$3:$K$11,2,0)</f>
        <v>#N/A</v>
      </c>
      <c r="H236">
        <f>'Filtered Data'!F235</f>
        <v>0</v>
      </c>
      <c r="I236" t="s">
        <v>5668</v>
      </c>
      <c r="J236" t="s">
        <v>1609</v>
      </c>
      <c r="K236" t="e">
        <f>VLOOKUP('Filtered Data'!A235,'Input 1 CMDB'!A:I,9,0)</f>
        <v>#N/A</v>
      </c>
      <c r="L236">
        <f>'Filtered Data'!K235</f>
        <v>0</v>
      </c>
      <c r="M236" t="e">
        <f t="shared" si="9"/>
        <v>#VALUE!</v>
      </c>
      <c r="N236">
        <f>'Filtered Data'!P235</f>
        <v>0</v>
      </c>
      <c r="O236">
        <f>'Filtered Data'!N235</f>
        <v>0</v>
      </c>
      <c r="P236" t="s">
        <v>5669</v>
      </c>
      <c r="Q236" t="str">
        <f>IF('Filtered Data'!W235,"ITHybridCloudEngineeringOperationsMgmt@Marathonpetroleum.com","mark.newman2@dxc.com")</f>
        <v>mark.newman2@dxc.com</v>
      </c>
      <c r="R236">
        <f t="shared" si="10"/>
        <v>0</v>
      </c>
      <c r="S236" s="31" t="s">
        <v>5738</v>
      </c>
      <c r="T236" t="s">
        <v>1381</v>
      </c>
      <c r="U236">
        <f>'Filtered Data'!V235</f>
        <v>0</v>
      </c>
      <c r="V236" t="str">
        <f>IF('Filtered Data'!W235,"yes","no")</f>
        <v>no</v>
      </c>
      <c r="W236" t="s">
        <v>15</v>
      </c>
      <c r="X236">
        <f>'Filtered Data'!X235</f>
        <v>0</v>
      </c>
    </row>
    <row r="237" spans="1:24" x14ac:dyDescent="0.35">
      <c r="A237">
        <f>'Filtered Data'!A236</f>
        <v>0</v>
      </c>
      <c r="B237">
        <f>'Filtered Data'!B236</f>
        <v>0</v>
      </c>
      <c r="C237" t="s">
        <v>2</v>
      </c>
      <c r="D237" t="e">
        <f>VLOOKUP('Filtered Data'!Z236,'Data Mapping'!$A$4:$B$7,2,0)</f>
        <v>#N/A</v>
      </c>
      <c r="E237" t="e">
        <f>VLOOKUP('Filtered Data'!C236,'Data Mapping'!$E$3:$F$97,2,0)</f>
        <v>#N/A</v>
      </c>
      <c r="F237">
        <f>'Filtered Data'!D236</f>
        <v>0</v>
      </c>
      <c r="G237" t="e">
        <f>VLOOKUP('Filtered Data'!E236,'Data Mapping'!$J$3:$K$11,2,0)</f>
        <v>#N/A</v>
      </c>
      <c r="H237">
        <f>'Filtered Data'!F236</f>
        <v>0</v>
      </c>
      <c r="I237" t="s">
        <v>5668</v>
      </c>
      <c r="J237" t="s">
        <v>1609</v>
      </c>
      <c r="K237" t="e">
        <f>VLOOKUP('Filtered Data'!A236,'Input 1 CMDB'!A:I,9,0)</f>
        <v>#N/A</v>
      </c>
      <c r="L237">
        <f>'Filtered Data'!K236</f>
        <v>0</v>
      </c>
      <c r="M237" t="e">
        <f t="shared" si="9"/>
        <v>#VALUE!</v>
      </c>
      <c r="N237">
        <f>'Filtered Data'!P236</f>
        <v>0</v>
      </c>
      <c r="O237">
        <f>'Filtered Data'!N236</f>
        <v>0</v>
      </c>
      <c r="P237" t="s">
        <v>5669</v>
      </c>
      <c r="Q237" t="str">
        <f>IF('Filtered Data'!W236,"ITHybridCloudEngineeringOperationsMgmt@Marathonpetroleum.com","mark.newman2@dxc.com")</f>
        <v>mark.newman2@dxc.com</v>
      </c>
      <c r="R237">
        <f t="shared" si="10"/>
        <v>0</v>
      </c>
      <c r="S237" s="31" t="s">
        <v>5738</v>
      </c>
      <c r="T237" t="s">
        <v>1381</v>
      </c>
      <c r="U237">
        <f>'Filtered Data'!V236</f>
        <v>0</v>
      </c>
      <c r="V237" t="str">
        <f>IF('Filtered Data'!W236,"yes","no")</f>
        <v>no</v>
      </c>
      <c r="W237" t="s">
        <v>15</v>
      </c>
      <c r="X237">
        <f>'Filtered Data'!X236</f>
        <v>0</v>
      </c>
    </row>
    <row r="238" spans="1:24" x14ac:dyDescent="0.35">
      <c r="A238">
        <f>'Filtered Data'!A237</f>
        <v>0</v>
      </c>
      <c r="B238">
        <f>'Filtered Data'!B237</f>
        <v>0</v>
      </c>
      <c r="C238" t="s">
        <v>2</v>
      </c>
      <c r="D238" t="e">
        <f>VLOOKUP('Filtered Data'!Z237,'Data Mapping'!$A$4:$B$7,2,0)</f>
        <v>#N/A</v>
      </c>
      <c r="E238" t="e">
        <f>VLOOKUP('Filtered Data'!C237,'Data Mapping'!$E$3:$F$97,2,0)</f>
        <v>#N/A</v>
      </c>
      <c r="F238">
        <f>'Filtered Data'!D237</f>
        <v>0</v>
      </c>
      <c r="G238" t="e">
        <f>VLOOKUP('Filtered Data'!E237,'Data Mapping'!$J$3:$K$11,2,0)</f>
        <v>#N/A</v>
      </c>
      <c r="H238">
        <f>'Filtered Data'!F237</f>
        <v>0</v>
      </c>
      <c r="I238" t="s">
        <v>5668</v>
      </c>
      <c r="J238" t="s">
        <v>1609</v>
      </c>
      <c r="K238" t="e">
        <f>VLOOKUP('Filtered Data'!A237,'Input 1 CMDB'!A:I,9,0)</f>
        <v>#N/A</v>
      </c>
      <c r="L238">
        <f>'Filtered Data'!K237</f>
        <v>0</v>
      </c>
      <c r="M238" t="e">
        <f t="shared" si="9"/>
        <v>#VALUE!</v>
      </c>
      <c r="N238">
        <f>'Filtered Data'!P237</f>
        <v>0</v>
      </c>
      <c r="O238">
        <f>'Filtered Data'!N237</f>
        <v>0</v>
      </c>
      <c r="P238" t="s">
        <v>5669</v>
      </c>
      <c r="Q238" t="str">
        <f>IF('Filtered Data'!W237,"ITHybridCloudEngineeringOperationsMgmt@Marathonpetroleum.com","mark.newman2@dxc.com")</f>
        <v>mark.newman2@dxc.com</v>
      </c>
      <c r="R238">
        <f t="shared" si="10"/>
        <v>0</v>
      </c>
      <c r="S238" s="31" t="s">
        <v>5738</v>
      </c>
      <c r="T238" t="s">
        <v>1381</v>
      </c>
      <c r="U238">
        <f>'Filtered Data'!V237</f>
        <v>0</v>
      </c>
      <c r="V238" t="str">
        <f>IF('Filtered Data'!W237,"yes","no")</f>
        <v>no</v>
      </c>
      <c r="W238" t="s">
        <v>15</v>
      </c>
      <c r="X238">
        <f>'Filtered Data'!X237</f>
        <v>0</v>
      </c>
    </row>
    <row r="239" spans="1:24" x14ac:dyDescent="0.35">
      <c r="A239">
        <f>'Filtered Data'!A238</f>
        <v>0</v>
      </c>
      <c r="B239">
        <f>'Filtered Data'!B238</f>
        <v>0</v>
      </c>
      <c r="C239" t="s">
        <v>2</v>
      </c>
      <c r="D239" t="e">
        <f>VLOOKUP('Filtered Data'!Z238,'Data Mapping'!$A$4:$B$7,2,0)</f>
        <v>#N/A</v>
      </c>
      <c r="E239" t="e">
        <f>VLOOKUP('Filtered Data'!C238,'Data Mapping'!$E$3:$F$97,2,0)</f>
        <v>#N/A</v>
      </c>
      <c r="F239">
        <f>'Filtered Data'!D238</f>
        <v>0</v>
      </c>
      <c r="G239" t="e">
        <f>VLOOKUP('Filtered Data'!E238,'Data Mapping'!$J$3:$K$11,2,0)</f>
        <v>#N/A</v>
      </c>
      <c r="H239">
        <f>'Filtered Data'!F238</f>
        <v>0</v>
      </c>
      <c r="I239" t="s">
        <v>5668</v>
      </c>
      <c r="J239" t="s">
        <v>1609</v>
      </c>
      <c r="K239" t="e">
        <f>VLOOKUP('Filtered Data'!A238,'Input 1 CMDB'!A:I,9,0)</f>
        <v>#N/A</v>
      </c>
      <c r="L239">
        <f>'Filtered Data'!K238</f>
        <v>0</v>
      </c>
      <c r="M239" t="e">
        <f t="shared" si="9"/>
        <v>#VALUE!</v>
      </c>
      <c r="N239">
        <f>'Filtered Data'!P238</f>
        <v>0</v>
      </c>
      <c r="O239">
        <f>'Filtered Data'!N238</f>
        <v>0</v>
      </c>
      <c r="P239" t="s">
        <v>5669</v>
      </c>
      <c r="Q239" t="str">
        <f>IF('Filtered Data'!W238,"ITHybridCloudEngineeringOperationsMgmt@Marathonpetroleum.com","mark.newman2@dxc.com")</f>
        <v>mark.newman2@dxc.com</v>
      </c>
      <c r="R239">
        <f t="shared" si="10"/>
        <v>0</v>
      </c>
      <c r="S239" s="31" t="s">
        <v>5738</v>
      </c>
      <c r="T239" t="s">
        <v>1381</v>
      </c>
      <c r="U239">
        <f>'Filtered Data'!V238</f>
        <v>0</v>
      </c>
      <c r="V239" t="str">
        <f>IF('Filtered Data'!W238,"yes","no")</f>
        <v>no</v>
      </c>
      <c r="W239" t="s">
        <v>15</v>
      </c>
      <c r="X239">
        <f>'Filtered Data'!X238</f>
        <v>0</v>
      </c>
    </row>
    <row r="240" spans="1:24" x14ac:dyDescent="0.35">
      <c r="A240">
        <f>'Filtered Data'!A239</f>
        <v>0</v>
      </c>
      <c r="B240">
        <f>'Filtered Data'!B239</f>
        <v>0</v>
      </c>
      <c r="C240" t="s">
        <v>2</v>
      </c>
      <c r="D240" t="e">
        <f>VLOOKUP('Filtered Data'!Z239,'Data Mapping'!$A$4:$B$7,2,0)</f>
        <v>#N/A</v>
      </c>
      <c r="E240" t="e">
        <f>VLOOKUP('Filtered Data'!C239,'Data Mapping'!$E$3:$F$97,2,0)</f>
        <v>#N/A</v>
      </c>
      <c r="F240">
        <f>'Filtered Data'!D239</f>
        <v>0</v>
      </c>
      <c r="G240" t="e">
        <f>VLOOKUP('Filtered Data'!E239,'Data Mapping'!$J$3:$K$11,2,0)</f>
        <v>#N/A</v>
      </c>
      <c r="H240">
        <f>'Filtered Data'!F239</f>
        <v>0</v>
      </c>
      <c r="I240" t="s">
        <v>5668</v>
      </c>
      <c r="J240" t="s">
        <v>1609</v>
      </c>
      <c r="K240" t="e">
        <f>VLOOKUP('Filtered Data'!A239,'Input 1 CMDB'!A:I,9,0)</f>
        <v>#N/A</v>
      </c>
      <c r="L240">
        <f>'Filtered Data'!K239</f>
        <v>0</v>
      </c>
      <c r="M240" t="e">
        <f t="shared" si="9"/>
        <v>#VALUE!</v>
      </c>
      <c r="N240">
        <f>'Filtered Data'!P239</f>
        <v>0</v>
      </c>
      <c r="O240">
        <f>'Filtered Data'!N239</f>
        <v>0</v>
      </c>
      <c r="P240" t="s">
        <v>5669</v>
      </c>
      <c r="Q240" t="str">
        <f>IF('Filtered Data'!W239,"ITHybridCloudEngineeringOperationsMgmt@Marathonpetroleum.com","mark.newman2@dxc.com")</f>
        <v>mark.newman2@dxc.com</v>
      </c>
      <c r="R240">
        <f t="shared" si="10"/>
        <v>0</v>
      </c>
      <c r="S240" s="31" t="s">
        <v>5738</v>
      </c>
      <c r="T240" t="s">
        <v>1381</v>
      </c>
      <c r="U240">
        <f>'Filtered Data'!V239</f>
        <v>0</v>
      </c>
      <c r="V240" t="str">
        <f>IF('Filtered Data'!W239,"yes","no")</f>
        <v>no</v>
      </c>
      <c r="W240" t="s">
        <v>15</v>
      </c>
      <c r="X240">
        <f>'Filtered Data'!X239</f>
        <v>0</v>
      </c>
    </row>
    <row r="241" spans="1:24" x14ac:dyDescent="0.35">
      <c r="A241">
        <f>'Filtered Data'!A240</f>
        <v>0</v>
      </c>
      <c r="B241">
        <f>'Filtered Data'!B240</f>
        <v>0</v>
      </c>
      <c r="C241" t="s">
        <v>2</v>
      </c>
      <c r="D241" t="e">
        <f>VLOOKUP('Filtered Data'!Z240,'Data Mapping'!$A$4:$B$7,2,0)</f>
        <v>#N/A</v>
      </c>
      <c r="E241" t="e">
        <f>VLOOKUP('Filtered Data'!C240,'Data Mapping'!$E$3:$F$97,2,0)</f>
        <v>#N/A</v>
      </c>
      <c r="F241">
        <f>'Filtered Data'!D240</f>
        <v>0</v>
      </c>
      <c r="G241" t="e">
        <f>VLOOKUP('Filtered Data'!E240,'Data Mapping'!$J$3:$K$11,2,0)</f>
        <v>#N/A</v>
      </c>
      <c r="H241">
        <f>'Filtered Data'!F240</f>
        <v>0</v>
      </c>
      <c r="I241" t="s">
        <v>5668</v>
      </c>
      <c r="J241" t="s">
        <v>1609</v>
      </c>
      <c r="K241" t="e">
        <f>VLOOKUP('Filtered Data'!A240,'Input 1 CMDB'!A:I,9,0)</f>
        <v>#N/A</v>
      </c>
      <c r="L241">
        <f>'Filtered Data'!K240</f>
        <v>0</v>
      </c>
      <c r="M241" t="e">
        <f t="shared" si="9"/>
        <v>#VALUE!</v>
      </c>
      <c r="N241">
        <f>'Filtered Data'!P240</f>
        <v>0</v>
      </c>
      <c r="O241">
        <f>'Filtered Data'!N240</f>
        <v>0</v>
      </c>
      <c r="P241" t="s">
        <v>5669</v>
      </c>
      <c r="Q241" t="str">
        <f>IF('Filtered Data'!W240,"ITHybridCloudEngineeringOperationsMgmt@Marathonpetroleum.com","mark.newman2@dxc.com")</f>
        <v>mark.newman2@dxc.com</v>
      </c>
      <c r="R241">
        <f t="shared" si="10"/>
        <v>0</v>
      </c>
      <c r="S241" s="31" t="s">
        <v>5738</v>
      </c>
      <c r="T241" t="s">
        <v>1381</v>
      </c>
      <c r="U241">
        <f>'Filtered Data'!V240</f>
        <v>0</v>
      </c>
      <c r="V241" t="str">
        <f>IF('Filtered Data'!W240,"yes","no")</f>
        <v>no</v>
      </c>
      <c r="W241" t="s">
        <v>15</v>
      </c>
      <c r="X241">
        <f>'Filtered Data'!X240</f>
        <v>0</v>
      </c>
    </row>
    <row r="242" spans="1:24" x14ac:dyDescent="0.35">
      <c r="A242">
        <f>'Filtered Data'!A241</f>
        <v>0</v>
      </c>
      <c r="B242">
        <f>'Filtered Data'!B241</f>
        <v>0</v>
      </c>
      <c r="C242" t="s">
        <v>2</v>
      </c>
      <c r="D242" t="e">
        <f>VLOOKUP('Filtered Data'!Z241,'Data Mapping'!$A$4:$B$7,2,0)</f>
        <v>#N/A</v>
      </c>
      <c r="E242" t="e">
        <f>VLOOKUP('Filtered Data'!C241,'Data Mapping'!$E$3:$F$97,2,0)</f>
        <v>#N/A</v>
      </c>
      <c r="F242">
        <f>'Filtered Data'!D241</f>
        <v>0</v>
      </c>
      <c r="G242" t="e">
        <f>VLOOKUP('Filtered Data'!E241,'Data Mapping'!$J$3:$K$11,2,0)</f>
        <v>#N/A</v>
      </c>
      <c r="H242">
        <f>'Filtered Data'!F241</f>
        <v>0</v>
      </c>
      <c r="I242" t="s">
        <v>5668</v>
      </c>
      <c r="J242" t="s">
        <v>1609</v>
      </c>
      <c r="K242" t="e">
        <f>VLOOKUP('Filtered Data'!A241,'Input 1 CMDB'!A:I,9,0)</f>
        <v>#N/A</v>
      </c>
      <c r="L242">
        <f>'Filtered Data'!K241</f>
        <v>0</v>
      </c>
      <c r="M242" t="e">
        <f t="shared" si="9"/>
        <v>#VALUE!</v>
      </c>
      <c r="N242">
        <f>'Filtered Data'!P241</f>
        <v>0</v>
      </c>
      <c r="O242">
        <f>'Filtered Data'!N241</f>
        <v>0</v>
      </c>
      <c r="P242" t="s">
        <v>5669</v>
      </c>
      <c r="Q242" t="str">
        <f>IF('Filtered Data'!W241,"ITHybridCloudEngineeringOperationsMgmt@Marathonpetroleum.com","mark.newman2@dxc.com")</f>
        <v>mark.newman2@dxc.com</v>
      </c>
      <c r="R242">
        <f t="shared" si="10"/>
        <v>0</v>
      </c>
      <c r="S242" s="31" t="s">
        <v>5738</v>
      </c>
      <c r="T242" t="s">
        <v>1381</v>
      </c>
      <c r="U242">
        <f>'Filtered Data'!V241</f>
        <v>0</v>
      </c>
      <c r="V242" t="str">
        <f>IF('Filtered Data'!W241,"yes","no")</f>
        <v>no</v>
      </c>
      <c r="W242" t="s">
        <v>15</v>
      </c>
      <c r="X242">
        <f>'Filtered Data'!X241</f>
        <v>0</v>
      </c>
    </row>
    <row r="243" spans="1:24" x14ac:dyDescent="0.35">
      <c r="A243">
        <f>'Filtered Data'!A242</f>
        <v>0</v>
      </c>
      <c r="B243">
        <f>'Filtered Data'!B242</f>
        <v>0</v>
      </c>
      <c r="C243" t="s">
        <v>2</v>
      </c>
      <c r="D243" t="e">
        <f>VLOOKUP('Filtered Data'!Z242,'Data Mapping'!$A$4:$B$7,2,0)</f>
        <v>#N/A</v>
      </c>
      <c r="E243" t="e">
        <f>VLOOKUP('Filtered Data'!C242,'Data Mapping'!$E$3:$F$97,2,0)</f>
        <v>#N/A</v>
      </c>
      <c r="F243">
        <f>'Filtered Data'!D242</f>
        <v>0</v>
      </c>
      <c r="G243" t="e">
        <f>VLOOKUP('Filtered Data'!E242,'Data Mapping'!$J$3:$K$11,2,0)</f>
        <v>#N/A</v>
      </c>
      <c r="H243">
        <f>'Filtered Data'!F242</f>
        <v>0</v>
      </c>
      <c r="I243" t="s">
        <v>5668</v>
      </c>
      <c r="J243" t="s">
        <v>1609</v>
      </c>
      <c r="K243" t="e">
        <f>VLOOKUP('Filtered Data'!A242,'Input 1 CMDB'!A:I,9,0)</f>
        <v>#N/A</v>
      </c>
      <c r="L243">
        <f>'Filtered Data'!K242</f>
        <v>0</v>
      </c>
      <c r="M243" t="e">
        <f t="shared" si="9"/>
        <v>#VALUE!</v>
      </c>
      <c r="N243">
        <f>'Filtered Data'!P242</f>
        <v>0</v>
      </c>
      <c r="O243">
        <f>'Filtered Data'!N242</f>
        <v>0</v>
      </c>
      <c r="P243" t="s">
        <v>5669</v>
      </c>
      <c r="Q243" t="str">
        <f>IF('Filtered Data'!W242,"ITHybridCloudEngineeringOperationsMgmt@Marathonpetroleum.com","mark.newman2@dxc.com")</f>
        <v>mark.newman2@dxc.com</v>
      </c>
      <c r="R243">
        <f t="shared" si="10"/>
        <v>0</v>
      </c>
      <c r="S243" s="31" t="s">
        <v>5738</v>
      </c>
      <c r="T243" t="s">
        <v>1381</v>
      </c>
      <c r="U243">
        <f>'Filtered Data'!V242</f>
        <v>0</v>
      </c>
      <c r="V243" t="str">
        <f>IF('Filtered Data'!W242,"yes","no")</f>
        <v>no</v>
      </c>
      <c r="W243" t="s">
        <v>15</v>
      </c>
      <c r="X243">
        <f>'Filtered Data'!X242</f>
        <v>0</v>
      </c>
    </row>
    <row r="244" spans="1:24" x14ac:dyDescent="0.35">
      <c r="A244">
        <f>'Filtered Data'!A243</f>
        <v>0</v>
      </c>
      <c r="B244">
        <f>'Filtered Data'!B243</f>
        <v>0</v>
      </c>
      <c r="C244" t="s">
        <v>2</v>
      </c>
      <c r="D244" t="e">
        <f>VLOOKUP('Filtered Data'!Z243,'Data Mapping'!$A$4:$B$7,2,0)</f>
        <v>#N/A</v>
      </c>
      <c r="E244" t="e">
        <f>VLOOKUP('Filtered Data'!C243,'Data Mapping'!$E$3:$F$97,2,0)</f>
        <v>#N/A</v>
      </c>
      <c r="F244">
        <f>'Filtered Data'!D243</f>
        <v>0</v>
      </c>
      <c r="G244" t="e">
        <f>VLOOKUP('Filtered Data'!E243,'Data Mapping'!$J$3:$K$11,2,0)</f>
        <v>#N/A</v>
      </c>
      <c r="H244">
        <f>'Filtered Data'!F243</f>
        <v>0</v>
      </c>
      <c r="I244" t="s">
        <v>5668</v>
      </c>
      <c r="J244" t="s">
        <v>1609</v>
      </c>
      <c r="K244" t="e">
        <f>VLOOKUP('Filtered Data'!A243,'Input 1 CMDB'!A:I,9,0)</f>
        <v>#N/A</v>
      </c>
      <c r="L244">
        <f>'Filtered Data'!K243</f>
        <v>0</v>
      </c>
      <c r="M244" t="e">
        <f t="shared" si="9"/>
        <v>#VALUE!</v>
      </c>
      <c r="N244">
        <f>'Filtered Data'!P243</f>
        <v>0</v>
      </c>
      <c r="O244">
        <f>'Filtered Data'!N243</f>
        <v>0</v>
      </c>
      <c r="P244" t="s">
        <v>5669</v>
      </c>
      <c r="Q244" t="str">
        <f>IF('Filtered Data'!W243,"ITHybridCloudEngineeringOperationsMgmt@Marathonpetroleum.com","mark.newman2@dxc.com")</f>
        <v>mark.newman2@dxc.com</v>
      </c>
      <c r="R244">
        <f t="shared" si="10"/>
        <v>0</v>
      </c>
      <c r="S244" s="31" t="s">
        <v>5738</v>
      </c>
      <c r="T244" t="s">
        <v>1381</v>
      </c>
      <c r="U244">
        <f>'Filtered Data'!V243</f>
        <v>0</v>
      </c>
      <c r="V244" t="str">
        <f>IF('Filtered Data'!W243,"yes","no")</f>
        <v>no</v>
      </c>
      <c r="W244" t="s">
        <v>15</v>
      </c>
      <c r="X244">
        <f>'Filtered Data'!X243</f>
        <v>0</v>
      </c>
    </row>
    <row r="245" spans="1:24" x14ac:dyDescent="0.35">
      <c r="A245">
        <f>'Filtered Data'!A244</f>
        <v>0</v>
      </c>
      <c r="B245">
        <f>'Filtered Data'!B244</f>
        <v>0</v>
      </c>
      <c r="C245" t="s">
        <v>2</v>
      </c>
      <c r="D245" t="e">
        <f>VLOOKUP('Filtered Data'!Z244,'Data Mapping'!$A$4:$B$7,2,0)</f>
        <v>#N/A</v>
      </c>
      <c r="E245" t="e">
        <f>VLOOKUP('Filtered Data'!C244,'Data Mapping'!$E$3:$F$97,2,0)</f>
        <v>#N/A</v>
      </c>
      <c r="F245">
        <f>'Filtered Data'!D244</f>
        <v>0</v>
      </c>
      <c r="G245" t="e">
        <f>VLOOKUP('Filtered Data'!E244,'Data Mapping'!$J$3:$K$11,2,0)</f>
        <v>#N/A</v>
      </c>
      <c r="H245">
        <f>'Filtered Data'!F244</f>
        <v>0</v>
      </c>
      <c r="I245" t="s">
        <v>5668</v>
      </c>
      <c r="J245" t="s">
        <v>1609</v>
      </c>
      <c r="K245" t="e">
        <f>VLOOKUP('Filtered Data'!A244,'Input 1 CMDB'!A:I,9,0)</f>
        <v>#N/A</v>
      </c>
      <c r="L245">
        <f>'Filtered Data'!K244</f>
        <v>0</v>
      </c>
      <c r="M245" t="e">
        <f t="shared" si="9"/>
        <v>#VALUE!</v>
      </c>
      <c r="N245">
        <f>'Filtered Data'!P244</f>
        <v>0</v>
      </c>
      <c r="O245">
        <f>'Filtered Data'!N244</f>
        <v>0</v>
      </c>
      <c r="P245" t="s">
        <v>5669</v>
      </c>
      <c r="Q245" t="str">
        <f>IF('Filtered Data'!W244,"ITHybridCloudEngineeringOperationsMgmt@Marathonpetroleum.com","mark.newman2@dxc.com")</f>
        <v>mark.newman2@dxc.com</v>
      </c>
      <c r="R245">
        <f t="shared" si="10"/>
        <v>0</v>
      </c>
      <c r="S245" s="31" t="s">
        <v>5738</v>
      </c>
      <c r="T245" t="s">
        <v>1381</v>
      </c>
      <c r="U245">
        <f>'Filtered Data'!V244</f>
        <v>0</v>
      </c>
      <c r="V245" t="str">
        <f>IF('Filtered Data'!W244,"yes","no")</f>
        <v>no</v>
      </c>
      <c r="W245" t="s">
        <v>15</v>
      </c>
      <c r="X245">
        <f>'Filtered Data'!X244</f>
        <v>0</v>
      </c>
    </row>
    <row r="246" spans="1:24" x14ac:dyDescent="0.35">
      <c r="A246">
        <f>'Filtered Data'!A245</f>
        <v>0</v>
      </c>
      <c r="B246">
        <f>'Filtered Data'!B245</f>
        <v>0</v>
      </c>
      <c r="C246" t="s">
        <v>2</v>
      </c>
      <c r="D246" t="e">
        <f>VLOOKUP('Filtered Data'!Z245,'Data Mapping'!$A$4:$B$7,2,0)</f>
        <v>#N/A</v>
      </c>
      <c r="E246" t="e">
        <f>VLOOKUP('Filtered Data'!C245,'Data Mapping'!$E$3:$F$97,2,0)</f>
        <v>#N/A</v>
      </c>
      <c r="F246">
        <f>'Filtered Data'!D245</f>
        <v>0</v>
      </c>
      <c r="G246" t="e">
        <f>VLOOKUP('Filtered Data'!E245,'Data Mapping'!$J$3:$K$11,2,0)</f>
        <v>#N/A</v>
      </c>
      <c r="H246">
        <f>'Filtered Data'!F245</f>
        <v>0</v>
      </c>
      <c r="I246" t="s">
        <v>5668</v>
      </c>
      <c r="J246" t="s">
        <v>1609</v>
      </c>
      <c r="K246" t="e">
        <f>VLOOKUP('Filtered Data'!A245,'Input 1 CMDB'!A:I,9,0)</f>
        <v>#N/A</v>
      </c>
      <c r="L246">
        <f>'Filtered Data'!K245</f>
        <v>0</v>
      </c>
      <c r="M246" t="e">
        <f t="shared" si="9"/>
        <v>#VALUE!</v>
      </c>
      <c r="N246">
        <f>'Filtered Data'!P245</f>
        <v>0</v>
      </c>
      <c r="O246">
        <f>'Filtered Data'!N245</f>
        <v>0</v>
      </c>
      <c r="P246" t="s">
        <v>5669</v>
      </c>
      <c r="Q246" t="str">
        <f>IF('Filtered Data'!W245,"ITHybridCloudEngineeringOperationsMgmt@Marathonpetroleum.com","mark.newman2@dxc.com")</f>
        <v>mark.newman2@dxc.com</v>
      </c>
      <c r="R246">
        <f t="shared" si="10"/>
        <v>0</v>
      </c>
      <c r="S246" s="31" t="s">
        <v>5738</v>
      </c>
      <c r="T246" t="s">
        <v>1381</v>
      </c>
      <c r="U246">
        <f>'Filtered Data'!V245</f>
        <v>0</v>
      </c>
      <c r="V246" t="str">
        <f>IF('Filtered Data'!W245,"yes","no")</f>
        <v>no</v>
      </c>
      <c r="W246" t="s">
        <v>15</v>
      </c>
      <c r="X246">
        <f>'Filtered Data'!X245</f>
        <v>0</v>
      </c>
    </row>
    <row r="247" spans="1:24" x14ac:dyDescent="0.35">
      <c r="A247">
        <f>'Filtered Data'!A246</f>
        <v>0</v>
      </c>
      <c r="B247">
        <f>'Filtered Data'!B246</f>
        <v>0</v>
      </c>
      <c r="C247" t="s">
        <v>2</v>
      </c>
      <c r="D247" t="e">
        <f>VLOOKUP('Filtered Data'!Z246,'Data Mapping'!$A$4:$B$7,2,0)</f>
        <v>#N/A</v>
      </c>
      <c r="E247" t="e">
        <f>VLOOKUP('Filtered Data'!C246,'Data Mapping'!$E$3:$F$97,2,0)</f>
        <v>#N/A</v>
      </c>
      <c r="F247">
        <f>'Filtered Data'!D246</f>
        <v>0</v>
      </c>
      <c r="G247" t="e">
        <f>VLOOKUP('Filtered Data'!E246,'Data Mapping'!$J$3:$K$11,2,0)</f>
        <v>#N/A</v>
      </c>
      <c r="H247">
        <f>'Filtered Data'!F246</f>
        <v>0</v>
      </c>
      <c r="I247" t="s">
        <v>5668</v>
      </c>
      <c r="J247" t="s">
        <v>1609</v>
      </c>
      <c r="K247" t="e">
        <f>VLOOKUP('Filtered Data'!A246,'Input 1 CMDB'!A:I,9,0)</f>
        <v>#N/A</v>
      </c>
      <c r="L247">
        <f>'Filtered Data'!K246</f>
        <v>0</v>
      </c>
      <c r="M247" t="e">
        <f t="shared" si="9"/>
        <v>#VALUE!</v>
      </c>
      <c r="N247">
        <f>'Filtered Data'!P246</f>
        <v>0</v>
      </c>
      <c r="O247">
        <f>'Filtered Data'!N246</f>
        <v>0</v>
      </c>
      <c r="P247" t="s">
        <v>5669</v>
      </c>
      <c r="Q247" t="str">
        <f>IF('Filtered Data'!W246,"ITHybridCloudEngineeringOperationsMgmt@Marathonpetroleum.com","mark.newman2@dxc.com")</f>
        <v>mark.newman2@dxc.com</v>
      </c>
      <c r="R247">
        <f t="shared" si="10"/>
        <v>0</v>
      </c>
      <c r="S247" s="31" t="s">
        <v>5738</v>
      </c>
      <c r="T247" t="s">
        <v>1381</v>
      </c>
      <c r="U247">
        <f>'Filtered Data'!V246</f>
        <v>0</v>
      </c>
      <c r="V247" t="str">
        <f>IF('Filtered Data'!W246,"yes","no")</f>
        <v>no</v>
      </c>
      <c r="W247" t="s">
        <v>15</v>
      </c>
      <c r="X247">
        <f>'Filtered Data'!X246</f>
        <v>0</v>
      </c>
    </row>
    <row r="248" spans="1:24" x14ac:dyDescent="0.35">
      <c r="A248">
        <f>'Filtered Data'!A247</f>
        <v>0</v>
      </c>
      <c r="B248">
        <f>'Filtered Data'!B247</f>
        <v>0</v>
      </c>
      <c r="C248" t="s">
        <v>2</v>
      </c>
      <c r="D248" t="e">
        <f>VLOOKUP('Filtered Data'!Z247,'Data Mapping'!$A$4:$B$7,2,0)</f>
        <v>#N/A</v>
      </c>
      <c r="E248" t="e">
        <f>VLOOKUP('Filtered Data'!C247,'Data Mapping'!$E$3:$F$97,2,0)</f>
        <v>#N/A</v>
      </c>
      <c r="F248">
        <f>'Filtered Data'!D247</f>
        <v>0</v>
      </c>
      <c r="G248" t="e">
        <f>VLOOKUP('Filtered Data'!E247,'Data Mapping'!$J$3:$K$11,2,0)</f>
        <v>#N/A</v>
      </c>
      <c r="H248">
        <f>'Filtered Data'!F247</f>
        <v>0</v>
      </c>
      <c r="I248" t="s">
        <v>5668</v>
      </c>
      <c r="J248" t="s">
        <v>1609</v>
      </c>
      <c r="K248" t="e">
        <f>VLOOKUP('Filtered Data'!A247,'Input 1 CMDB'!A:I,9,0)</f>
        <v>#N/A</v>
      </c>
      <c r="L248">
        <f>'Filtered Data'!K247</f>
        <v>0</v>
      </c>
      <c r="M248" t="e">
        <f t="shared" si="9"/>
        <v>#VALUE!</v>
      </c>
      <c r="N248">
        <f>'Filtered Data'!P247</f>
        <v>0</v>
      </c>
      <c r="O248">
        <f>'Filtered Data'!N247</f>
        <v>0</v>
      </c>
      <c r="P248" t="s">
        <v>5669</v>
      </c>
      <c r="Q248" t="str">
        <f>IF('Filtered Data'!W247,"ITHybridCloudEngineeringOperationsMgmt@Marathonpetroleum.com","mark.newman2@dxc.com")</f>
        <v>mark.newman2@dxc.com</v>
      </c>
      <c r="R248">
        <f t="shared" si="10"/>
        <v>0</v>
      </c>
      <c r="S248" s="31" t="s">
        <v>5738</v>
      </c>
      <c r="T248" t="s">
        <v>1381</v>
      </c>
      <c r="U248">
        <f>'Filtered Data'!V247</f>
        <v>0</v>
      </c>
      <c r="V248" t="str">
        <f>IF('Filtered Data'!W247,"yes","no")</f>
        <v>no</v>
      </c>
      <c r="W248" t="s">
        <v>15</v>
      </c>
      <c r="X248">
        <f>'Filtered Data'!X247</f>
        <v>0</v>
      </c>
    </row>
    <row r="249" spans="1:24" x14ac:dyDescent="0.35">
      <c r="A249">
        <f>'Filtered Data'!A248</f>
        <v>0</v>
      </c>
      <c r="B249">
        <f>'Filtered Data'!B248</f>
        <v>0</v>
      </c>
      <c r="C249" t="s">
        <v>2</v>
      </c>
      <c r="D249" t="e">
        <f>VLOOKUP('Filtered Data'!Z248,'Data Mapping'!$A$4:$B$7,2,0)</f>
        <v>#N/A</v>
      </c>
      <c r="E249" t="e">
        <f>VLOOKUP('Filtered Data'!C248,'Data Mapping'!$E$3:$F$97,2,0)</f>
        <v>#N/A</v>
      </c>
      <c r="F249">
        <f>'Filtered Data'!D248</f>
        <v>0</v>
      </c>
      <c r="G249" t="e">
        <f>VLOOKUP('Filtered Data'!E248,'Data Mapping'!$J$3:$K$11,2,0)</f>
        <v>#N/A</v>
      </c>
      <c r="H249">
        <f>'Filtered Data'!F248</f>
        <v>0</v>
      </c>
      <c r="I249" t="s">
        <v>5668</v>
      </c>
      <c r="J249" t="s">
        <v>1609</v>
      </c>
      <c r="K249" t="e">
        <f>VLOOKUP('Filtered Data'!A248,'Input 1 CMDB'!A:I,9,0)</f>
        <v>#N/A</v>
      </c>
      <c r="L249">
        <f>'Filtered Data'!K248</f>
        <v>0</v>
      </c>
      <c r="M249" t="e">
        <f t="shared" si="9"/>
        <v>#VALUE!</v>
      </c>
      <c r="N249">
        <f>'Filtered Data'!P248</f>
        <v>0</v>
      </c>
      <c r="O249">
        <f>'Filtered Data'!N248</f>
        <v>0</v>
      </c>
      <c r="P249" t="s">
        <v>5669</v>
      </c>
      <c r="Q249" t="str">
        <f>IF('Filtered Data'!W248,"ITHybridCloudEngineeringOperationsMgmt@Marathonpetroleum.com","mark.newman2@dxc.com")</f>
        <v>mark.newman2@dxc.com</v>
      </c>
      <c r="R249">
        <f t="shared" si="10"/>
        <v>0</v>
      </c>
      <c r="S249" s="31" t="s">
        <v>5738</v>
      </c>
      <c r="T249" t="s">
        <v>1381</v>
      </c>
      <c r="U249">
        <f>'Filtered Data'!V248</f>
        <v>0</v>
      </c>
      <c r="V249" t="str">
        <f>IF('Filtered Data'!W248,"yes","no")</f>
        <v>no</v>
      </c>
      <c r="W249" t="s">
        <v>15</v>
      </c>
      <c r="X249">
        <f>'Filtered Data'!X248</f>
        <v>0</v>
      </c>
    </row>
    <row r="250" spans="1:24" x14ac:dyDescent="0.35">
      <c r="A250">
        <f>'Filtered Data'!A249</f>
        <v>0</v>
      </c>
      <c r="B250">
        <f>'Filtered Data'!B249</f>
        <v>0</v>
      </c>
      <c r="C250" t="s">
        <v>2</v>
      </c>
      <c r="D250" t="e">
        <f>VLOOKUP('Filtered Data'!Z249,'Data Mapping'!$A$4:$B$7,2,0)</f>
        <v>#N/A</v>
      </c>
      <c r="E250" t="e">
        <f>VLOOKUP('Filtered Data'!C249,'Data Mapping'!$E$3:$F$97,2,0)</f>
        <v>#N/A</v>
      </c>
      <c r="F250">
        <f>'Filtered Data'!D249</f>
        <v>0</v>
      </c>
      <c r="G250" t="e">
        <f>VLOOKUP('Filtered Data'!E249,'Data Mapping'!$J$3:$K$11,2,0)</f>
        <v>#N/A</v>
      </c>
      <c r="H250">
        <f>'Filtered Data'!F249</f>
        <v>0</v>
      </c>
      <c r="I250" t="s">
        <v>5668</v>
      </c>
      <c r="J250" t="s">
        <v>1609</v>
      </c>
      <c r="K250" t="e">
        <f>VLOOKUP('Filtered Data'!A249,'Input 1 CMDB'!A:I,9,0)</f>
        <v>#N/A</v>
      </c>
      <c r="L250">
        <f>'Filtered Data'!K249</f>
        <v>0</v>
      </c>
      <c r="M250" t="e">
        <f t="shared" si="9"/>
        <v>#VALUE!</v>
      </c>
      <c r="N250">
        <f>'Filtered Data'!P249</f>
        <v>0</v>
      </c>
      <c r="O250">
        <f>'Filtered Data'!N249</f>
        <v>0</v>
      </c>
      <c r="P250" t="s">
        <v>5669</v>
      </c>
      <c r="Q250" t="str">
        <f>IF('Filtered Data'!W249,"ITHybridCloudEngineeringOperationsMgmt@Marathonpetroleum.com","mark.newman2@dxc.com")</f>
        <v>mark.newman2@dxc.com</v>
      </c>
      <c r="R250">
        <f t="shared" si="10"/>
        <v>0</v>
      </c>
      <c r="S250" s="31" t="s">
        <v>5738</v>
      </c>
      <c r="T250" t="s">
        <v>1381</v>
      </c>
      <c r="U250">
        <f>'Filtered Data'!V249</f>
        <v>0</v>
      </c>
      <c r="V250" t="str">
        <f>IF('Filtered Data'!W249,"yes","no")</f>
        <v>no</v>
      </c>
      <c r="W250" t="s">
        <v>15</v>
      </c>
      <c r="X250">
        <f>'Filtered Data'!X249</f>
        <v>0</v>
      </c>
    </row>
    <row r="251" spans="1:24" x14ac:dyDescent="0.35">
      <c r="A251">
        <f>'Filtered Data'!A250</f>
        <v>0</v>
      </c>
      <c r="B251">
        <f>'Filtered Data'!B250</f>
        <v>0</v>
      </c>
      <c r="C251" t="s">
        <v>2</v>
      </c>
      <c r="D251" t="e">
        <f>VLOOKUP('Filtered Data'!Z250,'Data Mapping'!$A$4:$B$7,2,0)</f>
        <v>#N/A</v>
      </c>
      <c r="E251" t="e">
        <f>VLOOKUP('Filtered Data'!C250,'Data Mapping'!$E$3:$F$97,2,0)</f>
        <v>#N/A</v>
      </c>
      <c r="F251">
        <f>'Filtered Data'!D250</f>
        <v>0</v>
      </c>
      <c r="G251" t="e">
        <f>VLOOKUP('Filtered Data'!E250,'Data Mapping'!$J$3:$K$11,2,0)</f>
        <v>#N/A</v>
      </c>
      <c r="H251">
        <f>'Filtered Data'!F250</f>
        <v>0</v>
      </c>
      <c r="I251" t="s">
        <v>5668</v>
      </c>
      <c r="J251" t="s">
        <v>1609</v>
      </c>
      <c r="K251" t="e">
        <f>VLOOKUP('Filtered Data'!A250,'Input 1 CMDB'!A:I,9,0)</f>
        <v>#N/A</v>
      </c>
      <c r="L251">
        <f>'Filtered Data'!K250</f>
        <v>0</v>
      </c>
      <c r="M251" t="e">
        <f t="shared" si="9"/>
        <v>#VALUE!</v>
      </c>
      <c r="N251">
        <f>'Filtered Data'!P250</f>
        <v>0</v>
      </c>
      <c r="O251">
        <f>'Filtered Data'!N250</f>
        <v>0</v>
      </c>
      <c r="P251" t="s">
        <v>5669</v>
      </c>
      <c r="Q251" t="str">
        <f>IF('Filtered Data'!W250,"ITHybridCloudEngineeringOperationsMgmt@Marathonpetroleum.com","mark.newman2@dxc.com")</f>
        <v>mark.newman2@dxc.com</v>
      </c>
      <c r="R251">
        <f t="shared" si="10"/>
        <v>0</v>
      </c>
      <c r="S251" s="31" t="s">
        <v>5738</v>
      </c>
      <c r="T251" t="s">
        <v>1381</v>
      </c>
      <c r="U251">
        <f>'Filtered Data'!V250</f>
        <v>0</v>
      </c>
      <c r="V251" t="str">
        <f>IF('Filtered Data'!W250,"yes","no")</f>
        <v>no</v>
      </c>
      <c r="W251" t="s">
        <v>15</v>
      </c>
      <c r="X251">
        <f>'Filtered Data'!X250</f>
        <v>0</v>
      </c>
    </row>
    <row r="252" spans="1:24" x14ac:dyDescent="0.35">
      <c r="A252">
        <f>'Filtered Data'!A251</f>
        <v>0</v>
      </c>
      <c r="B252">
        <f>'Filtered Data'!B251</f>
        <v>0</v>
      </c>
      <c r="C252" t="s">
        <v>2</v>
      </c>
      <c r="D252" t="e">
        <f>VLOOKUP('Filtered Data'!Z251,'Data Mapping'!$A$4:$B$7,2,0)</f>
        <v>#N/A</v>
      </c>
      <c r="E252" t="e">
        <f>VLOOKUP('Filtered Data'!C251,'Data Mapping'!$E$3:$F$97,2,0)</f>
        <v>#N/A</v>
      </c>
      <c r="F252">
        <f>'Filtered Data'!D251</f>
        <v>0</v>
      </c>
      <c r="G252" t="e">
        <f>VLOOKUP('Filtered Data'!E251,'Data Mapping'!$J$3:$K$11,2,0)</f>
        <v>#N/A</v>
      </c>
      <c r="H252">
        <f>'Filtered Data'!F251</f>
        <v>0</v>
      </c>
      <c r="I252" t="s">
        <v>5668</v>
      </c>
      <c r="J252" t="s">
        <v>1609</v>
      </c>
      <c r="K252" t="e">
        <f>VLOOKUP('Filtered Data'!A251,'Input 1 CMDB'!A:I,9,0)</f>
        <v>#N/A</v>
      </c>
      <c r="L252">
        <f>'Filtered Data'!K251</f>
        <v>0</v>
      </c>
      <c r="M252" t="e">
        <f t="shared" si="9"/>
        <v>#VALUE!</v>
      </c>
      <c r="N252">
        <f>'Filtered Data'!P251</f>
        <v>0</v>
      </c>
      <c r="O252">
        <f>'Filtered Data'!N251</f>
        <v>0</v>
      </c>
      <c r="P252" t="s">
        <v>5669</v>
      </c>
      <c r="Q252" t="str">
        <f>IF('Filtered Data'!W251,"ITHybridCloudEngineeringOperationsMgmt@Marathonpetroleum.com","mark.newman2@dxc.com")</f>
        <v>mark.newman2@dxc.com</v>
      </c>
      <c r="R252">
        <f t="shared" si="10"/>
        <v>0</v>
      </c>
      <c r="S252" s="31" t="s">
        <v>5738</v>
      </c>
      <c r="T252" t="s">
        <v>1381</v>
      </c>
      <c r="U252">
        <f>'Filtered Data'!V251</f>
        <v>0</v>
      </c>
      <c r="V252" t="str">
        <f>IF('Filtered Data'!W251,"yes","no")</f>
        <v>no</v>
      </c>
      <c r="W252" t="s">
        <v>15</v>
      </c>
      <c r="X252">
        <f>'Filtered Data'!X251</f>
        <v>0</v>
      </c>
    </row>
    <row r="253" spans="1:24" x14ac:dyDescent="0.35">
      <c r="A253">
        <f>'Filtered Data'!A252</f>
        <v>0</v>
      </c>
      <c r="B253">
        <f>'Filtered Data'!B252</f>
        <v>0</v>
      </c>
      <c r="C253" t="s">
        <v>2</v>
      </c>
      <c r="D253" t="e">
        <f>VLOOKUP('Filtered Data'!Z252,'Data Mapping'!$A$4:$B$7,2,0)</f>
        <v>#N/A</v>
      </c>
      <c r="E253" t="e">
        <f>VLOOKUP('Filtered Data'!C252,'Data Mapping'!$E$3:$F$97,2,0)</f>
        <v>#N/A</v>
      </c>
      <c r="F253">
        <f>'Filtered Data'!D252</f>
        <v>0</v>
      </c>
      <c r="G253" t="e">
        <f>VLOOKUP('Filtered Data'!E252,'Data Mapping'!$J$3:$K$11,2,0)</f>
        <v>#N/A</v>
      </c>
      <c r="H253">
        <f>'Filtered Data'!F252</f>
        <v>0</v>
      </c>
      <c r="I253" t="s">
        <v>5668</v>
      </c>
      <c r="J253" t="s">
        <v>1609</v>
      </c>
      <c r="K253" t="e">
        <f>VLOOKUP('Filtered Data'!A252,'Input 1 CMDB'!A:I,9,0)</f>
        <v>#N/A</v>
      </c>
      <c r="L253">
        <f>'Filtered Data'!K252</f>
        <v>0</v>
      </c>
      <c r="M253" t="e">
        <f t="shared" si="9"/>
        <v>#VALUE!</v>
      </c>
      <c r="N253">
        <f>'Filtered Data'!P252</f>
        <v>0</v>
      </c>
      <c r="O253">
        <f>'Filtered Data'!N252</f>
        <v>0</v>
      </c>
      <c r="P253" t="s">
        <v>5669</v>
      </c>
      <c r="Q253" t="str">
        <f>IF('Filtered Data'!W252,"ITHybridCloudEngineeringOperationsMgmt@Marathonpetroleum.com","mark.newman2@dxc.com")</f>
        <v>mark.newman2@dxc.com</v>
      </c>
      <c r="R253">
        <f t="shared" si="10"/>
        <v>0</v>
      </c>
      <c r="S253" s="31" t="s">
        <v>5738</v>
      </c>
      <c r="T253" t="s">
        <v>1381</v>
      </c>
      <c r="U253">
        <f>'Filtered Data'!V252</f>
        <v>0</v>
      </c>
      <c r="V253" t="str">
        <f>IF('Filtered Data'!W252,"yes","no")</f>
        <v>no</v>
      </c>
      <c r="W253" t="s">
        <v>15</v>
      </c>
      <c r="X253">
        <f>'Filtered Data'!X252</f>
        <v>0</v>
      </c>
    </row>
    <row r="254" spans="1:24" x14ac:dyDescent="0.35">
      <c r="A254">
        <f>'Filtered Data'!A253</f>
        <v>0</v>
      </c>
      <c r="B254">
        <f>'Filtered Data'!B253</f>
        <v>0</v>
      </c>
      <c r="C254" t="s">
        <v>2</v>
      </c>
      <c r="D254" t="e">
        <f>VLOOKUP('Filtered Data'!Z253,'Data Mapping'!$A$4:$B$7,2,0)</f>
        <v>#N/A</v>
      </c>
      <c r="E254" t="e">
        <f>VLOOKUP('Filtered Data'!C253,'Data Mapping'!$E$3:$F$97,2,0)</f>
        <v>#N/A</v>
      </c>
      <c r="F254">
        <f>'Filtered Data'!D253</f>
        <v>0</v>
      </c>
      <c r="G254" t="e">
        <f>VLOOKUP('Filtered Data'!E253,'Data Mapping'!$J$3:$K$11,2,0)</f>
        <v>#N/A</v>
      </c>
      <c r="H254">
        <f>'Filtered Data'!F253</f>
        <v>0</v>
      </c>
      <c r="I254" t="s">
        <v>5668</v>
      </c>
      <c r="J254" t="s">
        <v>1609</v>
      </c>
      <c r="K254" t="e">
        <f>VLOOKUP('Filtered Data'!A253,'Input 1 CMDB'!A:I,9,0)</f>
        <v>#N/A</v>
      </c>
      <c r="L254">
        <f>'Filtered Data'!K253</f>
        <v>0</v>
      </c>
      <c r="M254" t="e">
        <f t="shared" si="9"/>
        <v>#VALUE!</v>
      </c>
      <c r="N254">
        <f>'Filtered Data'!P253</f>
        <v>0</v>
      </c>
      <c r="O254">
        <f>'Filtered Data'!N253</f>
        <v>0</v>
      </c>
      <c r="P254" t="s">
        <v>5669</v>
      </c>
      <c r="Q254" t="str">
        <f>IF('Filtered Data'!W253,"ITHybridCloudEngineeringOperationsMgmt@Marathonpetroleum.com","mark.newman2@dxc.com")</f>
        <v>mark.newman2@dxc.com</v>
      </c>
      <c r="R254">
        <f t="shared" si="10"/>
        <v>0</v>
      </c>
      <c r="S254" s="31" t="s">
        <v>5738</v>
      </c>
      <c r="T254" t="s">
        <v>1381</v>
      </c>
      <c r="U254">
        <f>'Filtered Data'!V253</f>
        <v>0</v>
      </c>
      <c r="V254" t="str">
        <f>IF('Filtered Data'!W253,"yes","no")</f>
        <v>no</v>
      </c>
      <c r="W254" t="s">
        <v>15</v>
      </c>
      <c r="X254">
        <f>'Filtered Data'!X253</f>
        <v>0</v>
      </c>
    </row>
    <row r="255" spans="1:24" x14ac:dyDescent="0.35">
      <c r="A255">
        <f>'Filtered Data'!A254</f>
        <v>0</v>
      </c>
      <c r="B255">
        <f>'Filtered Data'!B254</f>
        <v>0</v>
      </c>
      <c r="C255" t="s">
        <v>2</v>
      </c>
      <c r="D255" t="e">
        <f>VLOOKUP('Filtered Data'!Z254,'Data Mapping'!$A$4:$B$7,2,0)</f>
        <v>#N/A</v>
      </c>
      <c r="E255" t="e">
        <f>VLOOKUP('Filtered Data'!C254,'Data Mapping'!$E$3:$F$97,2,0)</f>
        <v>#N/A</v>
      </c>
      <c r="F255">
        <f>'Filtered Data'!D254</f>
        <v>0</v>
      </c>
      <c r="G255" t="e">
        <f>VLOOKUP('Filtered Data'!E254,'Data Mapping'!$J$3:$K$11,2,0)</f>
        <v>#N/A</v>
      </c>
      <c r="H255">
        <f>'Filtered Data'!F254</f>
        <v>0</v>
      </c>
      <c r="I255" t="s">
        <v>5668</v>
      </c>
      <c r="J255" t="s">
        <v>1609</v>
      </c>
      <c r="K255" t="e">
        <f>VLOOKUP('Filtered Data'!A254,'Input 1 CMDB'!A:I,9,0)</f>
        <v>#N/A</v>
      </c>
      <c r="L255">
        <f>'Filtered Data'!K254</f>
        <v>0</v>
      </c>
      <c r="M255" t="e">
        <f t="shared" si="9"/>
        <v>#VALUE!</v>
      </c>
      <c r="N255">
        <f>'Filtered Data'!P254</f>
        <v>0</v>
      </c>
      <c r="O255">
        <f>'Filtered Data'!N254</f>
        <v>0</v>
      </c>
      <c r="P255" t="s">
        <v>5669</v>
      </c>
      <c r="Q255" t="str">
        <f>IF('Filtered Data'!W254,"ITHybridCloudEngineeringOperationsMgmt@Marathonpetroleum.com","mark.newman2@dxc.com")</f>
        <v>mark.newman2@dxc.com</v>
      </c>
      <c r="R255">
        <f t="shared" si="10"/>
        <v>0</v>
      </c>
      <c r="S255" s="31" t="s">
        <v>5738</v>
      </c>
      <c r="T255" t="s">
        <v>1381</v>
      </c>
      <c r="U255">
        <f>'Filtered Data'!V254</f>
        <v>0</v>
      </c>
      <c r="V255" t="str">
        <f>IF('Filtered Data'!W254,"yes","no")</f>
        <v>no</v>
      </c>
      <c r="W255" t="s">
        <v>15</v>
      </c>
      <c r="X255">
        <f>'Filtered Data'!X254</f>
        <v>0</v>
      </c>
    </row>
    <row r="256" spans="1:24" x14ac:dyDescent="0.35">
      <c r="A256">
        <f>'Filtered Data'!A255</f>
        <v>0</v>
      </c>
      <c r="B256">
        <f>'Filtered Data'!B255</f>
        <v>0</v>
      </c>
      <c r="C256" t="s">
        <v>2</v>
      </c>
      <c r="D256" t="e">
        <f>VLOOKUP('Filtered Data'!Z255,'Data Mapping'!$A$4:$B$7,2,0)</f>
        <v>#N/A</v>
      </c>
      <c r="E256" t="e">
        <f>VLOOKUP('Filtered Data'!C255,'Data Mapping'!$E$3:$F$97,2,0)</f>
        <v>#N/A</v>
      </c>
      <c r="F256">
        <f>'Filtered Data'!D255</f>
        <v>0</v>
      </c>
      <c r="G256" t="e">
        <f>VLOOKUP('Filtered Data'!E255,'Data Mapping'!$J$3:$K$11,2,0)</f>
        <v>#N/A</v>
      </c>
      <c r="H256">
        <f>'Filtered Data'!F255</f>
        <v>0</v>
      </c>
      <c r="I256" t="s">
        <v>5668</v>
      </c>
      <c r="J256" t="s">
        <v>1609</v>
      </c>
      <c r="K256" t="e">
        <f>VLOOKUP('Filtered Data'!A255,'Input 1 CMDB'!A:I,9,0)</f>
        <v>#N/A</v>
      </c>
      <c r="L256">
        <f>'Filtered Data'!K255</f>
        <v>0</v>
      </c>
      <c r="M256" t="e">
        <f t="shared" si="9"/>
        <v>#VALUE!</v>
      </c>
      <c r="N256">
        <f>'Filtered Data'!P255</f>
        <v>0</v>
      </c>
      <c r="O256">
        <f>'Filtered Data'!N255</f>
        <v>0</v>
      </c>
      <c r="P256" t="s">
        <v>5669</v>
      </c>
      <c r="Q256" t="str">
        <f>IF('Filtered Data'!W255,"ITHybridCloudEngineeringOperationsMgmt@Marathonpetroleum.com","mark.newman2@dxc.com")</f>
        <v>mark.newman2@dxc.com</v>
      </c>
      <c r="R256">
        <f t="shared" si="10"/>
        <v>0</v>
      </c>
      <c r="S256" s="31" t="s">
        <v>5738</v>
      </c>
      <c r="T256" t="s">
        <v>1381</v>
      </c>
      <c r="U256">
        <f>'Filtered Data'!V255</f>
        <v>0</v>
      </c>
      <c r="V256" t="str">
        <f>IF('Filtered Data'!W255,"yes","no")</f>
        <v>no</v>
      </c>
      <c r="W256" t="s">
        <v>15</v>
      </c>
      <c r="X256">
        <f>'Filtered Data'!X255</f>
        <v>0</v>
      </c>
    </row>
    <row r="257" spans="1:24" x14ac:dyDescent="0.35">
      <c r="A257">
        <f>'Filtered Data'!A256</f>
        <v>0</v>
      </c>
      <c r="B257">
        <f>'Filtered Data'!B256</f>
        <v>0</v>
      </c>
      <c r="C257" t="s">
        <v>2</v>
      </c>
      <c r="D257" t="e">
        <f>VLOOKUP('Filtered Data'!Z256,'Data Mapping'!$A$4:$B$7,2,0)</f>
        <v>#N/A</v>
      </c>
      <c r="E257" t="e">
        <f>VLOOKUP('Filtered Data'!C256,'Data Mapping'!$E$3:$F$97,2,0)</f>
        <v>#N/A</v>
      </c>
      <c r="F257">
        <f>'Filtered Data'!D256</f>
        <v>0</v>
      </c>
      <c r="G257" t="e">
        <f>VLOOKUP('Filtered Data'!E256,'Data Mapping'!$J$3:$K$11,2,0)</f>
        <v>#N/A</v>
      </c>
      <c r="H257">
        <f>'Filtered Data'!F256</f>
        <v>0</v>
      </c>
      <c r="I257" t="s">
        <v>5668</v>
      </c>
      <c r="J257" t="s">
        <v>1609</v>
      </c>
      <c r="K257" t="e">
        <f>VLOOKUP('Filtered Data'!A256,'Input 1 CMDB'!A:I,9,0)</f>
        <v>#N/A</v>
      </c>
      <c r="L257">
        <f>'Filtered Data'!K256</f>
        <v>0</v>
      </c>
      <c r="M257" t="e">
        <f t="shared" si="9"/>
        <v>#VALUE!</v>
      </c>
      <c r="N257">
        <f>'Filtered Data'!P256</f>
        <v>0</v>
      </c>
      <c r="O257">
        <f>'Filtered Data'!N256</f>
        <v>0</v>
      </c>
      <c r="P257" t="s">
        <v>5669</v>
      </c>
      <c r="Q257" t="str">
        <f>IF('Filtered Data'!W256,"ITHybridCloudEngineeringOperationsMgmt@Marathonpetroleum.com","mark.newman2@dxc.com")</f>
        <v>mark.newman2@dxc.com</v>
      </c>
      <c r="R257">
        <f t="shared" si="10"/>
        <v>0</v>
      </c>
      <c r="S257" s="31" t="s">
        <v>5738</v>
      </c>
      <c r="T257" t="s">
        <v>1381</v>
      </c>
      <c r="U257">
        <f>'Filtered Data'!V256</f>
        <v>0</v>
      </c>
      <c r="V257" t="str">
        <f>IF('Filtered Data'!W256,"yes","no")</f>
        <v>no</v>
      </c>
      <c r="W257" t="s">
        <v>15</v>
      </c>
      <c r="X257">
        <f>'Filtered Data'!X256</f>
        <v>0</v>
      </c>
    </row>
    <row r="258" spans="1:24" x14ac:dyDescent="0.35">
      <c r="A258">
        <f>'Filtered Data'!A257</f>
        <v>0</v>
      </c>
      <c r="B258">
        <f>'Filtered Data'!B257</f>
        <v>0</v>
      </c>
      <c r="C258" t="s">
        <v>2</v>
      </c>
      <c r="D258" t="e">
        <f>VLOOKUP('Filtered Data'!Z257,'Data Mapping'!$A$4:$B$7,2,0)</f>
        <v>#N/A</v>
      </c>
      <c r="E258" t="e">
        <f>VLOOKUP('Filtered Data'!C257,'Data Mapping'!$E$3:$F$97,2,0)</f>
        <v>#N/A</v>
      </c>
      <c r="F258">
        <f>'Filtered Data'!D257</f>
        <v>0</v>
      </c>
      <c r="G258" t="e">
        <f>VLOOKUP('Filtered Data'!E257,'Data Mapping'!$J$3:$K$11,2,0)</f>
        <v>#N/A</v>
      </c>
      <c r="H258">
        <f>'Filtered Data'!F257</f>
        <v>0</v>
      </c>
      <c r="I258" t="s">
        <v>5668</v>
      </c>
      <c r="J258" t="s">
        <v>1609</v>
      </c>
      <c r="K258" t="e">
        <f>VLOOKUP('Filtered Data'!A257,'Input 1 CMDB'!A:I,9,0)</f>
        <v>#N/A</v>
      </c>
      <c r="L258">
        <f>'Filtered Data'!K257</f>
        <v>0</v>
      </c>
      <c r="M258" t="e">
        <f t="shared" si="9"/>
        <v>#VALUE!</v>
      </c>
      <c r="N258">
        <f>'Filtered Data'!P257</f>
        <v>0</v>
      </c>
      <c r="O258">
        <f>'Filtered Data'!N257</f>
        <v>0</v>
      </c>
      <c r="P258" t="s">
        <v>5669</v>
      </c>
      <c r="Q258" t="str">
        <f>IF('Filtered Data'!W257,"ITHybridCloudEngineeringOperationsMgmt@Marathonpetroleum.com","mark.newman2@dxc.com")</f>
        <v>mark.newman2@dxc.com</v>
      </c>
      <c r="R258">
        <f t="shared" si="10"/>
        <v>0</v>
      </c>
      <c r="S258" s="31" t="s">
        <v>5738</v>
      </c>
      <c r="T258" t="s">
        <v>1381</v>
      </c>
      <c r="U258">
        <f>'Filtered Data'!V257</f>
        <v>0</v>
      </c>
      <c r="V258" t="str">
        <f>IF('Filtered Data'!W257,"yes","no")</f>
        <v>no</v>
      </c>
      <c r="W258" t="s">
        <v>15</v>
      </c>
      <c r="X258">
        <f>'Filtered Data'!X257</f>
        <v>0</v>
      </c>
    </row>
    <row r="259" spans="1:24" x14ac:dyDescent="0.35">
      <c r="A259">
        <f>'Filtered Data'!A258</f>
        <v>0</v>
      </c>
      <c r="B259">
        <f>'Filtered Data'!B258</f>
        <v>0</v>
      </c>
      <c r="C259" t="s">
        <v>2</v>
      </c>
      <c r="D259" t="e">
        <f>VLOOKUP('Filtered Data'!Z258,'Data Mapping'!$A$4:$B$7,2,0)</f>
        <v>#N/A</v>
      </c>
      <c r="E259" t="e">
        <f>VLOOKUP('Filtered Data'!C258,'Data Mapping'!$E$3:$F$97,2,0)</f>
        <v>#N/A</v>
      </c>
      <c r="F259">
        <f>'Filtered Data'!D258</f>
        <v>0</v>
      </c>
      <c r="G259" t="e">
        <f>VLOOKUP('Filtered Data'!E258,'Data Mapping'!$J$3:$K$11,2,0)</f>
        <v>#N/A</v>
      </c>
      <c r="H259">
        <f>'Filtered Data'!F258</f>
        <v>0</v>
      </c>
      <c r="I259" t="s">
        <v>5668</v>
      </c>
      <c r="J259" t="s">
        <v>1609</v>
      </c>
      <c r="K259" t="e">
        <f>VLOOKUP('Filtered Data'!A258,'Input 1 CMDB'!A:I,9,0)</f>
        <v>#N/A</v>
      </c>
      <c r="L259">
        <f>'Filtered Data'!K258</f>
        <v>0</v>
      </c>
      <c r="M259" t="e">
        <f t="shared" si="9"/>
        <v>#VALUE!</v>
      </c>
      <c r="N259">
        <f>'Filtered Data'!P258</f>
        <v>0</v>
      </c>
      <c r="O259">
        <f>'Filtered Data'!N258</f>
        <v>0</v>
      </c>
      <c r="P259" t="s">
        <v>5669</v>
      </c>
      <c r="Q259" t="str">
        <f>IF('Filtered Data'!W258,"ITHybridCloudEngineeringOperationsMgmt@Marathonpetroleum.com","mark.newman2@dxc.com")</f>
        <v>mark.newman2@dxc.com</v>
      </c>
      <c r="R259">
        <f t="shared" si="10"/>
        <v>0</v>
      </c>
      <c r="S259" s="31" t="s">
        <v>5738</v>
      </c>
      <c r="T259" t="s">
        <v>1381</v>
      </c>
      <c r="U259">
        <f>'Filtered Data'!V258</f>
        <v>0</v>
      </c>
      <c r="V259" t="str">
        <f>IF('Filtered Data'!W258,"yes","no")</f>
        <v>no</v>
      </c>
      <c r="W259" t="s">
        <v>15</v>
      </c>
      <c r="X259">
        <f>'Filtered Data'!X258</f>
        <v>0</v>
      </c>
    </row>
    <row r="260" spans="1:24" x14ac:dyDescent="0.35">
      <c r="A260">
        <f>'Filtered Data'!A259</f>
        <v>0</v>
      </c>
      <c r="B260">
        <f>'Filtered Data'!B259</f>
        <v>0</v>
      </c>
      <c r="C260" t="s">
        <v>2</v>
      </c>
      <c r="D260" t="e">
        <f>VLOOKUP('Filtered Data'!Z259,'Data Mapping'!$A$4:$B$7,2,0)</f>
        <v>#N/A</v>
      </c>
      <c r="E260" t="e">
        <f>VLOOKUP('Filtered Data'!C259,'Data Mapping'!$E$3:$F$97,2,0)</f>
        <v>#N/A</v>
      </c>
      <c r="F260">
        <f>'Filtered Data'!D259</f>
        <v>0</v>
      </c>
      <c r="G260" t="e">
        <f>VLOOKUP('Filtered Data'!E259,'Data Mapping'!$J$3:$K$11,2,0)</f>
        <v>#N/A</v>
      </c>
      <c r="H260">
        <f>'Filtered Data'!F259</f>
        <v>0</v>
      </c>
      <c r="I260" t="s">
        <v>5668</v>
      </c>
      <c r="J260" t="s">
        <v>1609</v>
      </c>
      <c r="K260" t="e">
        <f>VLOOKUP('Filtered Data'!A259,'Input 1 CMDB'!A:I,9,0)</f>
        <v>#N/A</v>
      </c>
      <c r="L260">
        <f>'Filtered Data'!K259</f>
        <v>0</v>
      </c>
      <c r="M260" t="e">
        <f t="shared" si="9"/>
        <v>#VALUE!</v>
      </c>
      <c r="N260">
        <f>'Filtered Data'!P259</f>
        <v>0</v>
      </c>
      <c r="O260">
        <f>'Filtered Data'!N259</f>
        <v>0</v>
      </c>
      <c r="P260" t="s">
        <v>5669</v>
      </c>
      <c r="Q260" t="str">
        <f>IF('Filtered Data'!W259,"ITHybridCloudEngineeringOperationsMgmt@Marathonpetroleum.com","mark.newman2@dxc.com")</f>
        <v>mark.newman2@dxc.com</v>
      </c>
      <c r="R260">
        <f t="shared" si="10"/>
        <v>0</v>
      </c>
      <c r="S260" s="31" t="s">
        <v>5738</v>
      </c>
      <c r="T260" t="s">
        <v>1381</v>
      </c>
      <c r="U260">
        <f>'Filtered Data'!V259</f>
        <v>0</v>
      </c>
      <c r="V260" t="str">
        <f>IF('Filtered Data'!W259,"yes","no")</f>
        <v>no</v>
      </c>
      <c r="W260" t="s">
        <v>15</v>
      </c>
      <c r="X260">
        <f>'Filtered Data'!X259</f>
        <v>0</v>
      </c>
    </row>
    <row r="261" spans="1:24" x14ac:dyDescent="0.35">
      <c r="A261">
        <f>'Filtered Data'!A260</f>
        <v>0</v>
      </c>
      <c r="B261">
        <f>'Filtered Data'!B260</f>
        <v>0</v>
      </c>
      <c r="C261" t="s">
        <v>2</v>
      </c>
      <c r="D261" t="e">
        <f>VLOOKUP('Filtered Data'!Z260,'Data Mapping'!$A$4:$B$7,2,0)</f>
        <v>#N/A</v>
      </c>
      <c r="E261" t="e">
        <f>VLOOKUP('Filtered Data'!C260,'Data Mapping'!$E$3:$F$97,2,0)</f>
        <v>#N/A</v>
      </c>
      <c r="F261">
        <f>'Filtered Data'!D260</f>
        <v>0</v>
      </c>
      <c r="G261" t="e">
        <f>VLOOKUP('Filtered Data'!E260,'Data Mapping'!$J$3:$K$11,2,0)</f>
        <v>#N/A</v>
      </c>
      <c r="H261">
        <f>'Filtered Data'!F260</f>
        <v>0</v>
      </c>
      <c r="I261" t="s">
        <v>5668</v>
      </c>
      <c r="J261" t="s">
        <v>1609</v>
      </c>
      <c r="K261" t="e">
        <f>VLOOKUP('Filtered Data'!A260,'Input 1 CMDB'!A:I,9,0)</f>
        <v>#N/A</v>
      </c>
      <c r="L261">
        <f>'Filtered Data'!K260</f>
        <v>0</v>
      </c>
      <c r="M261" t="e">
        <f t="shared" si="9"/>
        <v>#VALUE!</v>
      </c>
      <c r="N261">
        <f>'Filtered Data'!P260</f>
        <v>0</v>
      </c>
      <c r="O261">
        <f>'Filtered Data'!N260</f>
        <v>0</v>
      </c>
      <c r="P261" t="s">
        <v>5669</v>
      </c>
      <c r="Q261" t="str">
        <f>IF('Filtered Data'!W260,"ITHybridCloudEngineeringOperationsMgmt@Marathonpetroleum.com","mark.newman2@dxc.com")</f>
        <v>mark.newman2@dxc.com</v>
      </c>
      <c r="R261">
        <f t="shared" si="10"/>
        <v>0</v>
      </c>
      <c r="S261" s="31" t="s">
        <v>5738</v>
      </c>
      <c r="T261" t="s">
        <v>1381</v>
      </c>
      <c r="U261">
        <f>'Filtered Data'!V260</f>
        <v>0</v>
      </c>
      <c r="V261" t="str">
        <f>IF('Filtered Data'!W260,"yes","no")</f>
        <v>no</v>
      </c>
      <c r="W261" t="s">
        <v>15</v>
      </c>
      <c r="X261">
        <f>'Filtered Data'!X260</f>
        <v>0</v>
      </c>
    </row>
    <row r="262" spans="1:24" x14ac:dyDescent="0.35">
      <c r="A262">
        <f>'Filtered Data'!A261</f>
        <v>0</v>
      </c>
      <c r="B262">
        <f>'Filtered Data'!B261</f>
        <v>0</v>
      </c>
      <c r="C262" t="s">
        <v>2</v>
      </c>
      <c r="D262" t="e">
        <f>VLOOKUP('Filtered Data'!Z261,'Data Mapping'!$A$4:$B$7,2,0)</f>
        <v>#N/A</v>
      </c>
      <c r="E262" t="e">
        <f>VLOOKUP('Filtered Data'!C261,'Data Mapping'!$E$3:$F$97,2,0)</f>
        <v>#N/A</v>
      </c>
      <c r="F262">
        <f>'Filtered Data'!D261</f>
        <v>0</v>
      </c>
      <c r="G262" t="e">
        <f>VLOOKUP('Filtered Data'!E261,'Data Mapping'!$J$3:$K$11,2,0)</f>
        <v>#N/A</v>
      </c>
      <c r="H262">
        <f>'Filtered Data'!F261</f>
        <v>0</v>
      </c>
      <c r="I262" t="s">
        <v>5668</v>
      </c>
      <c r="J262" t="s">
        <v>1609</v>
      </c>
      <c r="K262" t="e">
        <f>VLOOKUP('Filtered Data'!A261,'Input 1 CMDB'!A:I,9,0)</f>
        <v>#N/A</v>
      </c>
      <c r="L262">
        <f>'Filtered Data'!K261</f>
        <v>0</v>
      </c>
      <c r="M262" t="e">
        <f t="shared" si="9"/>
        <v>#VALUE!</v>
      </c>
      <c r="N262">
        <f>'Filtered Data'!P261</f>
        <v>0</v>
      </c>
      <c r="O262">
        <f>'Filtered Data'!N261</f>
        <v>0</v>
      </c>
      <c r="P262" t="s">
        <v>5669</v>
      </c>
      <c r="Q262" t="str">
        <f>IF('Filtered Data'!W261,"ITHybridCloudEngineeringOperationsMgmt@Marathonpetroleum.com","mark.newman2@dxc.com")</f>
        <v>mark.newman2@dxc.com</v>
      </c>
      <c r="R262">
        <f t="shared" si="10"/>
        <v>0</v>
      </c>
      <c r="S262" s="31" t="s">
        <v>5738</v>
      </c>
      <c r="T262" t="s">
        <v>1381</v>
      </c>
      <c r="U262">
        <f>'Filtered Data'!V261</f>
        <v>0</v>
      </c>
      <c r="V262" t="str">
        <f>IF('Filtered Data'!W261,"yes","no")</f>
        <v>no</v>
      </c>
      <c r="W262" t="s">
        <v>15</v>
      </c>
      <c r="X262">
        <f>'Filtered Data'!X261</f>
        <v>0</v>
      </c>
    </row>
    <row r="263" spans="1:24" x14ac:dyDescent="0.35">
      <c r="A263">
        <f>'Filtered Data'!A262</f>
        <v>0</v>
      </c>
      <c r="B263">
        <f>'Filtered Data'!B262</f>
        <v>0</v>
      </c>
      <c r="C263" t="s">
        <v>2</v>
      </c>
      <c r="D263" t="e">
        <f>VLOOKUP('Filtered Data'!Z262,'Data Mapping'!$A$4:$B$7,2,0)</f>
        <v>#N/A</v>
      </c>
      <c r="E263" t="e">
        <f>VLOOKUP('Filtered Data'!C262,'Data Mapping'!$E$3:$F$97,2,0)</f>
        <v>#N/A</v>
      </c>
      <c r="F263">
        <f>'Filtered Data'!D262</f>
        <v>0</v>
      </c>
      <c r="G263" t="e">
        <f>VLOOKUP('Filtered Data'!E262,'Data Mapping'!$J$3:$K$11,2,0)</f>
        <v>#N/A</v>
      </c>
      <c r="H263">
        <f>'Filtered Data'!F262</f>
        <v>0</v>
      </c>
      <c r="I263" t="s">
        <v>5668</v>
      </c>
      <c r="J263" t="s">
        <v>1609</v>
      </c>
      <c r="K263" t="e">
        <f>VLOOKUP('Filtered Data'!A262,'Input 1 CMDB'!A:I,9,0)</f>
        <v>#N/A</v>
      </c>
      <c r="L263">
        <f>'Filtered Data'!K262</f>
        <v>0</v>
      </c>
      <c r="M263" t="e">
        <f t="shared" si="9"/>
        <v>#VALUE!</v>
      </c>
      <c r="N263">
        <f>'Filtered Data'!P262</f>
        <v>0</v>
      </c>
      <c r="O263">
        <f>'Filtered Data'!N262</f>
        <v>0</v>
      </c>
      <c r="P263" t="s">
        <v>5669</v>
      </c>
      <c r="Q263" t="str">
        <f>IF('Filtered Data'!W262,"ITHybridCloudEngineeringOperationsMgmt@Marathonpetroleum.com","mark.newman2@dxc.com")</f>
        <v>mark.newman2@dxc.com</v>
      </c>
      <c r="R263">
        <f t="shared" si="10"/>
        <v>0</v>
      </c>
      <c r="S263" s="31" t="s">
        <v>5738</v>
      </c>
      <c r="T263" t="s">
        <v>1381</v>
      </c>
      <c r="U263">
        <f>'Filtered Data'!V262</f>
        <v>0</v>
      </c>
      <c r="V263" t="str">
        <f>IF('Filtered Data'!W262,"yes","no")</f>
        <v>no</v>
      </c>
      <c r="W263" t="s">
        <v>15</v>
      </c>
      <c r="X263">
        <f>'Filtered Data'!X262</f>
        <v>0</v>
      </c>
    </row>
    <row r="264" spans="1:24" x14ac:dyDescent="0.35">
      <c r="A264">
        <f>'Filtered Data'!A263</f>
        <v>0</v>
      </c>
      <c r="B264">
        <f>'Filtered Data'!B263</f>
        <v>0</v>
      </c>
      <c r="C264" t="s">
        <v>2</v>
      </c>
      <c r="D264" t="e">
        <f>VLOOKUP('Filtered Data'!Z263,'Data Mapping'!$A$4:$B$7,2,0)</f>
        <v>#N/A</v>
      </c>
      <c r="E264" t="e">
        <f>VLOOKUP('Filtered Data'!C263,'Data Mapping'!$E$3:$F$97,2,0)</f>
        <v>#N/A</v>
      </c>
      <c r="F264">
        <f>'Filtered Data'!D263</f>
        <v>0</v>
      </c>
      <c r="G264" t="e">
        <f>VLOOKUP('Filtered Data'!E263,'Data Mapping'!$J$3:$K$11,2,0)</f>
        <v>#N/A</v>
      </c>
      <c r="H264">
        <f>'Filtered Data'!F263</f>
        <v>0</v>
      </c>
      <c r="I264" t="s">
        <v>5668</v>
      </c>
      <c r="J264" t="s">
        <v>1609</v>
      </c>
      <c r="K264" t="e">
        <f>VLOOKUP('Filtered Data'!A263,'Input 1 CMDB'!A:I,9,0)</f>
        <v>#N/A</v>
      </c>
      <c r="L264">
        <f>'Filtered Data'!K263</f>
        <v>0</v>
      </c>
      <c r="M264" t="e">
        <f t="shared" si="9"/>
        <v>#VALUE!</v>
      </c>
      <c r="N264">
        <f>'Filtered Data'!P263</f>
        <v>0</v>
      </c>
      <c r="O264">
        <f>'Filtered Data'!N263</f>
        <v>0</v>
      </c>
      <c r="P264" t="s">
        <v>5669</v>
      </c>
      <c r="Q264" t="str">
        <f>IF('Filtered Data'!W263,"ITHybridCloudEngineeringOperationsMgmt@Marathonpetroleum.com","mark.newman2@dxc.com")</f>
        <v>mark.newman2@dxc.com</v>
      </c>
      <c r="R264">
        <f t="shared" si="10"/>
        <v>0</v>
      </c>
      <c r="S264" s="31" t="s">
        <v>5738</v>
      </c>
      <c r="T264" t="s">
        <v>1381</v>
      </c>
      <c r="U264">
        <f>'Filtered Data'!V263</f>
        <v>0</v>
      </c>
      <c r="V264" t="str">
        <f>IF('Filtered Data'!W263,"yes","no")</f>
        <v>no</v>
      </c>
      <c r="W264" t="s">
        <v>15</v>
      </c>
      <c r="X264">
        <f>'Filtered Data'!X263</f>
        <v>0</v>
      </c>
    </row>
    <row r="265" spans="1:24" x14ac:dyDescent="0.35">
      <c r="A265">
        <f>'Filtered Data'!A264</f>
        <v>0</v>
      </c>
      <c r="B265">
        <f>'Filtered Data'!B264</f>
        <v>0</v>
      </c>
      <c r="C265" t="s">
        <v>2</v>
      </c>
      <c r="D265" t="e">
        <f>VLOOKUP('Filtered Data'!Z264,'Data Mapping'!$A$4:$B$7,2,0)</f>
        <v>#N/A</v>
      </c>
      <c r="E265" t="e">
        <f>VLOOKUP('Filtered Data'!C264,'Data Mapping'!$E$3:$F$97,2,0)</f>
        <v>#N/A</v>
      </c>
      <c r="F265">
        <f>'Filtered Data'!D264</f>
        <v>0</v>
      </c>
      <c r="G265" t="e">
        <f>VLOOKUP('Filtered Data'!E264,'Data Mapping'!$J$3:$K$11,2,0)</f>
        <v>#N/A</v>
      </c>
      <c r="H265">
        <f>'Filtered Data'!F264</f>
        <v>0</v>
      </c>
      <c r="I265" t="s">
        <v>5668</v>
      </c>
      <c r="J265" t="s">
        <v>1609</v>
      </c>
      <c r="K265" t="e">
        <f>VLOOKUP('Filtered Data'!A264,'Input 1 CMDB'!A:I,9,0)</f>
        <v>#N/A</v>
      </c>
      <c r="L265">
        <f>'Filtered Data'!K264</f>
        <v>0</v>
      </c>
      <c r="M265" t="e">
        <f t="shared" si="9"/>
        <v>#VALUE!</v>
      </c>
      <c r="N265">
        <f>'Filtered Data'!P264</f>
        <v>0</v>
      </c>
      <c r="O265">
        <f>'Filtered Data'!N264</f>
        <v>0</v>
      </c>
      <c r="P265" t="s">
        <v>5669</v>
      </c>
      <c r="Q265" t="str">
        <f>IF('Filtered Data'!W264,"ITHybridCloudEngineeringOperationsMgmt@Marathonpetroleum.com","mark.newman2@dxc.com")</f>
        <v>mark.newman2@dxc.com</v>
      </c>
      <c r="R265">
        <f t="shared" si="10"/>
        <v>0</v>
      </c>
      <c r="S265" s="31" t="s">
        <v>5738</v>
      </c>
      <c r="T265" t="s">
        <v>1381</v>
      </c>
      <c r="U265">
        <f>'Filtered Data'!V264</f>
        <v>0</v>
      </c>
      <c r="V265" t="str">
        <f>IF('Filtered Data'!W264,"yes","no")</f>
        <v>no</v>
      </c>
      <c r="W265" t="s">
        <v>15</v>
      </c>
      <c r="X265">
        <f>'Filtered Data'!X264</f>
        <v>0</v>
      </c>
    </row>
    <row r="266" spans="1:24" x14ac:dyDescent="0.35">
      <c r="A266">
        <f>'Filtered Data'!A265</f>
        <v>0</v>
      </c>
      <c r="B266">
        <f>'Filtered Data'!B265</f>
        <v>0</v>
      </c>
      <c r="C266" t="s">
        <v>2</v>
      </c>
      <c r="D266" t="e">
        <f>VLOOKUP('Filtered Data'!Z265,'Data Mapping'!$A$4:$B$7,2,0)</f>
        <v>#N/A</v>
      </c>
      <c r="E266" t="e">
        <f>VLOOKUP('Filtered Data'!C265,'Data Mapping'!$E$3:$F$97,2,0)</f>
        <v>#N/A</v>
      </c>
      <c r="F266">
        <f>'Filtered Data'!D265</f>
        <v>0</v>
      </c>
      <c r="G266" t="e">
        <f>VLOOKUP('Filtered Data'!E265,'Data Mapping'!$J$3:$K$11,2,0)</f>
        <v>#N/A</v>
      </c>
      <c r="H266">
        <f>'Filtered Data'!F265</f>
        <v>0</v>
      </c>
      <c r="I266" t="s">
        <v>5668</v>
      </c>
      <c r="J266" t="s">
        <v>1609</v>
      </c>
      <c r="K266" t="e">
        <f>VLOOKUP('Filtered Data'!A265,'Input 1 CMDB'!A:I,9,0)</f>
        <v>#N/A</v>
      </c>
      <c r="L266">
        <f>'Filtered Data'!K265</f>
        <v>0</v>
      </c>
      <c r="M266" t="e">
        <f t="shared" si="9"/>
        <v>#VALUE!</v>
      </c>
      <c r="N266">
        <f>'Filtered Data'!P265</f>
        <v>0</v>
      </c>
      <c r="O266">
        <f>'Filtered Data'!N265</f>
        <v>0</v>
      </c>
      <c r="P266" t="s">
        <v>5669</v>
      </c>
      <c r="Q266" t="str">
        <f>IF('Filtered Data'!W265,"ITHybridCloudEngineeringOperationsMgmt@Marathonpetroleum.com","mark.newman2@dxc.com")</f>
        <v>mark.newman2@dxc.com</v>
      </c>
      <c r="R266">
        <f t="shared" si="10"/>
        <v>0</v>
      </c>
      <c r="S266" s="31" t="s">
        <v>5738</v>
      </c>
      <c r="T266" t="s">
        <v>1381</v>
      </c>
      <c r="U266">
        <f>'Filtered Data'!V265</f>
        <v>0</v>
      </c>
      <c r="V266" t="str">
        <f>IF('Filtered Data'!W265,"yes","no")</f>
        <v>no</v>
      </c>
      <c r="W266" t="s">
        <v>15</v>
      </c>
      <c r="X266">
        <f>'Filtered Data'!X265</f>
        <v>0</v>
      </c>
    </row>
    <row r="267" spans="1:24" x14ac:dyDescent="0.35">
      <c r="A267">
        <f>'Filtered Data'!A266</f>
        <v>0</v>
      </c>
      <c r="B267">
        <f>'Filtered Data'!B266</f>
        <v>0</v>
      </c>
      <c r="C267" t="s">
        <v>2</v>
      </c>
      <c r="D267" t="e">
        <f>VLOOKUP('Filtered Data'!Z266,'Data Mapping'!$A$4:$B$7,2,0)</f>
        <v>#N/A</v>
      </c>
      <c r="E267" t="e">
        <f>VLOOKUP('Filtered Data'!C266,'Data Mapping'!$E$3:$F$97,2,0)</f>
        <v>#N/A</v>
      </c>
      <c r="F267">
        <f>'Filtered Data'!D266</f>
        <v>0</v>
      </c>
      <c r="G267" t="e">
        <f>VLOOKUP('Filtered Data'!E266,'Data Mapping'!$J$3:$K$11,2,0)</f>
        <v>#N/A</v>
      </c>
      <c r="H267">
        <f>'Filtered Data'!F266</f>
        <v>0</v>
      </c>
      <c r="I267" t="s">
        <v>5668</v>
      </c>
      <c r="J267" t="s">
        <v>1609</v>
      </c>
      <c r="K267" t="e">
        <f>VLOOKUP('Filtered Data'!A266,'Input 1 CMDB'!A:I,9,0)</f>
        <v>#N/A</v>
      </c>
      <c r="L267">
        <f>'Filtered Data'!K266</f>
        <v>0</v>
      </c>
      <c r="M267" t="e">
        <f t="shared" si="9"/>
        <v>#VALUE!</v>
      </c>
      <c r="N267">
        <f>'Filtered Data'!P266</f>
        <v>0</v>
      </c>
      <c r="O267">
        <f>'Filtered Data'!N266</f>
        <v>0</v>
      </c>
      <c r="P267" t="s">
        <v>5669</v>
      </c>
      <c r="Q267" t="str">
        <f>IF('Filtered Data'!W266,"ITHybridCloudEngineeringOperationsMgmt@Marathonpetroleum.com","mark.newman2@dxc.com")</f>
        <v>mark.newman2@dxc.com</v>
      </c>
      <c r="R267">
        <f t="shared" si="10"/>
        <v>0</v>
      </c>
      <c r="S267" s="31" t="s">
        <v>5738</v>
      </c>
      <c r="T267" t="s">
        <v>1381</v>
      </c>
      <c r="U267">
        <f>'Filtered Data'!V266</f>
        <v>0</v>
      </c>
      <c r="V267" t="str">
        <f>IF('Filtered Data'!W266,"yes","no")</f>
        <v>no</v>
      </c>
      <c r="W267" t="s">
        <v>15</v>
      </c>
      <c r="X267">
        <f>'Filtered Data'!X266</f>
        <v>0</v>
      </c>
    </row>
    <row r="268" spans="1:24" x14ac:dyDescent="0.35">
      <c r="A268">
        <f>'Filtered Data'!A267</f>
        <v>0</v>
      </c>
      <c r="B268">
        <f>'Filtered Data'!B267</f>
        <v>0</v>
      </c>
      <c r="C268" t="s">
        <v>2</v>
      </c>
      <c r="D268" t="e">
        <f>VLOOKUP('Filtered Data'!Z267,'Data Mapping'!$A$4:$B$7,2,0)</f>
        <v>#N/A</v>
      </c>
      <c r="E268" t="e">
        <f>VLOOKUP('Filtered Data'!C267,'Data Mapping'!$E$3:$F$97,2,0)</f>
        <v>#N/A</v>
      </c>
      <c r="F268">
        <f>'Filtered Data'!D267</f>
        <v>0</v>
      </c>
      <c r="G268" t="e">
        <f>VLOOKUP('Filtered Data'!E267,'Data Mapping'!$J$3:$K$11,2,0)</f>
        <v>#N/A</v>
      </c>
      <c r="H268">
        <f>'Filtered Data'!F267</f>
        <v>0</v>
      </c>
      <c r="I268" t="s">
        <v>5668</v>
      </c>
      <c r="J268" t="s">
        <v>1609</v>
      </c>
      <c r="K268" t="e">
        <f>VLOOKUP('Filtered Data'!A267,'Input 1 CMDB'!A:I,9,0)</f>
        <v>#N/A</v>
      </c>
      <c r="L268">
        <f>'Filtered Data'!K267</f>
        <v>0</v>
      </c>
      <c r="M268" t="e">
        <f t="shared" si="9"/>
        <v>#VALUE!</v>
      </c>
      <c r="N268">
        <f>'Filtered Data'!P267</f>
        <v>0</v>
      </c>
      <c r="O268">
        <f>'Filtered Data'!N267</f>
        <v>0</v>
      </c>
      <c r="P268" t="s">
        <v>5669</v>
      </c>
      <c r="Q268" t="str">
        <f>IF('Filtered Data'!W267,"ITHybridCloudEngineeringOperationsMgmt@Marathonpetroleum.com","mark.newman2@dxc.com")</f>
        <v>mark.newman2@dxc.com</v>
      </c>
      <c r="R268">
        <f t="shared" si="10"/>
        <v>0</v>
      </c>
      <c r="S268" s="31" t="s">
        <v>5738</v>
      </c>
      <c r="T268" t="s">
        <v>1381</v>
      </c>
      <c r="U268">
        <f>'Filtered Data'!V267</f>
        <v>0</v>
      </c>
      <c r="V268" t="str">
        <f>IF('Filtered Data'!W267,"yes","no")</f>
        <v>no</v>
      </c>
      <c r="W268" t="s">
        <v>15</v>
      </c>
      <c r="X268">
        <f>'Filtered Data'!X267</f>
        <v>0</v>
      </c>
    </row>
    <row r="269" spans="1:24" x14ac:dyDescent="0.35">
      <c r="A269">
        <f>'Filtered Data'!A268</f>
        <v>0</v>
      </c>
      <c r="B269">
        <f>'Filtered Data'!B268</f>
        <v>0</v>
      </c>
      <c r="C269" t="s">
        <v>2</v>
      </c>
      <c r="D269" t="e">
        <f>VLOOKUP('Filtered Data'!Z268,'Data Mapping'!$A$4:$B$7,2,0)</f>
        <v>#N/A</v>
      </c>
      <c r="E269" t="e">
        <f>VLOOKUP('Filtered Data'!C268,'Data Mapping'!$E$3:$F$97,2,0)</f>
        <v>#N/A</v>
      </c>
      <c r="F269">
        <f>'Filtered Data'!D268</f>
        <v>0</v>
      </c>
      <c r="G269" t="e">
        <f>VLOOKUP('Filtered Data'!E268,'Data Mapping'!$J$3:$K$11,2,0)</f>
        <v>#N/A</v>
      </c>
      <c r="H269">
        <f>'Filtered Data'!F268</f>
        <v>0</v>
      </c>
      <c r="I269" t="s">
        <v>5668</v>
      </c>
      <c r="J269" t="s">
        <v>1609</v>
      </c>
      <c r="K269" t="e">
        <f>VLOOKUP('Filtered Data'!A268,'Input 1 CMDB'!A:I,9,0)</f>
        <v>#N/A</v>
      </c>
      <c r="L269">
        <f>'Filtered Data'!K268</f>
        <v>0</v>
      </c>
      <c r="M269" t="e">
        <f t="shared" si="9"/>
        <v>#VALUE!</v>
      </c>
      <c r="N269">
        <f>'Filtered Data'!P268</f>
        <v>0</v>
      </c>
      <c r="O269">
        <f>'Filtered Data'!N268</f>
        <v>0</v>
      </c>
      <c r="P269" t="s">
        <v>5669</v>
      </c>
      <c r="Q269" t="str">
        <f>IF('Filtered Data'!W268,"ITHybridCloudEngineeringOperationsMgmt@Marathonpetroleum.com","mark.newman2@dxc.com")</f>
        <v>mark.newman2@dxc.com</v>
      </c>
      <c r="R269">
        <f t="shared" si="10"/>
        <v>0</v>
      </c>
      <c r="S269" s="31" t="s">
        <v>5738</v>
      </c>
      <c r="T269" t="s">
        <v>1381</v>
      </c>
      <c r="U269">
        <f>'Filtered Data'!V268</f>
        <v>0</v>
      </c>
      <c r="V269" t="str">
        <f>IF('Filtered Data'!W268,"yes","no")</f>
        <v>no</v>
      </c>
      <c r="W269" t="s">
        <v>15</v>
      </c>
      <c r="X269">
        <f>'Filtered Data'!X268</f>
        <v>0</v>
      </c>
    </row>
    <row r="270" spans="1:24" x14ac:dyDescent="0.35">
      <c r="A270">
        <f>'Filtered Data'!A269</f>
        <v>0</v>
      </c>
      <c r="B270">
        <f>'Filtered Data'!B269</f>
        <v>0</v>
      </c>
      <c r="C270" t="s">
        <v>2</v>
      </c>
      <c r="D270" t="e">
        <f>VLOOKUP('Filtered Data'!Z269,'Data Mapping'!$A$4:$B$7,2,0)</f>
        <v>#N/A</v>
      </c>
      <c r="E270" t="e">
        <f>VLOOKUP('Filtered Data'!C269,'Data Mapping'!$E$3:$F$97,2,0)</f>
        <v>#N/A</v>
      </c>
      <c r="F270">
        <f>'Filtered Data'!D269</f>
        <v>0</v>
      </c>
      <c r="G270" t="e">
        <f>VLOOKUP('Filtered Data'!E269,'Data Mapping'!$J$3:$K$11,2,0)</f>
        <v>#N/A</v>
      </c>
      <c r="H270">
        <f>'Filtered Data'!F269</f>
        <v>0</v>
      </c>
      <c r="I270" t="s">
        <v>5668</v>
      </c>
      <c r="J270" t="s">
        <v>1609</v>
      </c>
      <c r="K270" t="e">
        <f>VLOOKUP('Filtered Data'!A269,'Input 1 CMDB'!A:I,9,0)</f>
        <v>#N/A</v>
      </c>
      <c r="L270">
        <f>'Filtered Data'!K269</f>
        <v>0</v>
      </c>
      <c r="M270" t="e">
        <f t="shared" si="9"/>
        <v>#VALUE!</v>
      </c>
      <c r="N270">
        <f>'Filtered Data'!P269</f>
        <v>0</v>
      </c>
      <c r="O270">
        <f>'Filtered Data'!N269</f>
        <v>0</v>
      </c>
      <c r="P270" t="s">
        <v>5669</v>
      </c>
      <c r="Q270" t="str">
        <f>IF('Filtered Data'!W269,"ITHybridCloudEngineeringOperationsMgmt@Marathonpetroleum.com","mark.newman2@dxc.com")</f>
        <v>mark.newman2@dxc.com</v>
      </c>
      <c r="R270">
        <f t="shared" si="10"/>
        <v>0</v>
      </c>
      <c r="S270" s="31" t="s">
        <v>5738</v>
      </c>
      <c r="T270" t="s">
        <v>1381</v>
      </c>
      <c r="U270">
        <f>'Filtered Data'!V269</f>
        <v>0</v>
      </c>
      <c r="V270" t="str">
        <f>IF('Filtered Data'!W269,"yes","no")</f>
        <v>no</v>
      </c>
      <c r="W270" t="s">
        <v>15</v>
      </c>
      <c r="X270">
        <f>'Filtered Data'!X269</f>
        <v>0</v>
      </c>
    </row>
    <row r="271" spans="1:24" x14ac:dyDescent="0.35">
      <c r="A271">
        <f>'Filtered Data'!A270</f>
        <v>0</v>
      </c>
      <c r="B271">
        <f>'Filtered Data'!B270</f>
        <v>0</v>
      </c>
      <c r="C271" t="s">
        <v>2</v>
      </c>
      <c r="D271" t="e">
        <f>VLOOKUP('Filtered Data'!Z270,'Data Mapping'!$A$4:$B$7,2,0)</f>
        <v>#N/A</v>
      </c>
      <c r="E271" t="e">
        <f>VLOOKUP('Filtered Data'!C270,'Data Mapping'!$E$3:$F$97,2,0)</f>
        <v>#N/A</v>
      </c>
      <c r="F271">
        <f>'Filtered Data'!D270</f>
        <v>0</v>
      </c>
      <c r="G271" t="e">
        <f>VLOOKUP('Filtered Data'!E270,'Data Mapping'!$J$3:$K$11,2,0)</f>
        <v>#N/A</v>
      </c>
      <c r="H271">
        <f>'Filtered Data'!F270</f>
        <v>0</v>
      </c>
      <c r="I271" t="s">
        <v>5668</v>
      </c>
      <c r="J271" t="s">
        <v>1609</v>
      </c>
      <c r="K271" t="e">
        <f>VLOOKUP('Filtered Data'!A270,'Input 1 CMDB'!A:I,9,0)</f>
        <v>#N/A</v>
      </c>
      <c r="L271">
        <f>'Filtered Data'!K270</f>
        <v>0</v>
      </c>
      <c r="M271" t="e">
        <f t="shared" si="9"/>
        <v>#VALUE!</v>
      </c>
      <c r="N271">
        <f>'Filtered Data'!P270</f>
        <v>0</v>
      </c>
      <c r="O271">
        <f>'Filtered Data'!N270</f>
        <v>0</v>
      </c>
      <c r="P271" t="s">
        <v>5669</v>
      </c>
      <c r="Q271" t="str">
        <f>IF('Filtered Data'!W270,"ITHybridCloudEngineeringOperationsMgmt@Marathonpetroleum.com","mark.newman2@dxc.com")</f>
        <v>mark.newman2@dxc.com</v>
      </c>
      <c r="R271">
        <f t="shared" si="10"/>
        <v>0</v>
      </c>
      <c r="S271" s="31" t="s">
        <v>5738</v>
      </c>
      <c r="T271" t="s">
        <v>1381</v>
      </c>
      <c r="U271">
        <f>'Filtered Data'!V270</f>
        <v>0</v>
      </c>
      <c r="V271" t="str">
        <f>IF('Filtered Data'!W270,"yes","no")</f>
        <v>no</v>
      </c>
      <c r="W271" t="s">
        <v>15</v>
      </c>
      <c r="X271">
        <f>'Filtered Data'!X270</f>
        <v>0</v>
      </c>
    </row>
    <row r="272" spans="1:24" x14ac:dyDescent="0.35">
      <c r="A272">
        <f>'Filtered Data'!A271</f>
        <v>0</v>
      </c>
      <c r="B272">
        <f>'Filtered Data'!B271</f>
        <v>0</v>
      </c>
      <c r="C272" t="s">
        <v>2</v>
      </c>
      <c r="D272" t="e">
        <f>VLOOKUP('Filtered Data'!Z271,'Data Mapping'!$A$4:$B$7,2,0)</f>
        <v>#N/A</v>
      </c>
      <c r="E272" t="e">
        <f>VLOOKUP('Filtered Data'!C271,'Data Mapping'!$E$3:$F$97,2,0)</f>
        <v>#N/A</v>
      </c>
      <c r="F272">
        <f>'Filtered Data'!D271</f>
        <v>0</v>
      </c>
      <c r="G272" t="e">
        <f>VLOOKUP('Filtered Data'!E271,'Data Mapping'!$J$3:$K$11,2,0)</f>
        <v>#N/A</v>
      </c>
      <c r="H272">
        <f>'Filtered Data'!F271</f>
        <v>0</v>
      </c>
      <c r="I272" t="s">
        <v>5668</v>
      </c>
      <c r="J272" t="s">
        <v>1609</v>
      </c>
      <c r="K272" t="e">
        <f>VLOOKUP('Filtered Data'!A271,'Input 1 CMDB'!A:I,9,0)</f>
        <v>#N/A</v>
      </c>
      <c r="L272">
        <f>'Filtered Data'!K271</f>
        <v>0</v>
      </c>
      <c r="M272" t="e">
        <f t="shared" si="9"/>
        <v>#VALUE!</v>
      </c>
      <c r="N272">
        <f>'Filtered Data'!P271</f>
        <v>0</v>
      </c>
      <c r="O272">
        <f>'Filtered Data'!N271</f>
        <v>0</v>
      </c>
      <c r="P272" t="s">
        <v>5669</v>
      </c>
      <c r="Q272" t="str">
        <f>IF('Filtered Data'!W271,"ITHybridCloudEngineeringOperationsMgmt@Marathonpetroleum.com","mark.newman2@dxc.com")</f>
        <v>mark.newman2@dxc.com</v>
      </c>
      <c r="R272">
        <f t="shared" si="10"/>
        <v>0</v>
      </c>
      <c r="S272" s="31" t="s">
        <v>5738</v>
      </c>
      <c r="T272" t="s">
        <v>1381</v>
      </c>
      <c r="U272">
        <f>'Filtered Data'!V271</f>
        <v>0</v>
      </c>
      <c r="V272" t="str">
        <f>IF('Filtered Data'!W271,"yes","no")</f>
        <v>no</v>
      </c>
      <c r="W272" t="s">
        <v>15</v>
      </c>
      <c r="X272">
        <f>'Filtered Data'!X271</f>
        <v>0</v>
      </c>
    </row>
    <row r="273" spans="1:24" x14ac:dyDescent="0.35">
      <c r="A273">
        <f>'Filtered Data'!A272</f>
        <v>0</v>
      </c>
      <c r="B273">
        <f>'Filtered Data'!B272</f>
        <v>0</v>
      </c>
      <c r="C273" t="s">
        <v>2</v>
      </c>
      <c r="D273" t="e">
        <f>VLOOKUP('Filtered Data'!Z272,'Data Mapping'!$A$4:$B$7,2,0)</f>
        <v>#N/A</v>
      </c>
      <c r="E273" t="e">
        <f>VLOOKUP('Filtered Data'!C272,'Data Mapping'!$E$3:$F$97,2,0)</f>
        <v>#N/A</v>
      </c>
      <c r="F273">
        <f>'Filtered Data'!D272</f>
        <v>0</v>
      </c>
      <c r="G273" t="e">
        <f>VLOOKUP('Filtered Data'!E272,'Data Mapping'!$J$3:$K$11,2,0)</f>
        <v>#N/A</v>
      </c>
      <c r="H273">
        <f>'Filtered Data'!F272</f>
        <v>0</v>
      </c>
      <c r="I273" t="s">
        <v>5668</v>
      </c>
      <c r="J273" t="s">
        <v>1609</v>
      </c>
      <c r="K273" t="e">
        <f>VLOOKUP('Filtered Data'!A272,'Input 1 CMDB'!A:I,9,0)</f>
        <v>#N/A</v>
      </c>
      <c r="L273">
        <f>'Filtered Data'!K272</f>
        <v>0</v>
      </c>
      <c r="M273" t="e">
        <f t="shared" si="9"/>
        <v>#VALUE!</v>
      </c>
      <c r="N273">
        <f>'Filtered Data'!P272</f>
        <v>0</v>
      </c>
      <c r="O273">
        <f>'Filtered Data'!N272</f>
        <v>0</v>
      </c>
      <c r="P273" t="s">
        <v>5669</v>
      </c>
      <c r="Q273" t="str">
        <f>IF('Filtered Data'!W272,"ITHybridCloudEngineeringOperationsMgmt@Marathonpetroleum.com","mark.newman2@dxc.com")</f>
        <v>mark.newman2@dxc.com</v>
      </c>
      <c r="R273">
        <f t="shared" si="10"/>
        <v>0</v>
      </c>
      <c r="S273" s="31" t="s">
        <v>5738</v>
      </c>
      <c r="T273" t="s">
        <v>1381</v>
      </c>
      <c r="U273">
        <f>'Filtered Data'!V272</f>
        <v>0</v>
      </c>
      <c r="V273" t="str">
        <f>IF('Filtered Data'!W272,"yes","no")</f>
        <v>no</v>
      </c>
      <c r="W273" t="s">
        <v>15</v>
      </c>
      <c r="X273">
        <f>'Filtered Data'!X272</f>
        <v>0</v>
      </c>
    </row>
    <row r="274" spans="1:24" x14ac:dyDescent="0.35">
      <c r="A274">
        <f>'Filtered Data'!A273</f>
        <v>0</v>
      </c>
      <c r="B274">
        <f>'Filtered Data'!B273</f>
        <v>0</v>
      </c>
      <c r="C274" t="s">
        <v>2</v>
      </c>
      <c r="D274" t="e">
        <f>VLOOKUP('Filtered Data'!Z273,'Data Mapping'!$A$4:$B$7,2,0)</f>
        <v>#N/A</v>
      </c>
      <c r="E274" t="e">
        <f>VLOOKUP('Filtered Data'!C273,'Data Mapping'!$E$3:$F$97,2,0)</f>
        <v>#N/A</v>
      </c>
      <c r="F274">
        <f>'Filtered Data'!D273</f>
        <v>0</v>
      </c>
      <c r="G274" t="e">
        <f>VLOOKUP('Filtered Data'!E273,'Data Mapping'!$J$3:$K$11,2,0)</f>
        <v>#N/A</v>
      </c>
      <c r="H274">
        <f>'Filtered Data'!F273</f>
        <v>0</v>
      </c>
      <c r="I274" t="s">
        <v>5668</v>
      </c>
      <c r="J274" t="s">
        <v>1609</v>
      </c>
      <c r="K274" t="e">
        <f>VLOOKUP('Filtered Data'!A273,'Input 1 CMDB'!A:I,9,0)</f>
        <v>#N/A</v>
      </c>
      <c r="L274">
        <f>'Filtered Data'!K273</f>
        <v>0</v>
      </c>
      <c r="M274" t="e">
        <f t="shared" si="9"/>
        <v>#VALUE!</v>
      </c>
      <c r="N274">
        <f>'Filtered Data'!P273</f>
        <v>0</v>
      </c>
      <c r="O274">
        <f>'Filtered Data'!N273</f>
        <v>0</v>
      </c>
      <c r="P274" t="s">
        <v>5669</v>
      </c>
      <c r="Q274" t="str">
        <f>IF('Filtered Data'!W273,"ITHybridCloudEngineeringOperationsMgmt@Marathonpetroleum.com","mark.newman2@dxc.com")</f>
        <v>mark.newman2@dxc.com</v>
      </c>
      <c r="R274">
        <f t="shared" si="10"/>
        <v>0</v>
      </c>
      <c r="S274" s="31" t="s">
        <v>5738</v>
      </c>
      <c r="T274" t="s">
        <v>1381</v>
      </c>
      <c r="U274">
        <f>'Filtered Data'!V273</f>
        <v>0</v>
      </c>
      <c r="V274" t="str">
        <f>IF('Filtered Data'!W273,"yes","no")</f>
        <v>no</v>
      </c>
      <c r="W274" t="s">
        <v>15</v>
      </c>
      <c r="X274">
        <f>'Filtered Data'!X273</f>
        <v>0</v>
      </c>
    </row>
    <row r="275" spans="1:24" x14ac:dyDescent="0.35">
      <c r="A275">
        <f>'Filtered Data'!A274</f>
        <v>0</v>
      </c>
      <c r="B275">
        <f>'Filtered Data'!B274</f>
        <v>0</v>
      </c>
      <c r="C275" t="s">
        <v>2</v>
      </c>
      <c r="D275" t="e">
        <f>VLOOKUP('Filtered Data'!Z274,'Data Mapping'!$A$4:$B$7,2,0)</f>
        <v>#N/A</v>
      </c>
      <c r="E275" t="e">
        <f>VLOOKUP('Filtered Data'!C274,'Data Mapping'!$E$3:$F$97,2,0)</f>
        <v>#N/A</v>
      </c>
      <c r="F275">
        <f>'Filtered Data'!D274</f>
        <v>0</v>
      </c>
      <c r="G275" t="e">
        <f>VLOOKUP('Filtered Data'!E274,'Data Mapping'!$J$3:$K$11,2,0)</f>
        <v>#N/A</v>
      </c>
      <c r="H275">
        <f>'Filtered Data'!F274</f>
        <v>0</v>
      </c>
      <c r="I275" t="s">
        <v>5668</v>
      </c>
      <c r="J275" t="s">
        <v>1609</v>
      </c>
      <c r="K275" t="e">
        <f>VLOOKUP('Filtered Data'!A274,'Input 1 CMDB'!A:I,9,0)</f>
        <v>#N/A</v>
      </c>
      <c r="L275">
        <f>'Filtered Data'!K274</f>
        <v>0</v>
      </c>
      <c r="M275" t="e">
        <f t="shared" si="9"/>
        <v>#VALUE!</v>
      </c>
      <c r="N275">
        <f>'Filtered Data'!P274</f>
        <v>0</v>
      </c>
      <c r="O275">
        <f>'Filtered Data'!N274</f>
        <v>0</v>
      </c>
      <c r="P275" t="s">
        <v>5669</v>
      </c>
      <c r="Q275" t="str">
        <f>IF('Filtered Data'!W274,"ITHybridCloudEngineeringOperationsMgmt@Marathonpetroleum.com","mark.newman2@dxc.com")</f>
        <v>mark.newman2@dxc.com</v>
      </c>
      <c r="R275">
        <f t="shared" si="10"/>
        <v>0</v>
      </c>
      <c r="S275" s="31" t="s">
        <v>5738</v>
      </c>
      <c r="T275" t="s">
        <v>1381</v>
      </c>
      <c r="U275">
        <f>'Filtered Data'!V274</f>
        <v>0</v>
      </c>
      <c r="V275" t="str">
        <f>IF('Filtered Data'!W274,"yes","no")</f>
        <v>no</v>
      </c>
      <c r="W275" t="s">
        <v>15</v>
      </c>
      <c r="X275">
        <f>'Filtered Data'!X274</f>
        <v>0</v>
      </c>
    </row>
    <row r="276" spans="1:24" x14ac:dyDescent="0.35">
      <c r="A276">
        <f>'Filtered Data'!A275</f>
        <v>0</v>
      </c>
      <c r="B276">
        <f>'Filtered Data'!B275</f>
        <v>0</v>
      </c>
      <c r="C276" t="s">
        <v>2</v>
      </c>
      <c r="D276" t="e">
        <f>VLOOKUP('Filtered Data'!Z275,'Data Mapping'!$A$4:$B$7,2,0)</f>
        <v>#N/A</v>
      </c>
      <c r="E276" t="e">
        <f>VLOOKUP('Filtered Data'!C275,'Data Mapping'!$E$3:$F$97,2,0)</f>
        <v>#N/A</v>
      </c>
      <c r="F276">
        <f>'Filtered Data'!D275</f>
        <v>0</v>
      </c>
      <c r="G276" t="e">
        <f>VLOOKUP('Filtered Data'!E275,'Data Mapping'!$J$3:$K$11,2,0)</f>
        <v>#N/A</v>
      </c>
      <c r="H276">
        <f>'Filtered Data'!F275</f>
        <v>0</v>
      </c>
      <c r="I276" t="s">
        <v>5668</v>
      </c>
      <c r="J276" t="s">
        <v>1609</v>
      </c>
      <c r="K276" t="e">
        <f>VLOOKUP('Filtered Data'!A275,'Input 1 CMDB'!A:I,9,0)</f>
        <v>#N/A</v>
      </c>
      <c r="L276">
        <f>'Filtered Data'!K275</f>
        <v>0</v>
      </c>
      <c r="M276" t="e">
        <f t="shared" si="9"/>
        <v>#VALUE!</v>
      </c>
      <c r="N276">
        <f>'Filtered Data'!P275</f>
        <v>0</v>
      </c>
      <c r="O276">
        <f>'Filtered Data'!N275</f>
        <v>0</v>
      </c>
      <c r="P276" t="s">
        <v>5669</v>
      </c>
      <c r="Q276" t="str">
        <f>IF('Filtered Data'!W275,"ITHybridCloudEngineeringOperationsMgmt@Marathonpetroleum.com","mark.newman2@dxc.com")</f>
        <v>mark.newman2@dxc.com</v>
      </c>
      <c r="R276">
        <f t="shared" si="10"/>
        <v>0</v>
      </c>
      <c r="S276" s="31" t="s">
        <v>5738</v>
      </c>
      <c r="T276" t="s">
        <v>1381</v>
      </c>
      <c r="U276">
        <f>'Filtered Data'!V275</f>
        <v>0</v>
      </c>
      <c r="V276" t="str">
        <f>IF('Filtered Data'!W275,"yes","no")</f>
        <v>no</v>
      </c>
      <c r="W276" t="s">
        <v>15</v>
      </c>
      <c r="X276">
        <f>'Filtered Data'!X275</f>
        <v>0</v>
      </c>
    </row>
    <row r="277" spans="1:24" x14ac:dyDescent="0.35">
      <c r="A277">
        <f>'Filtered Data'!A276</f>
        <v>0</v>
      </c>
      <c r="B277">
        <f>'Filtered Data'!B276</f>
        <v>0</v>
      </c>
      <c r="C277" t="s">
        <v>2</v>
      </c>
      <c r="D277" t="e">
        <f>VLOOKUP('Filtered Data'!Z276,'Data Mapping'!$A$4:$B$7,2,0)</f>
        <v>#N/A</v>
      </c>
      <c r="E277" t="e">
        <f>VLOOKUP('Filtered Data'!C276,'Data Mapping'!$E$3:$F$97,2,0)</f>
        <v>#N/A</v>
      </c>
      <c r="F277">
        <f>'Filtered Data'!D276</f>
        <v>0</v>
      </c>
      <c r="G277" t="e">
        <f>VLOOKUP('Filtered Data'!E276,'Data Mapping'!$J$3:$K$11,2,0)</f>
        <v>#N/A</v>
      </c>
      <c r="H277">
        <f>'Filtered Data'!F276</f>
        <v>0</v>
      </c>
      <c r="I277" t="s">
        <v>5668</v>
      </c>
      <c r="J277" t="s">
        <v>1609</v>
      </c>
      <c r="K277" t="e">
        <f>VLOOKUP('Filtered Data'!A276,'Input 1 CMDB'!A:I,9,0)</f>
        <v>#N/A</v>
      </c>
      <c r="L277">
        <f>'Filtered Data'!K276</f>
        <v>0</v>
      </c>
      <c r="M277" t="e">
        <f t="shared" si="9"/>
        <v>#VALUE!</v>
      </c>
      <c r="N277">
        <f>'Filtered Data'!P276</f>
        <v>0</v>
      </c>
      <c r="O277">
        <f>'Filtered Data'!N276</f>
        <v>0</v>
      </c>
      <c r="P277" t="s">
        <v>5669</v>
      </c>
      <c r="Q277" t="str">
        <f>IF('Filtered Data'!W276,"ITHybridCloudEngineeringOperationsMgmt@Marathonpetroleum.com","mark.newman2@dxc.com")</f>
        <v>mark.newman2@dxc.com</v>
      </c>
      <c r="R277">
        <f t="shared" si="10"/>
        <v>0</v>
      </c>
      <c r="S277" s="31" t="s">
        <v>5738</v>
      </c>
      <c r="T277" t="s">
        <v>1381</v>
      </c>
      <c r="U277">
        <f>'Filtered Data'!V276</f>
        <v>0</v>
      </c>
      <c r="V277" t="str">
        <f>IF('Filtered Data'!W276,"yes","no")</f>
        <v>no</v>
      </c>
      <c r="W277" t="s">
        <v>15</v>
      </c>
      <c r="X277">
        <f>'Filtered Data'!X276</f>
        <v>0</v>
      </c>
    </row>
    <row r="278" spans="1:24" x14ac:dyDescent="0.35">
      <c r="A278">
        <f>'Filtered Data'!A277</f>
        <v>0</v>
      </c>
      <c r="B278">
        <f>'Filtered Data'!B277</f>
        <v>0</v>
      </c>
      <c r="C278" t="s">
        <v>2</v>
      </c>
      <c r="D278" t="e">
        <f>VLOOKUP('Filtered Data'!Z277,'Data Mapping'!$A$4:$B$7,2,0)</f>
        <v>#N/A</v>
      </c>
      <c r="E278" t="e">
        <f>VLOOKUP('Filtered Data'!C277,'Data Mapping'!$E$3:$F$97,2,0)</f>
        <v>#N/A</v>
      </c>
      <c r="F278">
        <f>'Filtered Data'!D277</f>
        <v>0</v>
      </c>
      <c r="G278" t="e">
        <f>VLOOKUP('Filtered Data'!E277,'Data Mapping'!$J$3:$K$11,2,0)</f>
        <v>#N/A</v>
      </c>
      <c r="H278">
        <f>'Filtered Data'!F277</f>
        <v>0</v>
      </c>
      <c r="I278" t="s">
        <v>5668</v>
      </c>
      <c r="J278" t="s">
        <v>1609</v>
      </c>
      <c r="K278" t="e">
        <f>VLOOKUP('Filtered Data'!A277,'Input 1 CMDB'!A:I,9,0)</f>
        <v>#N/A</v>
      </c>
      <c r="L278">
        <f>'Filtered Data'!K277</f>
        <v>0</v>
      </c>
      <c r="M278" t="e">
        <f t="shared" si="9"/>
        <v>#VALUE!</v>
      </c>
      <c r="N278">
        <f>'Filtered Data'!P277</f>
        <v>0</v>
      </c>
      <c r="O278">
        <f>'Filtered Data'!N277</f>
        <v>0</v>
      </c>
      <c r="P278" t="s">
        <v>5669</v>
      </c>
      <c r="Q278" t="str">
        <f>IF('Filtered Data'!W277,"ITHybridCloudEngineeringOperationsMgmt@Marathonpetroleum.com","mark.newman2@dxc.com")</f>
        <v>mark.newman2@dxc.com</v>
      </c>
      <c r="R278">
        <f t="shared" si="10"/>
        <v>0</v>
      </c>
      <c r="S278" s="31" t="s">
        <v>5738</v>
      </c>
      <c r="T278" t="s">
        <v>1381</v>
      </c>
      <c r="U278">
        <f>'Filtered Data'!V277</f>
        <v>0</v>
      </c>
      <c r="V278" t="str">
        <f>IF('Filtered Data'!W277,"yes","no")</f>
        <v>no</v>
      </c>
      <c r="W278" t="s">
        <v>15</v>
      </c>
      <c r="X278">
        <f>'Filtered Data'!X277</f>
        <v>0</v>
      </c>
    </row>
    <row r="279" spans="1:24" x14ac:dyDescent="0.35">
      <c r="A279">
        <f>'Filtered Data'!A278</f>
        <v>0</v>
      </c>
      <c r="B279">
        <f>'Filtered Data'!B278</f>
        <v>0</v>
      </c>
      <c r="C279" t="s">
        <v>2</v>
      </c>
      <c r="D279" t="e">
        <f>VLOOKUP('Filtered Data'!Z278,'Data Mapping'!$A$4:$B$7,2,0)</f>
        <v>#N/A</v>
      </c>
      <c r="E279" t="e">
        <f>VLOOKUP('Filtered Data'!C278,'Data Mapping'!$E$3:$F$97,2,0)</f>
        <v>#N/A</v>
      </c>
      <c r="F279">
        <f>'Filtered Data'!D278</f>
        <v>0</v>
      </c>
      <c r="G279" t="e">
        <f>VLOOKUP('Filtered Data'!E278,'Data Mapping'!$J$3:$K$11,2,0)</f>
        <v>#N/A</v>
      </c>
      <c r="H279">
        <f>'Filtered Data'!F278</f>
        <v>0</v>
      </c>
      <c r="I279" t="s">
        <v>5668</v>
      </c>
      <c r="J279" t="s">
        <v>1609</v>
      </c>
      <c r="K279" t="e">
        <f>VLOOKUP('Filtered Data'!A278,'Input 1 CMDB'!A:I,9,0)</f>
        <v>#N/A</v>
      </c>
      <c r="L279">
        <f>'Filtered Data'!K278</f>
        <v>0</v>
      </c>
      <c r="M279" t="e">
        <f t="shared" si="9"/>
        <v>#VALUE!</v>
      </c>
      <c r="N279">
        <f>'Filtered Data'!P278</f>
        <v>0</v>
      </c>
      <c r="O279">
        <f>'Filtered Data'!N278</f>
        <v>0</v>
      </c>
      <c r="P279" t="s">
        <v>5669</v>
      </c>
      <c r="Q279" t="str">
        <f>IF('Filtered Data'!W278,"ITHybridCloudEngineeringOperationsMgmt@Marathonpetroleum.com","mark.newman2@dxc.com")</f>
        <v>mark.newman2@dxc.com</v>
      </c>
      <c r="R279">
        <f t="shared" si="10"/>
        <v>0</v>
      </c>
      <c r="S279" s="31" t="s">
        <v>5738</v>
      </c>
      <c r="T279" t="s">
        <v>1381</v>
      </c>
      <c r="U279">
        <f>'Filtered Data'!V278</f>
        <v>0</v>
      </c>
      <c r="V279" t="str">
        <f>IF('Filtered Data'!W278,"yes","no")</f>
        <v>no</v>
      </c>
      <c r="W279" t="s">
        <v>15</v>
      </c>
      <c r="X279">
        <f>'Filtered Data'!X278</f>
        <v>0</v>
      </c>
    </row>
    <row r="280" spans="1:24" x14ac:dyDescent="0.35">
      <c r="A280">
        <f>'Filtered Data'!A279</f>
        <v>0</v>
      </c>
      <c r="B280">
        <f>'Filtered Data'!B279</f>
        <v>0</v>
      </c>
      <c r="C280" t="s">
        <v>2</v>
      </c>
      <c r="D280" t="e">
        <f>VLOOKUP('Filtered Data'!Z279,'Data Mapping'!$A$4:$B$7,2,0)</f>
        <v>#N/A</v>
      </c>
      <c r="E280" t="e">
        <f>VLOOKUP('Filtered Data'!C279,'Data Mapping'!$E$3:$F$97,2,0)</f>
        <v>#N/A</v>
      </c>
      <c r="F280">
        <f>'Filtered Data'!D279</f>
        <v>0</v>
      </c>
      <c r="G280" t="e">
        <f>VLOOKUP('Filtered Data'!E279,'Data Mapping'!$J$3:$K$11,2,0)</f>
        <v>#N/A</v>
      </c>
      <c r="H280">
        <f>'Filtered Data'!F279</f>
        <v>0</v>
      </c>
      <c r="I280" t="s">
        <v>5668</v>
      </c>
      <c r="J280" t="s">
        <v>1609</v>
      </c>
      <c r="K280" t="e">
        <f>VLOOKUP('Filtered Data'!A279,'Input 1 CMDB'!A:I,9,0)</f>
        <v>#N/A</v>
      </c>
      <c r="L280">
        <f>'Filtered Data'!K279</f>
        <v>0</v>
      </c>
      <c r="M280" t="e">
        <f t="shared" si="9"/>
        <v>#VALUE!</v>
      </c>
      <c r="N280">
        <f>'Filtered Data'!P279</f>
        <v>0</v>
      </c>
      <c r="O280">
        <f>'Filtered Data'!N279</f>
        <v>0</v>
      </c>
      <c r="P280" t="s">
        <v>5669</v>
      </c>
      <c r="Q280" t="str">
        <f>IF('Filtered Data'!W279,"ITHybridCloudEngineeringOperationsMgmt@Marathonpetroleum.com","mark.newman2@dxc.com")</f>
        <v>mark.newman2@dxc.com</v>
      </c>
      <c r="R280">
        <f t="shared" si="10"/>
        <v>0</v>
      </c>
      <c r="S280" s="31" t="s">
        <v>5738</v>
      </c>
      <c r="T280" t="s">
        <v>1381</v>
      </c>
      <c r="U280">
        <f>'Filtered Data'!V279</f>
        <v>0</v>
      </c>
      <c r="V280" t="str">
        <f>IF('Filtered Data'!W279,"yes","no")</f>
        <v>no</v>
      </c>
      <c r="W280" t="s">
        <v>15</v>
      </c>
      <c r="X280">
        <f>'Filtered Data'!X279</f>
        <v>0</v>
      </c>
    </row>
    <row r="281" spans="1:24" x14ac:dyDescent="0.35">
      <c r="A281">
        <f>'Filtered Data'!A280</f>
        <v>0</v>
      </c>
      <c r="B281">
        <f>'Filtered Data'!B280</f>
        <v>0</v>
      </c>
      <c r="C281" t="s">
        <v>2</v>
      </c>
      <c r="D281" t="e">
        <f>VLOOKUP('Filtered Data'!Z280,'Data Mapping'!$A$4:$B$7,2,0)</f>
        <v>#N/A</v>
      </c>
      <c r="E281" t="e">
        <f>VLOOKUP('Filtered Data'!C280,'Data Mapping'!$E$3:$F$97,2,0)</f>
        <v>#N/A</v>
      </c>
      <c r="F281">
        <f>'Filtered Data'!D280</f>
        <v>0</v>
      </c>
      <c r="G281" t="e">
        <f>VLOOKUP('Filtered Data'!E280,'Data Mapping'!$J$3:$K$11,2,0)</f>
        <v>#N/A</v>
      </c>
      <c r="H281">
        <f>'Filtered Data'!F280</f>
        <v>0</v>
      </c>
      <c r="I281" t="s">
        <v>5668</v>
      </c>
      <c r="J281" t="s">
        <v>1609</v>
      </c>
      <c r="K281" t="e">
        <f>VLOOKUP('Filtered Data'!A280,'Input 1 CMDB'!A:I,9,0)</f>
        <v>#N/A</v>
      </c>
      <c r="L281">
        <f>'Filtered Data'!K280</f>
        <v>0</v>
      </c>
      <c r="M281" t="e">
        <f t="shared" si="9"/>
        <v>#VALUE!</v>
      </c>
      <c r="N281">
        <f>'Filtered Data'!P280</f>
        <v>0</v>
      </c>
      <c r="O281">
        <f>'Filtered Data'!N280</f>
        <v>0</v>
      </c>
      <c r="P281" t="s">
        <v>5669</v>
      </c>
      <c r="Q281" t="str">
        <f>IF('Filtered Data'!W280,"ITHybridCloudEngineeringOperationsMgmt@Marathonpetroleum.com","mark.newman2@dxc.com")</f>
        <v>mark.newman2@dxc.com</v>
      </c>
      <c r="R281">
        <f t="shared" si="10"/>
        <v>0</v>
      </c>
      <c r="S281" s="31" t="s">
        <v>5738</v>
      </c>
      <c r="T281" t="s">
        <v>1381</v>
      </c>
      <c r="U281">
        <f>'Filtered Data'!V280</f>
        <v>0</v>
      </c>
      <c r="V281" t="str">
        <f>IF('Filtered Data'!W280,"yes","no")</f>
        <v>no</v>
      </c>
      <c r="W281" t="s">
        <v>15</v>
      </c>
      <c r="X281">
        <f>'Filtered Data'!X280</f>
        <v>0</v>
      </c>
    </row>
    <row r="282" spans="1:24" x14ac:dyDescent="0.35">
      <c r="A282">
        <f>'Filtered Data'!A281</f>
        <v>0</v>
      </c>
      <c r="B282">
        <f>'Filtered Data'!B281</f>
        <v>0</v>
      </c>
      <c r="C282" t="s">
        <v>2</v>
      </c>
      <c r="D282" t="e">
        <f>VLOOKUP('Filtered Data'!Z281,'Data Mapping'!$A$4:$B$7,2,0)</f>
        <v>#N/A</v>
      </c>
      <c r="E282" t="e">
        <f>VLOOKUP('Filtered Data'!C281,'Data Mapping'!$E$3:$F$97,2,0)</f>
        <v>#N/A</v>
      </c>
      <c r="F282">
        <f>'Filtered Data'!D281</f>
        <v>0</v>
      </c>
      <c r="G282" t="e">
        <f>VLOOKUP('Filtered Data'!E281,'Data Mapping'!$J$3:$K$11,2,0)</f>
        <v>#N/A</v>
      </c>
      <c r="H282">
        <f>'Filtered Data'!F281</f>
        <v>0</v>
      </c>
      <c r="I282" t="s">
        <v>5668</v>
      </c>
      <c r="J282" t="s">
        <v>1609</v>
      </c>
      <c r="K282" t="e">
        <f>VLOOKUP('Filtered Data'!A281,'Input 1 CMDB'!A:I,9,0)</f>
        <v>#N/A</v>
      </c>
      <c r="L282">
        <f>'Filtered Data'!K281</f>
        <v>0</v>
      </c>
      <c r="M282" t="e">
        <f t="shared" si="9"/>
        <v>#VALUE!</v>
      </c>
      <c r="N282">
        <f>'Filtered Data'!P281</f>
        <v>0</v>
      </c>
      <c r="O282">
        <f>'Filtered Data'!N281</f>
        <v>0</v>
      </c>
      <c r="P282" t="s">
        <v>5669</v>
      </c>
      <c r="Q282" t="str">
        <f>IF('Filtered Data'!W281,"ITHybridCloudEngineeringOperationsMgmt@Marathonpetroleum.com","mark.newman2@dxc.com")</f>
        <v>mark.newman2@dxc.com</v>
      </c>
      <c r="R282">
        <f t="shared" si="10"/>
        <v>0</v>
      </c>
      <c r="S282" s="31" t="s">
        <v>5738</v>
      </c>
      <c r="T282" t="s">
        <v>1381</v>
      </c>
      <c r="U282">
        <f>'Filtered Data'!V281</f>
        <v>0</v>
      </c>
      <c r="V282" t="str">
        <f>IF('Filtered Data'!W281,"yes","no")</f>
        <v>no</v>
      </c>
      <c r="W282" t="s">
        <v>15</v>
      </c>
      <c r="X282">
        <f>'Filtered Data'!X281</f>
        <v>0</v>
      </c>
    </row>
    <row r="283" spans="1:24" x14ac:dyDescent="0.35">
      <c r="A283">
        <f>'Filtered Data'!A282</f>
        <v>0</v>
      </c>
      <c r="B283">
        <f>'Filtered Data'!B282</f>
        <v>0</v>
      </c>
      <c r="C283" t="s">
        <v>2</v>
      </c>
      <c r="D283" t="e">
        <f>VLOOKUP('Filtered Data'!Z282,'Data Mapping'!$A$4:$B$7,2,0)</f>
        <v>#N/A</v>
      </c>
      <c r="E283" t="e">
        <f>VLOOKUP('Filtered Data'!C282,'Data Mapping'!$E$3:$F$97,2,0)</f>
        <v>#N/A</v>
      </c>
      <c r="F283">
        <f>'Filtered Data'!D282</f>
        <v>0</v>
      </c>
      <c r="G283" t="e">
        <f>VLOOKUP('Filtered Data'!E282,'Data Mapping'!$J$3:$K$11,2,0)</f>
        <v>#N/A</v>
      </c>
      <c r="H283">
        <f>'Filtered Data'!F282</f>
        <v>0</v>
      </c>
      <c r="I283" t="s">
        <v>5668</v>
      </c>
      <c r="J283" t="s">
        <v>1609</v>
      </c>
      <c r="K283" t="e">
        <f>VLOOKUP('Filtered Data'!A282,'Input 1 CMDB'!A:I,9,0)</f>
        <v>#N/A</v>
      </c>
      <c r="L283">
        <f>'Filtered Data'!K282</f>
        <v>0</v>
      </c>
      <c r="M283" t="e">
        <f t="shared" si="9"/>
        <v>#VALUE!</v>
      </c>
      <c r="N283">
        <f>'Filtered Data'!P282</f>
        <v>0</v>
      </c>
      <c r="O283">
        <f>'Filtered Data'!N282</f>
        <v>0</v>
      </c>
      <c r="P283" t="s">
        <v>5669</v>
      </c>
      <c r="Q283" t="str">
        <f>IF('Filtered Data'!W282,"ITHybridCloudEngineeringOperationsMgmt@Marathonpetroleum.com","mark.newman2@dxc.com")</f>
        <v>mark.newman2@dxc.com</v>
      </c>
      <c r="R283">
        <f t="shared" si="10"/>
        <v>0</v>
      </c>
      <c r="S283" s="31" t="s">
        <v>5738</v>
      </c>
      <c r="T283" t="s">
        <v>1381</v>
      </c>
      <c r="U283">
        <f>'Filtered Data'!V282</f>
        <v>0</v>
      </c>
      <c r="V283" t="str">
        <f>IF('Filtered Data'!W282,"yes","no")</f>
        <v>no</v>
      </c>
      <c r="W283" t="s">
        <v>15</v>
      </c>
      <c r="X283">
        <f>'Filtered Data'!X282</f>
        <v>0</v>
      </c>
    </row>
    <row r="284" spans="1:24" x14ac:dyDescent="0.35">
      <c r="A284">
        <f>'Filtered Data'!A283</f>
        <v>0</v>
      </c>
      <c r="B284">
        <f>'Filtered Data'!B283</f>
        <v>0</v>
      </c>
      <c r="C284" t="s">
        <v>2</v>
      </c>
      <c r="D284" t="e">
        <f>VLOOKUP('Filtered Data'!Z283,'Data Mapping'!$A$4:$B$7,2,0)</f>
        <v>#N/A</v>
      </c>
      <c r="E284" t="e">
        <f>VLOOKUP('Filtered Data'!C283,'Data Mapping'!$E$3:$F$97,2,0)</f>
        <v>#N/A</v>
      </c>
      <c r="F284">
        <f>'Filtered Data'!D283</f>
        <v>0</v>
      </c>
      <c r="G284" t="e">
        <f>VLOOKUP('Filtered Data'!E283,'Data Mapping'!$J$3:$K$11,2,0)</f>
        <v>#N/A</v>
      </c>
      <c r="H284">
        <f>'Filtered Data'!F283</f>
        <v>0</v>
      </c>
      <c r="I284" t="s">
        <v>5668</v>
      </c>
      <c r="J284" t="s">
        <v>1609</v>
      </c>
      <c r="K284" t="e">
        <f>VLOOKUP('Filtered Data'!A283,'Input 1 CMDB'!A:I,9,0)</f>
        <v>#N/A</v>
      </c>
      <c r="L284">
        <f>'Filtered Data'!K283</f>
        <v>0</v>
      </c>
      <c r="M284" t="e">
        <f t="shared" si="9"/>
        <v>#VALUE!</v>
      </c>
      <c r="N284">
        <f>'Filtered Data'!P283</f>
        <v>0</v>
      </c>
      <c r="O284">
        <f>'Filtered Data'!N283</f>
        <v>0</v>
      </c>
      <c r="P284" t="s">
        <v>5669</v>
      </c>
      <c r="Q284" t="str">
        <f>IF('Filtered Data'!W283,"ITHybridCloudEngineeringOperationsMgmt@Marathonpetroleum.com","mark.newman2@dxc.com")</f>
        <v>mark.newman2@dxc.com</v>
      </c>
      <c r="R284">
        <f t="shared" si="10"/>
        <v>0</v>
      </c>
      <c r="S284" s="31" t="s">
        <v>5738</v>
      </c>
      <c r="T284" t="s">
        <v>1381</v>
      </c>
      <c r="U284">
        <f>'Filtered Data'!V283</f>
        <v>0</v>
      </c>
      <c r="V284" t="str">
        <f>IF('Filtered Data'!W283,"yes","no")</f>
        <v>no</v>
      </c>
      <c r="W284" t="s">
        <v>15</v>
      </c>
      <c r="X284">
        <f>'Filtered Data'!X283</f>
        <v>0</v>
      </c>
    </row>
    <row r="285" spans="1:24" x14ac:dyDescent="0.35">
      <c r="A285">
        <f>'Filtered Data'!A284</f>
        <v>0</v>
      </c>
      <c r="B285">
        <f>'Filtered Data'!B284</f>
        <v>0</v>
      </c>
      <c r="C285" t="s">
        <v>2</v>
      </c>
      <c r="D285" t="e">
        <f>VLOOKUP('Filtered Data'!Z284,'Data Mapping'!$A$4:$B$7,2,0)</f>
        <v>#N/A</v>
      </c>
      <c r="E285" t="e">
        <f>VLOOKUP('Filtered Data'!C284,'Data Mapping'!$E$3:$F$97,2,0)</f>
        <v>#N/A</v>
      </c>
      <c r="F285">
        <f>'Filtered Data'!D284</f>
        <v>0</v>
      </c>
      <c r="G285" t="e">
        <f>VLOOKUP('Filtered Data'!E284,'Data Mapping'!$J$3:$K$11,2,0)</f>
        <v>#N/A</v>
      </c>
      <c r="H285">
        <f>'Filtered Data'!F284</f>
        <v>0</v>
      </c>
      <c r="I285" t="s">
        <v>5668</v>
      </c>
      <c r="J285" t="s">
        <v>1609</v>
      </c>
      <c r="K285" t="e">
        <f>VLOOKUP('Filtered Data'!A284,'Input 1 CMDB'!A:I,9,0)</f>
        <v>#N/A</v>
      </c>
      <c r="L285">
        <f>'Filtered Data'!K284</f>
        <v>0</v>
      </c>
      <c r="M285" t="e">
        <f t="shared" si="9"/>
        <v>#VALUE!</v>
      </c>
      <c r="N285">
        <f>'Filtered Data'!P284</f>
        <v>0</v>
      </c>
      <c r="O285">
        <f>'Filtered Data'!N284</f>
        <v>0</v>
      </c>
      <c r="P285" t="s">
        <v>5669</v>
      </c>
      <c r="Q285" t="str">
        <f>IF('Filtered Data'!W284,"ITHybridCloudEngineeringOperationsMgmt@Marathonpetroleum.com","mark.newman2@dxc.com")</f>
        <v>mark.newman2@dxc.com</v>
      </c>
      <c r="R285">
        <f t="shared" si="10"/>
        <v>0</v>
      </c>
      <c r="S285" s="31" t="s">
        <v>5738</v>
      </c>
      <c r="T285" t="s">
        <v>1381</v>
      </c>
      <c r="U285">
        <f>'Filtered Data'!V284</f>
        <v>0</v>
      </c>
      <c r="V285" t="str">
        <f>IF('Filtered Data'!W284,"yes","no")</f>
        <v>no</v>
      </c>
      <c r="W285" t="s">
        <v>15</v>
      </c>
      <c r="X285">
        <f>'Filtered Data'!X284</f>
        <v>0</v>
      </c>
    </row>
    <row r="286" spans="1:24" x14ac:dyDescent="0.35">
      <c r="A286">
        <f>'Filtered Data'!A285</f>
        <v>0</v>
      </c>
      <c r="B286">
        <f>'Filtered Data'!B285</f>
        <v>0</v>
      </c>
      <c r="C286" t="s">
        <v>2</v>
      </c>
      <c r="D286" t="e">
        <f>VLOOKUP('Filtered Data'!Z285,'Data Mapping'!$A$4:$B$7,2,0)</f>
        <v>#N/A</v>
      </c>
      <c r="E286" t="e">
        <f>VLOOKUP('Filtered Data'!C285,'Data Mapping'!$E$3:$F$97,2,0)</f>
        <v>#N/A</v>
      </c>
      <c r="F286">
        <f>'Filtered Data'!D285</f>
        <v>0</v>
      </c>
      <c r="G286" t="e">
        <f>VLOOKUP('Filtered Data'!E285,'Data Mapping'!$J$3:$K$11,2,0)</f>
        <v>#N/A</v>
      </c>
      <c r="H286">
        <f>'Filtered Data'!F285</f>
        <v>0</v>
      </c>
      <c r="I286" t="s">
        <v>5668</v>
      </c>
      <c r="J286" t="s">
        <v>1609</v>
      </c>
      <c r="K286" t="e">
        <f>VLOOKUP('Filtered Data'!A285,'Input 1 CMDB'!A:I,9,0)</f>
        <v>#N/A</v>
      </c>
      <c r="L286">
        <f>'Filtered Data'!K285</f>
        <v>0</v>
      </c>
      <c r="M286" t="e">
        <f t="shared" si="9"/>
        <v>#VALUE!</v>
      </c>
      <c r="N286">
        <f>'Filtered Data'!P285</f>
        <v>0</v>
      </c>
      <c r="O286">
        <f>'Filtered Data'!N285</f>
        <v>0</v>
      </c>
      <c r="P286" t="s">
        <v>5669</v>
      </c>
      <c r="Q286" t="str">
        <f>IF('Filtered Data'!W285,"ITHybridCloudEngineeringOperationsMgmt@Marathonpetroleum.com","mark.newman2@dxc.com")</f>
        <v>mark.newman2@dxc.com</v>
      </c>
      <c r="R286">
        <f t="shared" si="10"/>
        <v>0</v>
      </c>
      <c r="S286" s="31" t="s">
        <v>5738</v>
      </c>
      <c r="T286" t="s">
        <v>1381</v>
      </c>
      <c r="U286">
        <f>'Filtered Data'!V285</f>
        <v>0</v>
      </c>
      <c r="V286" t="str">
        <f>IF('Filtered Data'!W285,"yes","no")</f>
        <v>no</v>
      </c>
      <c r="W286" t="s">
        <v>15</v>
      </c>
      <c r="X286">
        <f>'Filtered Data'!X285</f>
        <v>0</v>
      </c>
    </row>
    <row r="287" spans="1:24" x14ac:dyDescent="0.35">
      <c r="A287">
        <f>'Filtered Data'!A286</f>
        <v>0</v>
      </c>
      <c r="B287">
        <f>'Filtered Data'!B286</f>
        <v>0</v>
      </c>
      <c r="C287" t="s">
        <v>2</v>
      </c>
      <c r="D287" t="e">
        <f>VLOOKUP('Filtered Data'!Z286,'Data Mapping'!$A$4:$B$7,2,0)</f>
        <v>#N/A</v>
      </c>
      <c r="E287" t="e">
        <f>VLOOKUP('Filtered Data'!C286,'Data Mapping'!$E$3:$F$97,2,0)</f>
        <v>#N/A</v>
      </c>
      <c r="F287">
        <f>'Filtered Data'!D286</f>
        <v>0</v>
      </c>
      <c r="G287" t="e">
        <f>VLOOKUP('Filtered Data'!E286,'Data Mapping'!$J$3:$K$11,2,0)</f>
        <v>#N/A</v>
      </c>
      <c r="H287">
        <f>'Filtered Data'!F286</f>
        <v>0</v>
      </c>
      <c r="I287" t="s">
        <v>5668</v>
      </c>
      <c r="J287" t="s">
        <v>1609</v>
      </c>
      <c r="K287" t="e">
        <f>VLOOKUP('Filtered Data'!A286,'Input 1 CMDB'!A:I,9,0)</f>
        <v>#N/A</v>
      </c>
      <c r="L287">
        <f>'Filtered Data'!K286</f>
        <v>0</v>
      </c>
      <c r="M287" t="e">
        <f t="shared" si="9"/>
        <v>#VALUE!</v>
      </c>
      <c r="N287">
        <f>'Filtered Data'!P286</f>
        <v>0</v>
      </c>
      <c r="O287">
        <f>'Filtered Data'!N286</f>
        <v>0</v>
      </c>
      <c r="P287" t="s">
        <v>5669</v>
      </c>
      <c r="Q287" t="str">
        <f>IF('Filtered Data'!W286,"ITHybridCloudEngineeringOperationsMgmt@Marathonpetroleum.com","mark.newman2@dxc.com")</f>
        <v>mark.newman2@dxc.com</v>
      </c>
      <c r="R287">
        <f t="shared" si="10"/>
        <v>0</v>
      </c>
      <c r="S287" s="31" t="s">
        <v>5738</v>
      </c>
      <c r="T287" t="s">
        <v>1381</v>
      </c>
      <c r="U287">
        <f>'Filtered Data'!V286</f>
        <v>0</v>
      </c>
      <c r="V287" t="str">
        <f>IF('Filtered Data'!W286,"yes","no")</f>
        <v>no</v>
      </c>
      <c r="W287" t="s">
        <v>15</v>
      </c>
      <c r="X287">
        <f>'Filtered Data'!X286</f>
        <v>0</v>
      </c>
    </row>
    <row r="288" spans="1:24" x14ac:dyDescent="0.35">
      <c r="A288">
        <f>'Filtered Data'!A287</f>
        <v>0</v>
      </c>
      <c r="B288">
        <f>'Filtered Data'!B287</f>
        <v>0</v>
      </c>
      <c r="C288" t="s">
        <v>2</v>
      </c>
      <c r="D288" t="e">
        <f>VLOOKUP('Filtered Data'!Z287,'Data Mapping'!$A$4:$B$7,2,0)</f>
        <v>#N/A</v>
      </c>
      <c r="E288" t="e">
        <f>VLOOKUP('Filtered Data'!C287,'Data Mapping'!$E$3:$F$97,2,0)</f>
        <v>#N/A</v>
      </c>
      <c r="F288">
        <f>'Filtered Data'!D287</f>
        <v>0</v>
      </c>
      <c r="G288" t="e">
        <f>VLOOKUP('Filtered Data'!E287,'Data Mapping'!$J$3:$K$11,2,0)</f>
        <v>#N/A</v>
      </c>
      <c r="H288">
        <f>'Filtered Data'!F287</f>
        <v>0</v>
      </c>
      <c r="I288" t="s">
        <v>5668</v>
      </c>
      <c r="J288" t="s">
        <v>1609</v>
      </c>
      <c r="K288" t="e">
        <f>VLOOKUP('Filtered Data'!A287,'Input 1 CMDB'!A:I,9,0)</f>
        <v>#N/A</v>
      </c>
      <c r="L288">
        <f>'Filtered Data'!K287</f>
        <v>0</v>
      </c>
      <c r="M288" t="e">
        <f t="shared" si="9"/>
        <v>#VALUE!</v>
      </c>
      <c r="N288">
        <f>'Filtered Data'!P287</f>
        <v>0</v>
      </c>
      <c r="O288">
        <f>'Filtered Data'!N287</f>
        <v>0</v>
      </c>
      <c r="P288" t="s">
        <v>5669</v>
      </c>
      <c r="Q288" t="str">
        <f>IF('Filtered Data'!W287,"ITHybridCloudEngineeringOperationsMgmt@Marathonpetroleum.com","mark.newman2@dxc.com")</f>
        <v>mark.newman2@dxc.com</v>
      </c>
      <c r="R288">
        <f t="shared" si="10"/>
        <v>0</v>
      </c>
      <c r="S288" s="31" t="s">
        <v>5738</v>
      </c>
      <c r="T288" t="s">
        <v>1381</v>
      </c>
      <c r="U288">
        <f>'Filtered Data'!V287</f>
        <v>0</v>
      </c>
      <c r="V288" t="str">
        <f>IF('Filtered Data'!W287,"yes","no")</f>
        <v>no</v>
      </c>
      <c r="W288" t="s">
        <v>15</v>
      </c>
      <c r="X288">
        <f>'Filtered Data'!X287</f>
        <v>0</v>
      </c>
    </row>
    <row r="289" spans="1:24" x14ac:dyDescent="0.35">
      <c r="A289">
        <f>'Filtered Data'!A288</f>
        <v>0</v>
      </c>
      <c r="B289">
        <f>'Filtered Data'!B288</f>
        <v>0</v>
      </c>
      <c r="C289" t="s">
        <v>2</v>
      </c>
      <c r="D289" t="e">
        <f>VLOOKUP('Filtered Data'!Z288,'Data Mapping'!$A$4:$B$7,2,0)</f>
        <v>#N/A</v>
      </c>
      <c r="E289" t="e">
        <f>VLOOKUP('Filtered Data'!C288,'Data Mapping'!$E$3:$F$97,2,0)</f>
        <v>#N/A</v>
      </c>
      <c r="F289">
        <f>'Filtered Data'!D288</f>
        <v>0</v>
      </c>
      <c r="G289" t="e">
        <f>VLOOKUP('Filtered Data'!E288,'Data Mapping'!$J$3:$K$11,2,0)</f>
        <v>#N/A</v>
      </c>
      <c r="H289">
        <f>'Filtered Data'!F288</f>
        <v>0</v>
      </c>
      <c r="I289" t="s">
        <v>5668</v>
      </c>
      <c r="J289" t="s">
        <v>1609</v>
      </c>
      <c r="K289" t="e">
        <f>VLOOKUP('Filtered Data'!A288,'Input 1 CMDB'!A:I,9,0)</f>
        <v>#N/A</v>
      </c>
      <c r="L289">
        <f>'Filtered Data'!K288</f>
        <v>0</v>
      </c>
      <c r="M289" t="e">
        <f t="shared" si="9"/>
        <v>#VALUE!</v>
      </c>
      <c r="N289">
        <f>'Filtered Data'!P288</f>
        <v>0</v>
      </c>
      <c r="O289">
        <f>'Filtered Data'!N288</f>
        <v>0</v>
      </c>
      <c r="P289" t="s">
        <v>5669</v>
      </c>
      <c r="Q289" t="str">
        <f>IF('Filtered Data'!W288,"ITHybridCloudEngineeringOperationsMgmt@Marathonpetroleum.com","mark.newman2@dxc.com")</f>
        <v>mark.newman2@dxc.com</v>
      </c>
      <c r="R289">
        <f t="shared" si="10"/>
        <v>0</v>
      </c>
      <c r="S289" s="31" t="s">
        <v>5738</v>
      </c>
      <c r="T289" t="s">
        <v>1381</v>
      </c>
      <c r="U289">
        <f>'Filtered Data'!V288</f>
        <v>0</v>
      </c>
      <c r="V289" t="str">
        <f>IF('Filtered Data'!W288,"yes","no")</f>
        <v>no</v>
      </c>
      <c r="W289" t="s">
        <v>15</v>
      </c>
      <c r="X289">
        <f>'Filtered Data'!X288</f>
        <v>0</v>
      </c>
    </row>
    <row r="290" spans="1:24" x14ac:dyDescent="0.35">
      <c r="A290">
        <f>'Filtered Data'!A289</f>
        <v>0</v>
      </c>
      <c r="B290">
        <f>'Filtered Data'!B289</f>
        <v>0</v>
      </c>
      <c r="C290" t="s">
        <v>2</v>
      </c>
      <c r="D290" t="e">
        <f>VLOOKUP('Filtered Data'!Z289,'Data Mapping'!$A$4:$B$7,2,0)</f>
        <v>#N/A</v>
      </c>
      <c r="E290" t="e">
        <f>VLOOKUP('Filtered Data'!C289,'Data Mapping'!$E$3:$F$97,2,0)</f>
        <v>#N/A</v>
      </c>
      <c r="F290">
        <f>'Filtered Data'!D289</f>
        <v>0</v>
      </c>
      <c r="G290" t="e">
        <f>VLOOKUP('Filtered Data'!E289,'Data Mapping'!$J$3:$K$11,2,0)</f>
        <v>#N/A</v>
      </c>
      <c r="H290">
        <f>'Filtered Data'!F289</f>
        <v>0</v>
      </c>
      <c r="I290" t="s">
        <v>5668</v>
      </c>
      <c r="J290" t="s">
        <v>1609</v>
      </c>
      <c r="K290" t="e">
        <f>VLOOKUP('Filtered Data'!A289,'Input 1 CMDB'!A:I,9,0)</f>
        <v>#N/A</v>
      </c>
      <c r="L290">
        <f>'Filtered Data'!K289</f>
        <v>0</v>
      </c>
      <c r="M290" t="e">
        <f t="shared" si="9"/>
        <v>#VALUE!</v>
      </c>
      <c r="N290">
        <f>'Filtered Data'!P289</f>
        <v>0</v>
      </c>
      <c r="O290">
        <f>'Filtered Data'!N289</f>
        <v>0</v>
      </c>
      <c r="P290" t="s">
        <v>5669</v>
      </c>
      <c r="Q290" t="str">
        <f>IF('Filtered Data'!W289,"ITHybridCloudEngineeringOperationsMgmt@Marathonpetroleum.com","mark.newman2@dxc.com")</f>
        <v>mark.newman2@dxc.com</v>
      </c>
      <c r="R290">
        <f t="shared" si="10"/>
        <v>0</v>
      </c>
      <c r="S290" s="31" t="s">
        <v>5738</v>
      </c>
      <c r="T290" t="s">
        <v>1381</v>
      </c>
      <c r="U290">
        <f>'Filtered Data'!V289</f>
        <v>0</v>
      </c>
      <c r="V290" t="str">
        <f>IF('Filtered Data'!W289,"yes","no")</f>
        <v>no</v>
      </c>
      <c r="W290" t="s">
        <v>15</v>
      </c>
      <c r="X290">
        <f>'Filtered Data'!X289</f>
        <v>0</v>
      </c>
    </row>
    <row r="291" spans="1:24" x14ac:dyDescent="0.35">
      <c r="A291">
        <f>'Filtered Data'!A290</f>
        <v>0</v>
      </c>
      <c r="B291">
        <f>'Filtered Data'!B290</f>
        <v>0</v>
      </c>
      <c r="C291" t="s">
        <v>2</v>
      </c>
      <c r="D291" t="e">
        <f>VLOOKUP('Filtered Data'!Z290,'Data Mapping'!$A$4:$B$7,2,0)</f>
        <v>#N/A</v>
      </c>
      <c r="E291" t="e">
        <f>VLOOKUP('Filtered Data'!C290,'Data Mapping'!$E$3:$F$97,2,0)</f>
        <v>#N/A</v>
      </c>
      <c r="F291">
        <f>'Filtered Data'!D290</f>
        <v>0</v>
      </c>
      <c r="G291" t="e">
        <f>VLOOKUP('Filtered Data'!E290,'Data Mapping'!$J$3:$K$11,2,0)</f>
        <v>#N/A</v>
      </c>
      <c r="H291">
        <f>'Filtered Data'!F290</f>
        <v>0</v>
      </c>
      <c r="I291" t="s">
        <v>5668</v>
      </c>
      <c r="J291" t="s">
        <v>1609</v>
      </c>
      <c r="K291" t="e">
        <f>VLOOKUP('Filtered Data'!A290,'Input 1 CMDB'!A:I,9,0)</f>
        <v>#N/A</v>
      </c>
      <c r="L291">
        <f>'Filtered Data'!K290</f>
        <v>0</v>
      </c>
      <c r="M291" t="e">
        <f t="shared" si="9"/>
        <v>#VALUE!</v>
      </c>
      <c r="N291">
        <f>'Filtered Data'!P290</f>
        <v>0</v>
      </c>
      <c r="O291">
        <f>'Filtered Data'!N290</f>
        <v>0</v>
      </c>
      <c r="P291" t="s">
        <v>5669</v>
      </c>
      <c r="Q291" t="str">
        <f>IF('Filtered Data'!W290,"ITHybridCloudEngineeringOperationsMgmt@Marathonpetroleum.com","mark.newman2@dxc.com")</f>
        <v>mark.newman2@dxc.com</v>
      </c>
      <c r="R291">
        <f t="shared" si="10"/>
        <v>0</v>
      </c>
      <c r="S291" s="31" t="s">
        <v>5738</v>
      </c>
      <c r="T291" t="s">
        <v>1381</v>
      </c>
      <c r="U291">
        <f>'Filtered Data'!V290</f>
        <v>0</v>
      </c>
      <c r="V291" t="str">
        <f>IF('Filtered Data'!W290,"yes","no")</f>
        <v>no</v>
      </c>
      <c r="W291" t="s">
        <v>15</v>
      </c>
      <c r="X291">
        <f>'Filtered Data'!X290</f>
        <v>0</v>
      </c>
    </row>
    <row r="292" spans="1:24" x14ac:dyDescent="0.35">
      <c r="A292">
        <f>'Filtered Data'!A291</f>
        <v>0</v>
      </c>
      <c r="B292">
        <f>'Filtered Data'!B291</f>
        <v>0</v>
      </c>
      <c r="C292" t="s">
        <v>2</v>
      </c>
      <c r="D292" t="e">
        <f>VLOOKUP('Filtered Data'!Z291,'Data Mapping'!$A$4:$B$7,2,0)</f>
        <v>#N/A</v>
      </c>
      <c r="E292" t="e">
        <f>VLOOKUP('Filtered Data'!C291,'Data Mapping'!$E$3:$F$97,2,0)</f>
        <v>#N/A</v>
      </c>
      <c r="F292">
        <f>'Filtered Data'!D291</f>
        <v>0</v>
      </c>
      <c r="G292" t="e">
        <f>VLOOKUP('Filtered Data'!E291,'Data Mapping'!$J$3:$K$11,2,0)</f>
        <v>#N/A</v>
      </c>
      <c r="H292">
        <f>'Filtered Data'!F291</f>
        <v>0</v>
      </c>
      <c r="I292" t="s">
        <v>5668</v>
      </c>
      <c r="J292" t="s">
        <v>1609</v>
      </c>
      <c r="K292" t="e">
        <f>VLOOKUP('Filtered Data'!A291,'Input 1 CMDB'!A:I,9,0)</f>
        <v>#N/A</v>
      </c>
      <c r="L292">
        <f>'Filtered Data'!K291</f>
        <v>0</v>
      </c>
      <c r="M292" t="e">
        <f t="shared" si="9"/>
        <v>#VALUE!</v>
      </c>
      <c r="N292">
        <f>'Filtered Data'!P291</f>
        <v>0</v>
      </c>
      <c r="O292">
        <f>'Filtered Data'!N291</f>
        <v>0</v>
      </c>
      <c r="P292" t="s">
        <v>5669</v>
      </c>
      <c r="Q292" t="str">
        <f>IF('Filtered Data'!W291,"ITHybridCloudEngineeringOperationsMgmt@Marathonpetroleum.com","mark.newman2@dxc.com")</f>
        <v>mark.newman2@dxc.com</v>
      </c>
      <c r="R292">
        <f t="shared" si="10"/>
        <v>0</v>
      </c>
      <c r="S292" s="31" t="s">
        <v>5738</v>
      </c>
      <c r="T292" t="s">
        <v>1381</v>
      </c>
      <c r="U292">
        <f>'Filtered Data'!V291</f>
        <v>0</v>
      </c>
      <c r="V292" t="str">
        <f>IF('Filtered Data'!W291,"yes","no")</f>
        <v>no</v>
      </c>
      <c r="W292" t="s">
        <v>15</v>
      </c>
      <c r="X292">
        <f>'Filtered Data'!X291</f>
        <v>0</v>
      </c>
    </row>
    <row r="293" spans="1:24" x14ac:dyDescent="0.35">
      <c r="A293">
        <f>'Filtered Data'!A292</f>
        <v>0</v>
      </c>
      <c r="B293">
        <f>'Filtered Data'!B292</f>
        <v>0</v>
      </c>
      <c r="C293" t="s">
        <v>2</v>
      </c>
      <c r="D293" t="e">
        <f>VLOOKUP('Filtered Data'!Z292,'Data Mapping'!$A$4:$B$7,2,0)</f>
        <v>#N/A</v>
      </c>
      <c r="E293" t="e">
        <f>VLOOKUP('Filtered Data'!C292,'Data Mapping'!$E$3:$F$97,2,0)</f>
        <v>#N/A</v>
      </c>
      <c r="F293">
        <f>'Filtered Data'!D292</f>
        <v>0</v>
      </c>
      <c r="G293" t="e">
        <f>VLOOKUP('Filtered Data'!E292,'Data Mapping'!$J$3:$K$11,2,0)</f>
        <v>#N/A</v>
      </c>
      <c r="H293">
        <f>'Filtered Data'!F292</f>
        <v>0</v>
      </c>
      <c r="I293" t="s">
        <v>5668</v>
      </c>
      <c r="J293" t="s">
        <v>1609</v>
      </c>
      <c r="K293" t="e">
        <f>VLOOKUP('Filtered Data'!A292,'Input 1 CMDB'!A:I,9,0)</f>
        <v>#N/A</v>
      </c>
      <c r="L293">
        <f>'Filtered Data'!K292</f>
        <v>0</v>
      </c>
      <c r="M293" t="e">
        <f t="shared" si="9"/>
        <v>#VALUE!</v>
      </c>
      <c r="N293">
        <f>'Filtered Data'!P292</f>
        <v>0</v>
      </c>
      <c r="O293">
        <f>'Filtered Data'!N292</f>
        <v>0</v>
      </c>
      <c r="P293" t="s">
        <v>5669</v>
      </c>
      <c r="Q293" t="str">
        <f>IF('Filtered Data'!W292,"ITHybridCloudEngineeringOperationsMgmt@Marathonpetroleum.com","mark.newman2@dxc.com")</f>
        <v>mark.newman2@dxc.com</v>
      </c>
      <c r="R293">
        <f t="shared" si="10"/>
        <v>0</v>
      </c>
      <c r="S293" s="31" t="s">
        <v>5738</v>
      </c>
      <c r="T293" t="s">
        <v>1381</v>
      </c>
      <c r="U293">
        <f>'Filtered Data'!V292</f>
        <v>0</v>
      </c>
      <c r="V293" t="str">
        <f>IF('Filtered Data'!W292,"yes","no")</f>
        <v>no</v>
      </c>
      <c r="W293" t="s">
        <v>15</v>
      </c>
      <c r="X293">
        <f>'Filtered Data'!X292</f>
        <v>0</v>
      </c>
    </row>
    <row r="294" spans="1:24" x14ac:dyDescent="0.35">
      <c r="A294">
        <f>'Filtered Data'!A293</f>
        <v>0</v>
      </c>
      <c r="B294">
        <f>'Filtered Data'!B293</f>
        <v>0</v>
      </c>
      <c r="C294" t="s">
        <v>2</v>
      </c>
      <c r="D294" t="e">
        <f>VLOOKUP('Filtered Data'!Z293,'Data Mapping'!$A$4:$B$7,2,0)</f>
        <v>#N/A</v>
      </c>
      <c r="E294" t="e">
        <f>VLOOKUP('Filtered Data'!C293,'Data Mapping'!$E$3:$F$97,2,0)</f>
        <v>#N/A</v>
      </c>
      <c r="F294">
        <f>'Filtered Data'!D293</f>
        <v>0</v>
      </c>
      <c r="G294" t="e">
        <f>VLOOKUP('Filtered Data'!E293,'Data Mapping'!$J$3:$K$11,2,0)</f>
        <v>#N/A</v>
      </c>
      <c r="H294">
        <f>'Filtered Data'!F293</f>
        <v>0</v>
      </c>
      <c r="I294" t="s">
        <v>5668</v>
      </c>
      <c r="J294" t="s">
        <v>1609</v>
      </c>
      <c r="K294" t="e">
        <f>VLOOKUP('Filtered Data'!A293,'Input 1 CMDB'!A:I,9,0)</f>
        <v>#N/A</v>
      </c>
      <c r="L294">
        <f>'Filtered Data'!K293</f>
        <v>0</v>
      </c>
      <c r="M294" t="e">
        <f t="shared" si="9"/>
        <v>#VALUE!</v>
      </c>
      <c r="N294">
        <f>'Filtered Data'!P293</f>
        <v>0</v>
      </c>
      <c r="O294">
        <f>'Filtered Data'!N293</f>
        <v>0</v>
      </c>
      <c r="P294" t="s">
        <v>5669</v>
      </c>
      <c r="Q294" t="str">
        <f>IF('Filtered Data'!W293,"ITHybridCloudEngineeringOperationsMgmt@Marathonpetroleum.com","mark.newman2@dxc.com")</f>
        <v>mark.newman2@dxc.com</v>
      </c>
      <c r="R294">
        <f t="shared" si="10"/>
        <v>0</v>
      </c>
      <c r="S294" s="31" t="s">
        <v>5738</v>
      </c>
      <c r="T294" t="s">
        <v>1381</v>
      </c>
      <c r="U294">
        <f>'Filtered Data'!V293</f>
        <v>0</v>
      </c>
      <c r="V294" t="str">
        <f>IF('Filtered Data'!W293,"yes","no")</f>
        <v>no</v>
      </c>
      <c r="W294" t="s">
        <v>15</v>
      </c>
      <c r="X294">
        <f>'Filtered Data'!X293</f>
        <v>0</v>
      </c>
    </row>
    <row r="295" spans="1:24" x14ac:dyDescent="0.35">
      <c r="A295">
        <f>'Filtered Data'!A294</f>
        <v>0</v>
      </c>
      <c r="B295">
        <f>'Filtered Data'!B294</f>
        <v>0</v>
      </c>
      <c r="C295" t="s">
        <v>2</v>
      </c>
      <c r="D295" t="e">
        <f>VLOOKUP('Filtered Data'!Z294,'Data Mapping'!$A$4:$B$7,2,0)</f>
        <v>#N/A</v>
      </c>
      <c r="E295" t="e">
        <f>VLOOKUP('Filtered Data'!C294,'Data Mapping'!$E$3:$F$97,2,0)</f>
        <v>#N/A</v>
      </c>
      <c r="F295">
        <f>'Filtered Data'!D294</f>
        <v>0</v>
      </c>
      <c r="G295" t="e">
        <f>VLOOKUP('Filtered Data'!E294,'Data Mapping'!$J$3:$K$11,2,0)</f>
        <v>#N/A</v>
      </c>
      <c r="H295">
        <f>'Filtered Data'!F294</f>
        <v>0</v>
      </c>
      <c r="I295" t="s">
        <v>5668</v>
      </c>
      <c r="J295" t="s">
        <v>1609</v>
      </c>
      <c r="K295" t="e">
        <f>VLOOKUP('Filtered Data'!A294,'Input 1 CMDB'!A:I,9,0)</f>
        <v>#N/A</v>
      </c>
      <c r="L295">
        <f>'Filtered Data'!K294</f>
        <v>0</v>
      </c>
      <c r="M295" t="e">
        <f t="shared" ref="M295:M358" si="11">MID(B295,FIND(".",B295)+1,(LEN(B295)-FIND(".",B295)))</f>
        <v>#VALUE!</v>
      </c>
      <c r="N295">
        <f>'Filtered Data'!P294</f>
        <v>0</v>
      </c>
      <c r="O295">
        <f>'Filtered Data'!N294</f>
        <v>0</v>
      </c>
      <c r="P295" t="s">
        <v>5669</v>
      </c>
      <c r="Q295" t="str">
        <f>IF('Filtered Data'!W294,"ITHybridCloudEngineeringOperationsMgmt@Marathonpetroleum.com","mark.newman2@dxc.com")</f>
        <v>mark.newman2@dxc.com</v>
      </c>
      <c r="R295">
        <f t="shared" ref="R295:R358" si="12">N295</f>
        <v>0</v>
      </c>
      <c r="S295" s="31" t="s">
        <v>5738</v>
      </c>
      <c r="T295" t="s">
        <v>1381</v>
      </c>
      <c r="U295">
        <f>'Filtered Data'!V294</f>
        <v>0</v>
      </c>
      <c r="V295" t="str">
        <f>IF('Filtered Data'!W294,"yes","no")</f>
        <v>no</v>
      </c>
      <c r="W295" t="s">
        <v>15</v>
      </c>
      <c r="X295">
        <f>'Filtered Data'!X294</f>
        <v>0</v>
      </c>
    </row>
    <row r="296" spans="1:24" x14ac:dyDescent="0.35">
      <c r="A296">
        <f>'Filtered Data'!A295</f>
        <v>0</v>
      </c>
      <c r="B296">
        <f>'Filtered Data'!B295</f>
        <v>0</v>
      </c>
      <c r="C296" t="s">
        <v>2</v>
      </c>
      <c r="D296" t="e">
        <f>VLOOKUP('Filtered Data'!Z295,'Data Mapping'!$A$4:$B$7,2,0)</f>
        <v>#N/A</v>
      </c>
      <c r="E296" t="e">
        <f>VLOOKUP('Filtered Data'!C295,'Data Mapping'!$E$3:$F$97,2,0)</f>
        <v>#N/A</v>
      </c>
      <c r="F296">
        <f>'Filtered Data'!D295</f>
        <v>0</v>
      </c>
      <c r="G296" t="e">
        <f>VLOOKUP('Filtered Data'!E295,'Data Mapping'!$J$3:$K$11,2,0)</f>
        <v>#N/A</v>
      </c>
      <c r="H296">
        <f>'Filtered Data'!F295</f>
        <v>0</v>
      </c>
      <c r="I296" t="s">
        <v>5668</v>
      </c>
      <c r="J296" t="s">
        <v>1609</v>
      </c>
      <c r="K296" t="e">
        <f>VLOOKUP('Filtered Data'!A295,'Input 1 CMDB'!A:I,9,0)</f>
        <v>#N/A</v>
      </c>
      <c r="L296">
        <f>'Filtered Data'!K295</f>
        <v>0</v>
      </c>
      <c r="M296" t="e">
        <f t="shared" si="11"/>
        <v>#VALUE!</v>
      </c>
      <c r="N296">
        <f>'Filtered Data'!P295</f>
        <v>0</v>
      </c>
      <c r="O296">
        <f>'Filtered Data'!N295</f>
        <v>0</v>
      </c>
      <c r="P296" t="s">
        <v>5669</v>
      </c>
      <c r="Q296" t="str">
        <f>IF('Filtered Data'!W295,"ITHybridCloudEngineeringOperationsMgmt@Marathonpetroleum.com","mark.newman2@dxc.com")</f>
        <v>mark.newman2@dxc.com</v>
      </c>
      <c r="R296">
        <f t="shared" si="12"/>
        <v>0</v>
      </c>
      <c r="S296" s="31" t="s">
        <v>5738</v>
      </c>
      <c r="T296" t="s">
        <v>1381</v>
      </c>
      <c r="U296">
        <f>'Filtered Data'!V295</f>
        <v>0</v>
      </c>
      <c r="V296" t="str">
        <f>IF('Filtered Data'!W295,"yes","no")</f>
        <v>no</v>
      </c>
      <c r="W296" t="s">
        <v>15</v>
      </c>
      <c r="X296">
        <f>'Filtered Data'!X295</f>
        <v>0</v>
      </c>
    </row>
    <row r="297" spans="1:24" x14ac:dyDescent="0.35">
      <c r="A297">
        <f>'Filtered Data'!A296</f>
        <v>0</v>
      </c>
      <c r="B297">
        <f>'Filtered Data'!B296</f>
        <v>0</v>
      </c>
      <c r="C297" t="s">
        <v>2</v>
      </c>
      <c r="D297" t="e">
        <f>VLOOKUP('Filtered Data'!Z296,'Data Mapping'!$A$4:$B$7,2,0)</f>
        <v>#N/A</v>
      </c>
      <c r="E297" t="e">
        <f>VLOOKUP('Filtered Data'!C296,'Data Mapping'!$E$3:$F$97,2,0)</f>
        <v>#N/A</v>
      </c>
      <c r="F297">
        <f>'Filtered Data'!D296</f>
        <v>0</v>
      </c>
      <c r="G297" t="e">
        <f>VLOOKUP('Filtered Data'!E296,'Data Mapping'!$J$3:$K$11,2,0)</f>
        <v>#N/A</v>
      </c>
      <c r="H297">
        <f>'Filtered Data'!F296</f>
        <v>0</v>
      </c>
      <c r="I297" t="s">
        <v>5668</v>
      </c>
      <c r="J297" t="s">
        <v>1609</v>
      </c>
      <c r="K297" t="e">
        <f>VLOOKUP('Filtered Data'!A296,'Input 1 CMDB'!A:I,9,0)</f>
        <v>#N/A</v>
      </c>
      <c r="L297">
        <f>'Filtered Data'!K296</f>
        <v>0</v>
      </c>
      <c r="M297" t="e">
        <f t="shared" si="11"/>
        <v>#VALUE!</v>
      </c>
      <c r="N297">
        <f>'Filtered Data'!P296</f>
        <v>0</v>
      </c>
      <c r="O297">
        <f>'Filtered Data'!N296</f>
        <v>0</v>
      </c>
      <c r="P297" t="s">
        <v>5669</v>
      </c>
      <c r="Q297" t="str">
        <f>IF('Filtered Data'!W296,"ITHybridCloudEngineeringOperationsMgmt@Marathonpetroleum.com","mark.newman2@dxc.com")</f>
        <v>mark.newman2@dxc.com</v>
      </c>
      <c r="R297">
        <f t="shared" si="12"/>
        <v>0</v>
      </c>
      <c r="S297" s="31" t="s">
        <v>5738</v>
      </c>
      <c r="T297" t="s">
        <v>1381</v>
      </c>
      <c r="U297">
        <f>'Filtered Data'!V296</f>
        <v>0</v>
      </c>
      <c r="V297" t="str">
        <f>IF('Filtered Data'!W296,"yes","no")</f>
        <v>no</v>
      </c>
      <c r="W297" t="s">
        <v>15</v>
      </c>
      <c r="X297">
        <f>'Filtered Data'!X296</f>
        <v>0</v>
      </c>
    </row>
    <row r="298" spans="1:24" x14ac:dyDescent="0.35">
      <c r="A298">
        <f>'Filtered Data'!A297</f>
        <v>0</v>
      </c>
      <c r="B298">
        <f>'Filtered Data'!B297</f>
        <v>0</v>
      </c>
      <c r="C298" t="s">
        <v>2</v>
      </c>
      <c r="D298" t="e">
        <f>VLOOKUP('Filtered Data'!Z297,'Data Mapping'!$A$4:$B$7,2,0)</f>
        <v>#N/A</v>
      </c>
      <c r="E298" t="e">
        <f>VLOOKUP('Filtered Data'!C297,'Data Mapping'!$E$3:$F$97,2,0)</f>
        <v>#N/A</v>
      </c>
      <c r="F298">
        <f>'Filtered Data'!D297</f>
        <v>0</v>
      </c>
      <c r="G298" t="e">
        <f>VLOOKUP('Filtered Data'!E297,'Data Mapping'!$J$3:$K$11,2,0)</f>
        <v>#N/A</v>
      </c>
      <c r="H298">
        <f>'Filtered Data'!F297</f>
        <v>0</v>
      </c>
      <c r="I298" t="s">
        <v>5668</v>
      </c>
      <c r="J298" t="s">
        <v>1609</v>
      </c>
      <c r="K298" t="e">
        <f>VLOOKUP('Filtered Data'!A297,'Input 1 CMDB'!A:I,9,0)</f>
        <v>#N/A</v>
      </c>
      <c r="L298">
        <f>'Filtered Data'!K297</f>
        <v>0</v>
      </c>
      <c r="M298" t="e">
        <f t="shared" si="11"/>
        <v>#VALUE!</v>
      </c>
      <c r="N298">
        <f>'Filtered Data'!P297</f>
        <v>0</v>
      </c>
      <c r="O298">
        <f>'Filtered Data'!N297</f>
        <v>0</v>
      </c>
      <c r="P298" t="s">
        <v>5669</v>
      </c>
      <c r="Q298" t="str">
        <f>IF('Filtered Data'!W297,"ITHybridCloudEngineeringOperationsMgmt@Marathonpetroleum.com","mark.newman2@dxc.com")</f>
        <v>mark.newman2@dxc.com</v>
      </c>
      <c r="R298">
        <f t="shared" si="12"/>
        <v>0</v>
      </c>
      <c r="S298" s="31" t="s">
        <v>5738</v>
      </c>
      <c r="T298" t="s">
        <v>1381</v>
      </c>
      <c r="U298">
        <f>'Filtered Data'!V297</f>
        <v>0</v>
      </c>
      <c r="V298" t="str">
        <f>IF('Filtered Data'!W297,"yes","no")</f>
        <v>no</v>
      </c>
      <c r="W298" t="s">
        <v>15</v>
      </c>
      <c r="X298">
        <f>'Filtered Data'!X297</f>
        <v>0</v>
      </c>
    </row>
    <row r="299" spans="1:24" x14ac:dyDescent="0.35">
      <c r="A299">
        <f>'Filtered Data'!A298</f>
        <v>0</v>
      </c>
      <c r="B299">
        <f>'Filtered Data'!B298</f>
        <v>0</v>
      </c>
      <c r="C299" t="s">
        <v>2</v>
      </c>
      <c r="D299" t="e">
        <f>VLOOKUP('Filtered Data'!Z298,'Data Mapping'!$A$4:$B$7,2,0)</f>
        <v>#N/A</v>
      </c>
      <c r="E299" t="e">
        <f>VLOOKUP('Filtered Data'!C298,'Data Mapping'!$E$3:$F$97,2,0)</f>
        <v>#N/A</v>
      </c>
      <c r="F299">
        <f>'Filtered Data'!D298</f>
        <v>0</v>
      </c>
      <c r="G299" t="e">
        <f>VLOOKUP('Filtered Data'!E298,'Data Mapping'!$J$3:$K$11,2,0)</f>
        <v>#N/A</v>
      </c>
      <c r="H299">
        <f>'Filtered Data'!F298</f>
        <v>0</v>
      </c>
      <c r="I299" t="s">
        <v>5668</v>
      </c>
      <c r="J299" t="s">
        <v>1609</v>
      </c>
      <c r="K299" t="e">
        <f>VLOOKUP('Filtered Data'!A298,'Input 1 CMDB'!A:I,9,0)</f>
        <v>#N/A</v>
      </c>
      <c r="L299">
        <f>'Filtered Data'!K298</f>
        <v>0</v>
      </c>
      <c r="M299" t="e">
        <f t="shared" si="11"/>
        <v>#VALUE!</v>
      </c>
      <c r="N299">
        <f>'Filtered Data'!P298</f>
        <v>0</v>
      </c>
      <c r="O299">
        <f>'Filtered Data'!N298</f>
        <v>0</v>
      </c>
      <c r="P299" t="s">
        <v>5669</v>
      </c>
      <c r="Q299" t="str">
        <f>IF('Filtered Data'!W298,"ITHybridCloudEngineeringOperationsMgmt@Marathonpetroleum.com","mark.newman2@dxc.com")</f>
        <v>mark.newman2@dxc.com</v>
      </c>
      <c r="R299">
        <f t="shared" si="12"/>
        <v>0</v>
      </c>
      <c r="S299" s="31" t="s">
        <v>5738</v>
      </c>
      <c r="T299" t="s">
        <v>1381</v>
      </c>
      <c r="U299">
        <f>'Filtered Data'!V298</f>
        <v>0</v>
      </c>
      <c r="V299" t="str">
        <f>IF('Filtered Data'!W298,"yes","no")</f>
        <v>no</v>
      </c>
      <c r="W299" t="s">
        <v>15</v>
      </c>
      <c r="X299">
        <f>'Filtered Data'!X298</f>
        <v>0</v>
      </c>
    </row>
    <row r="300" spans="1:24" x14ac:dyDescent="0.35">
      <c r="A300">
        <f>'Filtered Data'!A299</f>
        <v>0</v>
      </c>
      <c r="B300">
        <f>'Filtered Data'!B299</f>
        <v>0</v>
      </c>
      <c r="C300" t="s">
        <v>2</v>
      </c>
      <c r="D300" t="e">
        <f>VLOOKUP('Filtered Data'!Z299,'Data Mapping'!$A$4:$B$7,2,0)</f>
        <v>#N/A</v>
      </c>
      <c r="E300" t="e">
        <f>VLOOKUP('Filtered Data'!C299,'Data Mapping'!$E$3:$F$97,2,0)</f>
        <v>#N/A</v>
      </c>
      <c r="F300">
        <f>'Filtered Data'!D299</f>
        <v>0</v>
      </c>
      <c r="G300" t="e">
        <f>VLOOKUP('Filtered Data'!E299,'Data Mapping'!$J$3:$K$11,2,0)</f>
        <v>#N/A</v>
      </c>
      <c r="H300">
        <f>'Filtered Data'!F299</f>
        <v>0</v>
      </c>
      <c r="I300" t="s">
        <v>5668</v>
      </c>
      <c r="J300" t="s">
        <v>1609</v>
      </c>
      <c r="K300" t="e">
        <f>VLOOKUP('Filtered Data'!A299,'Input 1 CMDB'!A:I,9,0)</f>
        <v>#N/A</v>
      </c>
      <c r="L300">
        <f>'Filtered Data'!K299</f>
        <v>0</v>
      </c>
      <c r="M300" t="e">
        <f t="shared" si="11"/>
        <v>#VALUE!</v>
      </c>
      <c r="N300">
        <f>'Filtered Data'!P299</f>
        <v>0</v>
      </c>
      <c r="O300">
        <f>'Filtered Data'!N299</f>
        <v>0</v>
      </c>
      <c r="P300" t="s">
        <v>5669</v>
      </c>
      <c r="Q300" t="str">
        <f>IF('Filtered Data'!W299,"ITHybridCloudEngineeringOperationsMgmt@Marathonpetroleum.com","mark.newman2@dxc.com")</f>
        <v>mark.newman2@dxc.com</v>
      </c>
      <c r="R300">
        <f t="shared" si="12"/>
        <v>0</v>
      </c>
      <c r="S300" s="31" t="s">
        <v>5738</v>
      </c>
      <c r="T300" t="s">
        <v>1381</v>
      </c>
      <c r="U300">
        <f>'Filtered Data'!V299</f>
        <v>0</v>
      </c>
      <c r="V300" t="str">
        <f>IF('Filtered Data'!W299,"yes","no")</f>
        <v>no</v>
      </c>
      <c r="W300" t="s">
        <v>15</v>
      </c>
      <c r="X300">
        <f>'Filtered Data'!X299</f>
        <v>0</v>
      </c>
    </row>
    <row r="301" spans="1:24" x14ac:dyDescent="0.35">
      <c r="A301">
        <f>'Filtered Data'!A300</f>
        <v>0</v>
      </c>
      <c r="B301">
        <f>'Filtered Data'!B300</f>
        <v>0</v>
      </c>
      <c r="C301" t="s">
        <v>2</v>
      </c>
      <c r="D301" t="e">
        <f>VLOOKUP('Filtered Data'!Z300,'Data Mapping'!$A$4:$B$7,2,0)</f>
        <v>#N/A</v>
      </c>
      <c r="E301" t="e">
        <f>VLOOKUP('Filtered Data'!C300,'Data Mapping'!$E$3:$F$97,2,0)</f>
        <v>#N/A</v>
      </c>
      <c r="F301">
        <f>'Filtered Data'!D300</f>
        <v>0</v>
      </c>
      <c r="G301" t="e">
        <f>VLOOKUP('Filtered Data'!E300,'Data Mapping'!$J$3:$K$11,2,0)</f>
        <v>#N/A</v>
      </c>
      <c r="H301">
        <f>'Filtered Data'!F300</f>
        <v>0</v>
      </c>
      <c r="I301" t="s">
        <v>5668</v>
      </c>
      <c r="J301" t="s">
        <v>1609</v>
      </c>
      <c r="K301" t="e">
        <f>VLOOKUP('Filtered Data'!A300,'Input 1 CMDB'!A:I,9,0)</f>
        <v>#N/A</v>
      </c>
      <c r="L301">
        <f>'Filtered Data'!K300</f>
        <v>0</v>
      </c>
      <c r="M301" t="e">
        <f t="shared" si="11"/>
        <v>#VALUE!</v>
      </c>
      <c r="N301">
        <f>'Filtered Data'!P300</f>
        <v>0</v>
      </c>
      <c r="O301">
        <f>'Filtered Data'!N300</f>
        <v>0</v>
      </c>
      <c r="P301" t="s">
        <v>5669</v>
      </c>
      <c r="Q301" t="str">
        <f>IF('Filtered Data'!W300,"ITHybridCloudEngineeringOperationsMgmt@Marathonpetroleum.com","mark.newman2@dxc.com")</f>
        <v>mark.newman2@dxc.com</v>
      </c>
      <c r="R301">
        <f t="shared" si="12"/>
        <v>0</v>
      </c>
      <c r="S301" s="31" t="s">
        <v>5738</v>
      </c>
      <c r="T301" t="s">
        <v>1381</v>
      </c>
      <c r="U301">
        <f>'Filtered Data'!V300</f>
        <v>0</v>
      </c>
      <c r="V301" t="str">
        <f>IF('Filtered Data'!W300,"yes","no")</f>
        <v>no</v>
      </c>
      <c r="W301" t="s">
        <v>15</v>
      </c>
      <c r="X301">
        <f>'Filtered Data'!X300</f>
        <v>0</v>
      </c>
    </row>
    <row r="302" spans="1:24" x14ac:dyDescent="0.35">
      <c r="A302">
        <f>'Filtered Data'!A301</f>
        <v>0</v>
      </c>
      <c r="B302">
        <f>'Filtered Data'!B301</f>
        <v>0</v>
      </c>
      <c r="C302" t="s">
        <v>2</v>
      </c>
      <c r="D302" t="e">
        <f>VLOOKUP('Filtered Data'!Z301,'Data Mapping'!$A$4:$B$7,2,0)</f>
        <v>#N/A</v>
      </c>
      <c r="E302" t="e">
        <f>VLOOKUP('Filtered Data'!C301,'Data Mapping'!$E$3:$F$97,2,0)</f>
        <v>#N/A</v>
      </c>
      <c r="F302">
        <f>'Filtered Data'!D301</f>
        <v>0</v>
      </c>
      <c r="G302" t="e">
        <f>VLOOKUP('Filtered Data'!E301,'Data Mapping'!$J$3:$K$11,2,0)</f>
        <v>#N/A</v>
      </c>
      <c r="H302">
        <f>'Filtered Data'!F301</f>
        <v>0</v>
      </c>
      <c r="I302" t="s">
        <v>5668</v>
      </c>
      <c r="J302" t="s">
        <v>1609</v>
      </c>
      <c r="K302" t="e">
        <f>VLOOKUP('Filtered Data'!A301,'Input 1 CMDB'!A:I,9,0)</f>
        <v>#N/A</v>
      </c>
      <c r="L302">
        <f>'Filtered Data'!K301</f>
        <v>0</v>
      </c>
      <c r="M302" t="e">
        <f t="shared" si="11"/>
        <v>#VALUE!</v>
      </c>
      <c r="N302">
        <f>'Filtered Data'!P301</f>
        <v>0</v>
      </c>
      <c r="O302">
        <f>'Filtered Data'!N301</f>
        <v>0</v>
      </c>
      <c r="P302" t="s">
        <v>5669</v>
      </c>
      <c r="Q302" t="str">
        <f>IF('Filtered Data'!W301,"ITHybridCloudEngineeringOperationsMgmt@Marathonpetroleum.com","mark.newman2@dxc.com")</f>
        <v>mark.newman2@dxc.com</v>
      </c>
      <c r="R302">
        <f t="shared" si="12"/>
        <v>0</v>
      </c>
      <c r="S302" s="31" t="s">
        <v>5738</v>
      </c>
      <c r="T302" t="s">
        <v>1381</v>
      </c>
      <c r="U302">
        <f>'Filtered Data'!V301</f>
        <v>0</v>
      </c>
      <c r="V302" t="str">
        <f>IF('Filtered Data'!W301,"yes","no")</f>
        <v>no</v>
      </c>
      <c r="W302" t="s">
        <v>15</v>
      </c>
      <c r="X302">
        <f>'Filtered Data'!X301</f>
        <v>0</v>
      </c>
    </row>
    <row r="303" spans="1:24" x14ac:dyDescent="0.35">
      <c r="A303">
        <f>'Filtered Data'!A302</f>
        <v>0</v>
      </c>
      <c r="B303">
        <f>'Filtered Data'!B302</f>
        <v>0</v>
      </c>
      <c r="C303" t="s">
        <v>2</v>
      </c>
      <c r="D303" t="e">
        <f>VLOOKUP('Filtered Data'!Z302,'Data Mapping'!$A$4:$B$7,2,0)</f>
        <v>#N/A</v>
      </c>
      <c r="E303" t="e">
        <f>VLOOKUP('Filtered Data'!C302,'Data Mapping'!$E$3:$F$97,2,0)</f>
        <v>#N/A</v>
      </c>
      <c r="F303">
        <f>'Filtered Data'!D302</f>
        <v>0</v>
      </c>
      <c r="G303" t="e">
        <f>VLOOKUP('Filtered Data'!E302,'Data Mapping'!$J$3:$K$11,2,0)</f>
        <v>#N/A</v>
      </c>
      <c r="H303">
        <f>'Filtered Data'!F302</f>
        <v>0</v>
      </c>
      <c r="I303" t="s">
        <v>5668</v>
      </c>
      <c r="J303" t="s">
        <v>1609</v>
      </c>
      <c r="K303" t="e">
        <f>VLOOKUP('Filtered Data'!A302,'Input 1 CMDB'!A:I,9,0)</f>
        <v>#N/A</v>
      </c>
      <c r="L303">
        <f>'Filtered Data'!K302</f>
        <v>0</v>
      </c>
      <c r="M303" t="e">
        <f t="shared" si="11"/>
        <v>#VALUE!</v>
      </c>
      <c r="N303">
        <f>'Filtered Data'!P302</f>
        <v>0</v>
      </c>
      <c r="O303">
        <f>'Filtered Data'!N302</f>
        <v>0</v>
      </c>
      <c r="P303" t="s">
        <v>5669</v>
      </c>
      <c r="Q303" t="str">
        <f>IF('Filtered Data'!W302,"ITHybridCloudEngineeringOperationsMgmt@Marathonpetroleum.com","mark.newman2@dxc.com")</f>
        <v>mark.newman2@dxc.com</v>
      </c>
      <c r="R303">
        <f t="shared" si="12"/>
        <v>0</v>
      </c>
      <c r="S303" s="31" t="s">
        <v>5738</v>
      </c>
      <c r="T303" t="s">
        <v>1381</v>
      </c>
      <c r="U303">
        <f>'Filtered Data'!V302</f>
        <v>0</v>
      </c>
      <c r="V303" t="str">
        <f>IF('Filtered Data'!W302,"yes","no")</f>
        <v>no</v>
      </c>
      <c r="W303" t="s">
        <v>15</v>
      </c>
      <c r="X303">
        <f>'Filtered Data'!X302</f>
        <v>0</v>
      </c>
    </row>
    <row r="304" spans="1:24" x14ac:dyDescent="0.35">
      <c r="A304">
        <f>'Filtered Data'!A303</f>
        <v>0</v>
      </c>
      <c r="B304">
        <f>'Filtered Data'!B303</f>
        <v>0</v>
      </c>
      <c r="C304" t="s">
        <v>2</v>
      </c>
      <c r="D304" t="e">
        <f>VLOOKUP('Filtered Data'!Z303,'Data Mapping'!$A$4:$B$7,2,0)</f>
        <v>#N/A</v>
      </c>
      <c r="E304" t="e">
        <f>VLOOKUP('Filtered Data'!C303,'Data Mapping'!$E$3:$F$97,2,0)</f>
        <v>#N/A</v>
      </c>
      <c r="F304">
        <f>'Filtered Data'!D303</f>
        <v>0</v>
      </c>
      <c r="G304" t="e">
        <f>VLOOKUP('Filtered Data'!E303,'Data Mapping'!$J$3:$K$11,2,0)</f>
        <v>#N/A</v>
      </c>
      <c r="H304">
        <f>'Filtered Data'!F303</f>
        <v>0</v>
      </c>
      <c r="I304" t="s">
        <v>5668</v>
      </c>
      <c r="J304" t="s">
        <v>1609</v>
      </c>
      <c r="K304" t="e">
        <f>VLOOKUP('Filtered Data'!A303,'Input 1 CMDB'!A:I,9,0)</f>
        <v>#N/A</v>
      </c>
      <c r="L304">
        <f>'Filtered Data'!K303</f>
        <v>0</v>
      </c>
      <c r="M304" t="e">
        <f t="shared" si="11"/>
        <v>#VALUE!</v>
      </c>
      <c r="N304">
        <f>'Filtered Data'!P303</f>
        <v>0</v>
      </c>
      <c r="O304">
        <f>'Filtered Data'!N303</f>
        <v>0</v>
      </c>
      <c r="P304" t="s">
        <v>5669</v>
      </c>
      <c r="Q304" t="str">
        <f>IF('Filtered Data'!W303,"ITHybridCloudEngineeringOperationsMgmt@Marathonpetroleum.com","mark.newman2@dxc.com")</f>
        <v>mark.newman2@dxc.com</v>
      </c>
      <c r="R304">
        <f t="shared" si="12"/>
        <v>0</v>
      </c>
      <c r="S304" s="31" t="s">
        <v>5738</v>
      </c>
      <c r="T304" t="s">
        <v>1381</v>
      </c>
      <c r="U304">
        <f>'Filtered Data'!V303</f>
        <v>0</v>
      </c>
      <c r="V304" t="str">
        <f>IF('Filtered Data'!W303,"yes","no")</f>
        <v>no</v>
      </c>
      <c r="W304" t="s">
        <v>15</v>
      </c>
      <c r="X304">
        <f>'Filtered Data'!X303</f>
        <v>0</v>
      </c>
    </row>
    <row r="305" spans="1:24" x14ac:dyDescent="0.35">
      <c r="A305">
        <f>'Filtered Data'!A304</f>
        <v>0</v>
      </c>
      <c r="B305">
        <f>'Filtered Data'!B304</f>
        <v>0</v>
      </c>
      <c r="C305" t="s">
        <v>2</v>
      </c>
      <c r="D305" t="e">
        <f>VLOOKUP('Filtered Data'!Z304,'Data Mapping'!$A$4:$B$7,2,0)</f>
        <v>#N/A</v>
      </c>
      <c r="E305" t="e">
        <f>VLOOKUP('Filtered Data'!C304,'Data Mapping'!$E$3:$F$97,2,0)</f>
        <v>#N/A</v>
      </c>
      <c r="F305">
        <f>'Filtered Data'!D304</f>
        <v>0</v>
      </c>
      <c r="G305" t="e">
        <f>VLOOKUP('Filtered Data'!E304,'Data Mapping'!$J$3:$K$11,2,0)</f>
        <v>#N/A</v>
      </c>
      <c r="H305">
        <f>'Filtered Data'!F304</f>
        <v>0</v>
      </c>
      <c r="I305" t="s">
        <v>5668</v>
      </c>
      <c r="J305" t="s">
        <v>1609</v>
      </c>
      <c r="K305" t="e">
        <f>VLOOKUP('Filtered Data'!A304,'Input 1 CMDB'!A:I,9,0)</f>
        <v>#N/A</v>
      </c>
      <c r="L305">
        <f>'Filtered Data'!K304</f>
        <v>0</v>
      </c>
      <c r="M305" t="e">
        <f t="shared" si="11"/>
        <v>#VALUE!</v>
      </c>
      <c r="N305">
        <f>'Filtered Data'!P304</f>
        <v>0</v>
      </c>
      <c r="O305">
        <f>'Filtered Data'!N304</f>
        <v>0</v>
      </c>
      <c r="P305" t="s">
        <v>5669</v>
      </c>
      <c r="Q305" t="str">
        <f>IF('Filtered Data'!W304,"ITHybridCloudEngineeringOperationsMgmt@Marathonpetroleum.com","mark.newman2@dxc.com")</f>
        <v>mark.newman2@dxc.com</v>
      </c>
      <c r="R305">
        <f t="shared" si="12"/>
        <v>0</v>
      </c>
      <c r="S305" s="31" t="s">
        <v>5738</v>
      </c>
      <c r="T305" t="s">
        <v>1381</v>
      </c>
      <c r="U305">
        <f>'Filtered Data'!V304</f>
        <v>0</v>
      </c>
      <c r="V305" t="str">
        <f>IF('Filtered Data'!W304,"yes","no")</f>
        <v>no</v>
      </c>
      <c r="W305" t="s">
        <v>15</v>
      </c>
      <c r="X305">
        <f>'Filtered Data'!X304</f>
        <v>0</v>
      </c>
    </row>
    <row r="306" spans="1:24" x14ac:dyDescent="0.35">
      <c r="A306">
        <f>'Filtered Data'!A305</f>
        <v>0</v>
      </c>
      <c r="B306">
        <f>'Filtered Data'!B305</f>
        <v>0</v>
      </c>
      <c r="C306" t="s">
        <v>2</v>
      </c>
      <c r="D306" t="e">
        <f>VLOOKUP('Filtered Data'!Z305,'Data Mapping'!$A$4:$B$7,2,0)</f>
        <v>#N/A</v>
      </c>
      <c r="E306" t="e">
        <f>VLOOKUP('Filtered Data'!C305,'Data Mapping'!$E$3:$F$97,2,0)</f>
        <v>#N/A</v>
      </c>
      <c r="F306">
        <f>'Filtered Data'!D305</f>
        <v>0</v>
      </c>
      <c r="G306" t="e">
        <f>VLOOKUP('Filtered Data'!E305,'Data Mapping'!$J$3:$K$11,2,0)</f>
        <v>#N/A</v>
      </c>
      <c r="H306">
        <f>'Filtered Data'!F305</f>
        <v>0</v>
      </c>
      <c r="I306" t="s">
        <v>5668</v>
      </c>
      <c r="J306" t="s">
        <v>1609</v>
      </c>
      <c r="K306" t="e">
        <f>VLOOKUP('Filtered Data'!A305,'Input 1 CMDB'!A:I,9,0)</f>
        <v>#N/A</v>
      </c>
      <c r="L306">
        <f>'Filtered Data'!K305</f>
        <v>0</v>
      </c>
      <c r="M306" t="e">
        <f t="shared" si="11"/>
        <v>#VALUE!</v>
      </c>
      <c r="N306">
        <f>'Filtered Data'!P305</f>
        <v>0</v>
      </c>
      <c r="O306">
        <f>'Filtered Data'!N305</f>
        <v>0</v>
      </c>
      <c r="P306" t="s">
        <v>5669</v>
      </c>
      <c r="Q306" t="str">
        <f>IF('Filtered Data'!W305,"ITHybridCloudEngineeringOperationsMgmt@Marathonpetroleum.com","mark.newman2@dxc.com")</f>
        <v>mark.newman2@dxc.com</v>
      </c>
      <c r="R306">
        <f t="shared" si="12"/>
        <v>0</v>
      </c>
      <c r="S306" s="31" t="s">
        <v>5738</v>
      </c>
      <c r="T306" t="s">
        <v>1381</v>
      </c>
      <c r="U306">
        <f>'Filtered Data'!V305</f>
        <v>0</v>
      </c>
      <c r="V306" t="str">
        <f>IF('Filtered Data'!W305,"yes","no")</f>
        <v>no</v>
      </c>
      <c r="W306" t="s">
        <v>15</v>
      </c>
      <c r="X306">
        <f>'Filtered Data'!X305</f>
        <v>0</v>
      </c>
    </row>
    <row r="307" spans="1:24" x14ac:dyDescent="0.35">
      <c r="A307">
        <f>'Filtered Data'!A306</f>
        <v>0</v>
      </c>
      <c r="B307">
        <f>'Filtered Data'!B306</f>
        <v>0</v>
      </c>
      <c r="C307" t="s">
        <v>2</v>
      </c>
      <c r="D307" t="e">
        <f>VLOOKUP('Filtered Data'!Z306,'Data Mapping'!$A$4:$B$7,2,0)</f>
        <v>#N/A</v>
      </c>
      <c r="E307" t="e">
        <f>VLOOKUP('Filtered Data'!C306,'Data Mapping'!$E$3:$F$97,2,0)</f>
        <v>#N/A</v>
      </c>
      <c r="F307">
        <f>'Filtered Data'!D306</f>
        <v>0</v>
      </c>
      <c r="G307" t="e">
        <f>VLOOKUP('Filtered Data'!E306,'Data Mapping'!$J$3:$K$11,2,0)</f>
        <v>#N/A</v>
      </c>
      <c r="H307">
        <f>'Filtered Data'!F306</f>
        <v>0</v>
      </c>
      <c r="I307" t="s">
        <v>5668</v>
      </c>
      <c r="J307" t="s">
        <v>1609</v>
      </c>
      <c r="K307" t="e">
        <f>VLOOKUP('Filtered Data'!A306,'Input 1 CMDB'!A:I,9,0)</f>
        <v>#N/A</v>
      </c>
      <c r="L307">
        <f>'Filtered Data'!K306</f>
        <v>0</v>
      </c>
      <c r="M307" t="e">
        <f t="shared" si="11"/>
        <v>#VALUE!</v>
      </c>
      <c r="N307">
        <f>'Filtered Data'!P306</f>
        <v>0</v>
      </c>
      <c r="O307">
        <f>'Filtered Data'!N306</f>
        <v>0</v>
      </c>
      <c r="P307" t="s">
        <v>5669</v>
      </c>
      <c r="Q307" t="str">
        <f>IF('Filtered Data'!W306,"ITHybridCloudEngineeringOperationsMgmt@Marathonpetroleum.com","mark.newman2@dxc.com")</f>
        <v>mark.newman2@dxc.com</v>
      </c>
      <c r="R307">
        <f t="shared" si="12"/>
        <v>0</v>
      </c>
      <c r="S307" s="31" t="s">
        <v>5738</v>
      </c>
      <c r="T307" t="s">
        <v>1381</v>
      </c>
      <c r="U307">
        <f>'Filtered Data'!V306</f>
        <v>0</v>
      </c>
      <c r="V307" t="str">
        <f>IF('Filtered Data'!W306,"yes","no")</f>
        <v>no</v>
      </c>
      <c r="W307" t="s">
        <v>15</v>
      </c>
      <c r="X307">
        <f>'Filtered Data'!X306</f>
        <v>0</v>
      </c>
    </row>
    <row r="308" spans="1:24" x14ac:dyDescent="0.35">
      <c r="A308">
        <f>'Filtered Data'!A307</f>
        <v>0</v>
      </c>
      <c r="B308">
        <f>'Filtered Data'!B307</f>
        <v>0</v>
      </c>
      <c r="C308" t="s">
        <v>2</v>
      </c>
      <c r="D308" t="e">
        <f>VLOOKUP('Filtered Data'!Z307,'Data Mapping'!$A$4:$B$7,2,0)</f>
        <v>#N/A</v>
      </c>
      <c r="E308" t="e">
        <f>VLOOKUP('Filtered Data'!C307,'Data Mapping'!$E$3:$F$97,2,0)</f>
        <v>#N/A</v>
      </c>
      <c r="F308">
        <f>'Filtered Data'!D307</f>
        <v>0</v>
      </c>
      <c r="G308" t="e">
        <f>VLOOKUP('Filtered Data'!E307,'Data Mapping'!$J$3:$K$11,2,0)</f>
        <v>#N/A</v>
      </c>
      <c r="H308">
        <f>'Filtered Data'!F307</f>
        <v>0</v>
      </c>
      <c r="I308" t="s">
        <v>5668</v>
      </c>
      <c r="J308" t="s">
        <v>1609</v>
      </c>
      <c r="K308" t="e">
        <f>VLOOKUP('Filtered Data'!A307,'Input 1 CMDB'!A:I,9,0)</f>
        <v>#N/A</v>
      </c>
      <c r="L308">
        <f>'Filtered Data'!K307</f>
        <v>0</v>
      </c>
      <c r="M308" t="e">
        <f t="shared" si="11"/>
        <v>#VALUE!</v>
      </c>
      <c r="N308">
        <f>'Filtered Data'!P307</f>
        <v>0</v>
      </c>
      <c r="O308">
        <f>'Filtered Data'!N307</f>
        <v>0</v>
      </c>
      <c r="P308" t="s">
        <v>5669</v>
      </c>
      <c r="Q308" t="str">
        <f>IF('Filtered Data'!W307,"ITHybridCloudEngineeringOperationsMgmt@Marathonpetroleum.com","mark.newman2@dxc.com")</f>
        <v>mark.newman2@dxc.com</v>
      </c>
      <c r="R308">
        <f t="shared" si="12"/>
        <v>0</v>
      </c>
      <c r="S308" s="31" t="s">
        <v>5738</v>
      </c>
      <c r="T308" t="s">
        <v>1381</v>
      </c>
      <c r="U308">
        <f>'Filtered Data'!V307</f>
        <v>0</v>
      </c>
      <c r="V308" t="str">
        <f>IF('Filtered Data'!W307,"yes","no")</f>
        <v>no</v>
      </c>
      <c r="W308" t="s">
        <v>15</v>
      </c>
      <c r="X308">
        <f>'Filtered Data'!X307</f>
        <v>0</v>
      </c>
    </row>
    <row r="309" spans="1:24" x14ac:dyDescent="0.35">
      <c r="A309">
        <f>'Filtered Data'!A308</f>
        <v>0</v>
      </c>
      <c r="B309">
        <f>'Filtered Data'!B308</f>
        <v>0</v>
      </c>
      <c r="C309" t="s">
        <v>2</v>
      </c>
      <c r="D309" t="e">
        <f>VLOOKUP('Filtered Data'!Z308,'Data Mapping'!$A$4:$B$7,2,0)</f>
        <v>#N/A</v>
      </c>
      <c r="E309" t="e">
        <f>VLOOKUP('Filtered Data'!C308,'Data Mapping'!$E$3:$F$97,2,0)</f>
        <v>#N/A</v>
      </c>
      <c r="F309">
        <f>'Filtered Data'!D308</f>
        <v>0</v>
      </c>
      <c r="G309" t="e">
        <f>VLOOKUP('Filtered Data'!E308,'Data Mapping'!$J$3:$K$11,2,0)</f>
        <v>#N/A</v>
      </c>
      <c r="H309">
        <f>'Filtered Data'!F308</f>
        <v>0</v>
      </c>
      <c r="I309" t="s">
        <v>5668</v>
      </c>
      <c r="J309" t="s">
        <v>1609</v>
      </c>
      <c r="K309" t="e">
        <f>VLOOKUP('Filtered Data'!A308,'Input 1 CMDB'!A:I,9,0)</f>
        <v>#N/A</v>
      </c>
      <c r="L309">
        <f>'Filtered Data'!K308</f>
        <v>0</v>
      </c>
      <c r="M309" t="e">
        <f t="shared" si="11"/>
        <v>#VALUE!</v>
      </c>
      <c r="N309">
        <f>'Filtered Data'!P308</f>
        <v>0</v>
      </c>
      <c r="O309">
        <f>'Filtered Data'!N308</f>
        <v>0</v>
      </c>
      <c r="P309" t="s">
        <v>5669</v>
      </c>
      <c r="Q309" t="str">
        <f>IF('Filtered Data'!W308,"ITHybridCloudEngineeringOperationsMgmt@Marathonpetroleum.com","mark.newman2@dxc.com")</f>
        <v>mark.newman2@dxc.com</v>
      </c>
      <c r="R309">
        <f t="shared" si="12"/>
        <v>0</v>
      </c>
      <c r="S309" s="31" t="s">
        <v>5738</v>
      </c>
      <c r="T309" t="s">
        <v>1381</v>
      </c>
      <c r="U309">
        <f>'Filtered Data'!V308</f>
        <v>0</v>
      </c>
      <c r="V309" t="str">
        <f>IF('Filtered Data'!W308,"yes","no")</f>
        <v>no</v>
      </c>
      <c r="W309" t="s">
        <v>15</v>
      </c>
      <c r="X309">
        <f>'Filtered Data'!X308</f>
        <v>0</v>
      </c>
    </row>
    <row r="310" spans="1:24" x14ac:dyDescent="0.35">
      <c r="A310">
        <f>'Filtered Data'!A309</f>
        <v>0</v>
      </c>
      <c r="B310">
        <f>'Filtered Data'!B309</f>
        <v>0</v>
      </c>
      <c r="C310" t="s">
        <v>2</v>
      </c>
      <c r="D310" t="e">
        <f>VLOOKUP('Filtered Data'!Z309,'Data Mapping'!$A$4:$B$7,2,0)</f>
        <v>#N/A</v>
      </c>
      <c r="E310" t="e">
        <f>VLOOKUP('Filtered Data'!C309,'Data Mapping'!$E$3:$F$97,2,0)</f>
        <v>#N/A</v>
      </c>
      <c r="F310">
        <f>'Filtered Data'!D309</f>
        <v>0</v>
      </c>
      <c r="G310" t="e">
        <f>VLOOKUP('Filtered Data'!E309,'Data Mapping'!$J$3:$K$11,2,0)</f>
        <v>#N/A</v>
      </c>
      <c r="H310">
        <f>'Filtered Data'!F309</f>
        <v>0</v>
      </c>
      <c r="I310" t="s">
        <v>5668</v>
      </c>
      <c r="J310" t="s">
        <v>1609</v>
      </c>
      <c r="K310" t="e">
        <f>VLOOKUP('Filtered Data'!A309,'Input 1 CMDB'!A:I,9,0)</f>
        <v>#N/A</v>
      </c>
      <c r="L310">
        <f>'Filtered Data'!K309</f>
        <v>0</v>
      </c>
      <c r="M310" t="e">
        <f t="shared" si="11"/>
        <v>#VALUE!</v>
      </c>
      <c r="N310">
        <f>'Filtered Data'!P309</f>
        <v>0</v>
      </c>
      <c r="O310">
        <f>'Filtered Data'!N309</f>
        <v>0</v>
      </c>
      <c r="P310" t="s">
        <v>5669</v>
      </c>
      <c r="Q310" t="str">
        <f>IF('Filtered Data'!W309,"ITHybridCloudEngineeringOperationsMgmt@Marathonpetroleum.com","mark.newman2@dxc.com")</f>
        <v>mark.newman2@dxc.com</v>
      </c>
      <c r="R310">
        <f t="shared" si="12"/>
        <v>0</v>
      </c>
      <c r="S310" s="31" t="s">
        <v>5738</v>
      </c>
      <c r="T310" t="s">
        <v>1381</v>
      </c>
      <c r="U310">
        <f>'Filtered Data'!V309</f>
        <v>0</v>
      </c>
      <c r="V310" t="str">
        <f>IF('Filtered Data'!W309,"yes","no")</f>
        <v>no</v>
      </c>
      <c r="W310" t="s">
        <v>15</v>
      </c>
      <c r="X310">
        <f>'Filtered Data'!X309</f>
        <v>0</v>
      </c>
    </row>
    <row r="311" spans="1:24" x14ac:dyDescent="0.35">
      <c r="A311">
        <f>'Filtered Data'!A310</f>
        <v>0</v>
      </c>
      <c r="B311">
        <f>'Filtered Data'!B310</f>
        <v>0</v>
      </c>
      <c r="C311" t="s">
        <v>2</v>
      </c>
      <c r="D311" t="e">
        <f>VLOOKUP('Filtered Data'!Z310,'Data Mapping'!$A$4:$B$7,2,0)</f>
        <v>#N/A</v>
      </c>
      <c r="E311" t="e">
        <f>VLOOKUP('Filtered Data'!C310,'Data Mapping'!$E$3:$F$97,2,0)</f>
        <v>#N/A</v>
      </c>
      <c r="F311">
        <f>'Filtered Data'!D310</f>
        <v>0</v>
      </c>
      <c r="G311" t="e">
        <f>VLOOKUP('Filtered Data'!E310,'Data Mapping'!$J$3:$K$11,2,0)</f>
        <v>#N/A</v>
      </c>
      <c r="H311">
        <f>'Filtered Data'!F310</f>
        <v>0</v>
      </c>
      <c r="I311" t="s">
        <v>5668</v>
      </c>
      <c r="J311" t="s">
        <v>1609</v>
      </c>
      <c r="K311" t="e">
        <f>VLOOKUP('Filtered Data'!A310,'Input 1 CMDB'!A:I,9,0)</f>
        <v>#N/A</v>
      </c>
      <c r="L311">
        <f>'Filtered Data'!K310</f>
        <v>0</v>
      </c>
      <c r="M311" t="e">
        <f t="shared" si="11"/>
        <v>#VALUE!</v>
      </c>
      <c r="N311">
        <f>'Filtered Data'!P310</f>
        <v>0</v>
      </c>
      <c r="O311">
        <f>'Filtered Data'!N310</f>
        <v>0</v>
      </c>
      <c r="P311" t="s">
        <v>5669</v>
      </c>
      <c r="Q311" t="str">
        <f>IF('Filtered Data'!W310,"ITHybridCloudEngineeringOperationsMgmt@Marathonpetroleum.com","mark.newman2@dxc.com")</f>
        <v>mark.newman2@dxc.com</v>
      </c>
      <c r="R311">
        <f t="shared" si="12"/>
        <v>0</v>
      </c>
      <c r="S311" s="31" t="s">
        <v>5738</v>
      </c>
      <c r="T311" t="s">
        <v>1381</v>
      </c>
      <c r="U311">
        <f>'Filtered Data'!V310</f>
        <v>0</v>
      </c>
      <c r="V311" t="str">
        <f>IF('Filtered Data'!W310,"yes","no")</f>
        <v>no</v>
      </c>
      <c r="W311" t="s">
        <v>15</v>
      </c>
      <c r="X311">
        <f>'Filtered Data'!X310</f>
        <v>0</v>
      </c>
    </row>
    <row r="312" spans="1:24" x14ac:dyDescent="0.35">
      <c r="A312">
        <f>'Filtered Data'!A311</f>
        <v>0</v>
      </c>
      <c r="B312">
        <f>'Filtered Data'!B311</f>
        <v>0</v>
      </c>
      <c r="C312" t="s">
        <v>2</v>
      </c>
      <c r="D312" t="e">
        <f>VLOOKUP('Filtered Data'!Z311,'Data Mapping'!$A$4:$B$7,2,0)</f>
        <v>#N/A</v>
      </c>
      <c r="E312" t="e">
        <f>VLOOKUP('Filtered Data'!C311,'Data Mapping'!$E$3:$F$97,2,0)</f>
        <v>#N/A</v>
      </c>
      <c r="F312">
        <f>'Filtered Data'!D311</f>
        <v>0</v>
      </c>
      <c r="G312" t="e">
        <f>VLOOKUP('Filtered Data'!E311,'Data Mapping'!$J$3:$K$11,2,0)</f>
        <v>#N/A</v>
      </c>
      <c r="H312">
        <f>'Filtered Data'!F311</f>
        <v>0</v>
      </c>
      <c r="I312" t="s">
        <v>5668</v>
      </c>
      <c r="J312" t="s">
        <v>1609</v>
      </c>
      <c r="K312" t="e">
        <f>VLOOKUP('Filtered Data'!A311,'Input 1 CMDB'!A:I,9,0)</f>
        <v>#N/A</v>
      </c>
      <c r="L312">
        <f>'Filtered Data'!K311</f>
        <v>0</v>
      </c>
      <c r="M312" t="e">
        <f t="shared" si="11"/>
        <v>#VALUE!</v>
      </c>
      <c r="N312">
        <f>'Filtered Data'!P311</f>
        <v>0</v>
      </c>
      <c r="O312">
        <f>'Filtered Data'!N311</f>
        <v>0</v>
      </c>
      <c r="P312" t="s">
        <v>5669</v>
      </c>
      <c r="Q312" t="str">
        <f>IF('Filtered Data'!W311,"ITHybridCloudEngineeringOperationsMgmt@Marathonpetroleum.com","mark.newman2@dxc.com")</f>
        <v>mark.newman2@dxc.com</v>
      </c>
      <c r="R312">
        <f t="shared" si="12"/>
        <v>0</v>
      </c>
      <c r="S312" s="31" t="s">
        <v>5738</v>
      </c>
      <c r="T312" t="s">
        <v>1381</v>
      </c>
      <c r="U312">
        <f>'Filtered Data'!V311</f>
        <v>0</v>
      </c>
      <c r="V312" t="str">
        <f>IF('Filtered Data'!W311,"yes","no")</f>
        <v>no</v>
      </c>
      <c r="W312" t="s">
        <v>15</v>
      </c>
      <c r="X312">
        <f>'Filtered Data'!X311</f>
        <v>0</v>
      </c>
    </row>
    <row r="313" spans="1:24" x14ac:dyDescent="0.35">
      <c r="A313">
        <f>'Filtered Data'!A312</f>
        <v>0</v>
      </c>
      <c r="B313">
        <f>'Filtered Data'!B312</f>
        <v>0</v>
      </c>
      <c r="C313" t="s">
        <v>2</v>
      </c>
      <c r="D313" t="e">
        <f>VLOOKUP('Filtered Data'!Z312,'Data Mapping'!$A$4:$B$7,2,0)</f>
        <v>#N/A</v>
      </c>
      <c r="E313" t="e">
        <f>VLOOKUP('Filtered Data'!C312,'Data Mapping'!$E$3:$F$97,2,0)</f>
        <v>#N/A</v>
      </c>
      <c r="F313">
        <f>'Filtered Data'!D312</f>
        <v>0</v>
      </c>
      <c r="G313" t="e">
        <f>VLOOKUP('Filtered Data'!E312,'Data Mapping'!$J$3:$K$11,2,0)</f>
        <v>#N/A</v>
      </c>
      <c r="H313">
        <f>'Filtered Data'!F312</f>
        <v>0</v>
      </c>
      <c r="I313" t="s">
        <v>5668</v>
      </c>
      <c r="J313" t="s">
        <v>1609</v>
      </c>
      <c r="K313" t="e">
        <f>VLOOKUP('Filtered Data'!A312,'Input 1 CMDB'!A:I,9,0)</f>
        <v>#N/A</v>
      </c>
      <c r="L313">
        <f>'Filtered Data'!K312</f>
        <v>0</v>
      </c>
      <c r="M313" t="e">
        <f t="shared" si="11"/>
        <v>#VALUE!</v>
      </c>
      <c r="N313">
        <f>'Filtered Data'!P312</f>
        <v>0</v>
      </c>
      <c r="O313">
        <f>'Filtered Data'!N312</f>
        <v>0</v>
      </c>
      <c r="P313" t="s">
        <v>5669</v>
      </c>
      <c r="Q313" t="str">
        <f>IF('Filtered Data'!W312,"ITHybridCloudEngineeringOperationsMgmt@Marathonpetroleum.com","mark.newman2@dxc.com")</f>
        <v>mark.newman2@dxc.com</v>
      </c>
      <c r="R313">
        <f t="shared" si="12"/>
        <v>0</v>
      </c>
      <c r="S313" s="31" t="s">
        <v>5738</v>
      </c>
      <c r="T313" t="s">
        <v>1381</v>
      </c>
      <c r="U313">
        <f>'Filtered Data'!V312</f>
        <v>0</v>
      </c>
      <c r="V313" t="str">
        <f>IF('Filtered Data'!W312,"yes","no")</f>
        <v>no</v>
      </c>
      <c r="W313" t="s">
        <v>15</v>
      </c>
      <c r="X313">
        <f>'Filtered Data'!X312</f>
        <v>0</v>
      </c>
    </row>
    <row r="314" spans="1:24" x14ac:dyDescent="0.35">
      <c r="A314">
        <f>'Filtered Data'!A313</f>
        <v>0</v>
      </c>
      <c r="B314">
        <f>'Filtered Data'!B313</f>
        <v>0</v>
      </c>
      <c r="C314" t="s">
        <v>2</v>
      </c>
      <c r="D314" t="e">
        <f>VLOOKUP('Filtered Data'!Z313,'Data Mapping'!$A$4:$B$7,2,0)</f>
        <v>#N/A</v>
      </c>
      <c r="E314" t="e">
        <f>VLOOKUP('Filtered Data'!C313,'Data Mapping'!$E$3:$F$97,2,0)</f>
        <v>#N/A</v>
      </c>
      <c r="F314">
        <f>'Filtered Data'!D313</f>
        <v>0</v>
      </c>
      <c r="G314" t="e">
        <f>VLOOKUP('Filtered Data'!E313,'Data Mapping'!$J$3:$K$11,2,0)</f>
        <v>#N/A</v>
      </c>
      <c r="H314">
        <f>'Filtered Data'!F313</f>
        <v>0</v>
      </c>
      <c r="I314" t="s">
        <v>5668</v>
      </c>
      <c r="J314" t="s">
        <v>1609</v>
      </c>
      <c r="K314" t="e">
        <f>VLOOKUP('Filtered Data'!A313,'Input 1 CMDB'!A:I,9,0)</f>
        <v>#N/A</v>
      </c>
      <c r="L314">
        <f>'Filtered Data'!K313</f>
        <v>0</v>
      </c>
      <c r="M314" t="e">
        <f t="shared" si="11"/>
        <v>#VALUE!</v>
      </c>
      <c r="N314">
        <f>'Filtered Data'!P313</f>
        <v>0</v>
      </c>
      <c r="O314">
        <f>'Filtered Data'!N313</f>
        <v>0</v>
      </c>
      <c r="P314" t="s">
        <v>5669</v>
      </c>
      <c r="Q314" t="str">
        <f>IF('Filtered Data'!W313,"ITHybridCloudEngineeringOperationsMgmt@Marathonpetroleum.com","mark.newman2@dxc.com")</f>
        <v>mark.newman2@dxc.com</v>
      </c>
      <c r="R314">
        <f t="shared" si="12"/>
        <v>0</v>
      </c>
      <c r="S314" s="31" t="s">
        <v>5738</v>
      </c>
      <c r="T314" t="s">
        <v>1381</v>
      </c>
      <c r="U314">
        <f>'Filtered Data'!V313</f>
        <v>0</v>
      </c>
      <c r="V314" t="str">
        <f>IF('Filtered Data'!W313,"yes","no")</f>
        <v>no</v>
      </c>
      <c r="W314" t="s">
        <v>15</v>
      </c>
      <c r="X314">
        <f>'Filtered Data'!X313</f>
        <v>0</v>
      </c>
    </row>
    <row r="315" spans="1:24" x14ac:dyDescent="0.35">
      <c r="A315">
        <f>'Filtered Data'!A314</f>
        <v>0</v>
      </c>
      <c r="B315">
        <f>'Filtered Data'!B314</f>
        <v>0</v>
      </c>
      <c r="C315" t="s">
        <v>2</v>
      </c>
      <c r="D315" t="e">
        <f>VLOOKUP('Filtered Data'!Z314,'Data Mapping'!$A$4:$B$7,2,0)</f>
        <v>#N/A</v>
      </c>
      <c r="E315" t="e">
        <f>VLOOKUP('Filtered Data'!C314,'Data Mapping'!$E$3:$F$97,2,0)</f>
        <v>#N/A</v>
      </c>
      <c r="F315">
        <f>'Filtered Data'!D314</f>
        <v>0</v>
      </c>
      <c r="G315" t="e">
        <f>VLOOKUP('Filtered Data'!E314,'Data Mapping'!$J$3:$K$11,2,0)</f>
        <v>#N/A</v>
      </c>
      <c r="H315">
        <f>'Filtered Data'!F314</f>
        <v>0</v>
      </c>
      <c r="I315" t="s">
        <v>5668</v>
      </c>
      <c r="J315" t="s">
        <v>1609</v>
      </c>
      <c r="K315" t="e">
        <f>VLOOKUP('Filtered Data'!A314,'Input 1 CMDB'!A:I,9,0)</f>
        <v>#N/A</v>
      </c>
      <c r="L315">
        <f>'Filtered Data'!K314</f>
        <v>0</v>
      </c>
      <c r="M315" t="e">
        <f t="shared" si="11"/>
        <v>#VALUE!</v>
      </c>
      <c r="N315">
        <f>'Filtered Data'!P314</f>
        <v>0</v>
      </c>
      <c r="O315">
        <f>'Filtered Data'!N314</f>
        <v>0</v>
      </c>
      <c r="P315" t="s">
        <v>5669</v>
      </c>
      <c r="Q315" t="str">
        <f>IF('Filtered Data'!W314,"ITHybridCloudEngineeringOperationsMgmt@Marathonpetroleum.com","mark.newman2@dxc.com")</f>
        <v>mark.newman2@dxc.com</v>
      </c>
      <c r="R315">
        <f t="shared" si="12"/>
        <v>0</v>
      </c>
      <c r="S315" s="31" t="s">
        <v>5738</v>
      </c>
      <c r="T315" t="s">
        <v>1381</v>
      </c>
      <c r="U315">
        <f>'Filtered Data'!V314</f>
        <v>0</v>
      </c>
      <c r="V315" t="str">
        <f>IF('Filtered Data'!W314,"yes","no")</f>
        <v>no</v>
      </c>
      <c r="W315" t="s">
        <v>15</v>
      </c>
      <c r="X315">
        <f>'Filtered Data'!X314</f>
        <v>0</v>
      </c>
    </row>
    <row r="316" spans="1:24" x14ac:dyDescent="0.35">
      <c r="A316">
        <f>'Filtered Data'!A315</f>
        <v>0</v>
      </c>
      <c r="B316">
        <f>'Filtered Data'!B315</f>
        <v>0</v>
      </c>
      <c r="C316" t="s">
        <v>2</v>
      </c>
      <c r="D316" t="e">
        <f>VLOOKUP('Filtered Data'!Z315,'Data Mapping'!$A$4:$B$7,2,0)</f>
        <v>#N/A</v>
      </c>
      <c r="E316" t="e">
        <f>VLOOKUP('Filtered Data'!C315,'Data Mapping'!$E$3:$F$97,2,0)</f>
        <v>#N/A</v>
      </c>
      <c r="F316">
        <f>'Filtered Data'!D315</f>
        <v>0</v>
      </c>
      <c r="G316" t="e">
        <f>VLOOKUP('Filtered Data'!E315,'Data Mapping'!$J$3:$K$11,2,0)</f>
        <v>#N/A</v>
      </c>
      <c r="H316">
        <f>'Filtered Data'!F315</f>
        <v>0</v>
      </c>
      <c r="I316" t="s">
        <v>5668</v>
      </c>
      <c r="J316" t="s">
        <v>1609</v>
      </c>
      <c r="K316" t="e">
        <f>VLOOKUP('Filtered Data'!A315,'Input 1 CMDB'!A:I,9,0)</f>
        <v>#N/A</v>
      </c>
      <c r="L316">
        <f>'Filtered Data'!K315</f>
        <v>0</v>
      </c>
      <c r="M316" t="e">
        <f t="shared" si="11"/>
        <v>#VALUE!</v>
      </c>
      <c r="N316">
        <f>'Filtered Data'!P315</f>
        <v>0</v>
      </c>
      <c r="O316">
        <f>'Filtered Data'!N315</f>
        <v>0</v>
      </c>
      <c r="P316" t="s">
        <v>5669</v>
      </c>
      <c r="Q316" t="str">
        <f>IF('Filtered Data'!W315,"ITHybridCloudEngineeringOperationsMgmt@Marathonpetroleum.com","mark.newman2@dxc.com")</f>
        <v>mark.newman2@dxc.com</v>
      </c>
      <c r="R316">
        <f t="shared" si="12"/>
        <v>0</v>
      </c>
      <c r="S316" s="31" t="s">
        <v>5738</v>
      </c>
      <c r="T316" t="s">
        <v>1381</v>
      </c>
      <c r="U316">
        <f>'Filtered Data'!V315</f>
        <v>0</v>
      </c>
      <c r="V316" t="str">
        <f>IF('Filtered Data'!W315,"yes","no")</f>
        <v>no</v>
      </c>
      <c r="W316" t="s">
        <v>15</v>
      </c>
      <c r="X316">
        <f>'Filtered Data'!X315</f>
        <v>0</v>
      </c>
    </row>
    <row r="317" spans="1:24" x14ac:dyDescent="0.35">
      <c r="A317">
        <f>'Filtered Data'!A316</f>
        <v>0</v>
      </c>
      <c r="B317">
        <f>'Filtered Data'!B316</f>
        <v>0</v>
      </c>
      <c r="C317" t="s">
        <v>2</v>
      </c>
      <c r="D317" t="e">
        <f>VLOOKUP('Filtered Data'!Z316,'Data Mapping'!$A$4:$B$7,2,0)</f>
        <v>#N/A</v>
      </c>
      <c r="E317" t="e">
        <f>VLOOKUP('Filtered Data'!C316,'Data Mapping'!$E$3:$F$97,2,0)</f>
        <v>#N/A</v>
      </c>
      <c r="F317">
        <f>'Filtered Data'!D316</f>
        <v>0</v>
      </c>
      <c r="G317" t="e">
        <f>VLOOKUP('Filtered Data'!E316,'Data Mapping'!$J$3:$K$11,2,0)</f>
        <v>#N/A</v>
      </c>
      <c r="H317">
        <f>'Filtered Data'!F316</f>
        <v>0</v>
      </c>
      <c r="I317" t="s">
        <v>5668</v>
      </c>
      <c r="J317" t="s">
        <v>1609</v>
      </c>
      <c r="K317" t="e">
        <f>VLOOKUP('Filtered Data'!A316,'Input 1 CMDB'!A:I,9,0)</f>
        <v>#N/A</v>
      </c>
      <c r="L317">
        <f>'Filtered Data'!K316</f>
        <v>0</v>
      </c>
      <c r="M317" t="e">
        <f t="shared" si="11"/>
        <v>#VALUE!</v>
      </c>
      <c r="N317">
        <f>'Filtered Data'!P316</f>
        <v>0</v>
      </c>
      <c r="O317">
        <f>'Filtered Data'!N316</f>
        <v>0</v>
      </c>
      <c r="P317" t="s">
        <v>5669</v>
      </c>
      <c r="Q317" t="str">
        <f>IF('Filtered Data'!W316,"ITHybridCloudEngineeringOperationsMgmt@Marathonpetroleum.com","mark.newman2@dxc.com")</f>
        <v>mark.newman2@dxc.com</v>
      </c>
      <c r="R317">
        <f t="shared" si="12"/>
        <v>0</v>
      </c>
      <c r="S317" s="31" t="s">
        <v>5738</v>
      </c>
      <c r="T317" t="s">
        <v>1381</v>
      </c>
      <c r="U317">
        <f>'Filtered Data'!V316</f>
        <v>0</v>
      </c>
      <c r="V317" t="str">
        <f>IF('Filtered Data'!W316,"yes","no")</f>
        <v>no</v>
      </c>
      <c r="W317" t="s">
        <v>15</v>
      </c>
      <c r="X317">
        <f>'Filtered Data'!X316</f>
        <v>0</v>
      </c>
    </row>
    <row r="318" spans="1:24" x14ac:dyDescent="0.35">
      <c r="A318">
        <f>'Filtered Data'!A317</f>
        <v>0</v>
      </c>
      <c r="B318">
        <f>'Filtered Data'!B317</f>
        <v>0</v>
      </c>
      <c r="C318" t="s">
        <v>2</v>
      </c>
      <c r="D318" t="e">
        <f>VLOOKUP('Filtered Data'!Z317,'Data Mapping'!$A$4:$B$7,2,0)</f>
        <v>#N/A</v>
      </c>
      <c r="E318" t="e">
        <f>VLOOKUP('Filtered Data'!C317,'Data Mapping'!$E$3:$F$97,2,0)</f>
        <v>#N/A</v>
      </c>
      <c r="F318">
        <f>'Filtered Data'!D317</f>
        <v>0</v>
      </c>
      <c r="G318" t="e">
        <f>VLOOKUP('Filtered Data'!E317,'Data Mapping'!$J$3:$K$11,2,0)</f>
        <v>#N/A</v>
      </c>
      <c r="H318">
        <f>'Filtered Data'!F317</f>
        <v>0</v>
      </c>
      <c r="I318" t="s">
        <v>5668</v>
      </c>
      <c r="J318" t="s">
        <v>1609</v>
      </c>
      <c r="K318" t="e">
        <f>VLOOKUP('Filtered Data'!A317,'Input 1 CMDB'!A:I,9,0)</f>
        <v>#N/A</v>
      </c>
      <c r="L318">
        <f>'Filtered Data'!K317</f>
        <v>0</v>
      </c>
      <c r="M318" t="e">
        <f t="shared" si="11"/>
        <v>#VALUE!</v>
      </c>
      <c r="N318">
        <f>'Filtered Data'!P317</f>
        <v>0</v>
      </c>
      <c r="O318">
        <f>'Filtered Data'!N317</f>
        <v>0</v>
      </c>
      <c r="P318" t="s">
        <v>5669</v>
      </c>
      <c r="Q318" t="str">
        <f>IF('Filtered Data'!W317,"ITHybridCloudEngineeringOperationsMgmt@Marathonpetroleum.com","mark.newman2@dxc.com")</f>
        <v>mark.newman2@dxc.com</v>
      </c>
      <c r="R318">
        <f t="shared" si="12"/>
        <v>0</v>
      </c>
      <c r="S318" s="31" t="s">
        <v>5738</v>
      </c>
      <c r="T318" t="s">
        <v>1381</v>
      </c>
      <c r="U318">
        <f>'Filtered Data'!V317</f>
        <v>0</v>
      </c>
      <c r="V318" t="str">
        <f>IF('Filtered Data'!W317,"yes","no")</f>
        <v>no</v>
      </c>
      <c r="W318" t="s">
        <v>15</v>
      </c>
      <c r="X318">
        <f>'Filtered Data'!X317</f>
        <v>0</v>
      </c>
    </row>
    <row r="319" spans="1:24" x14ac:dyDescent="0.35">
      <c r="A319">
        <f>'Filtered Data'!A318</f>
        <v>0</v>
      </c>
      <c r="B319">
        <f>'Filtered Data'!B318</f>
        <v>0</v>
      </c>
      <c r="C319" t="s">
        <v>2</v>
      </c>
      <c r="D319" t="e">
        <f>VLOOKUP('Filtered Data'!Z318,'Data Mapping'!$A$4:$B$7,2,0)</f>
        <v>#N/A</v>
      </c>
      <c r="E319" t="e">
        <f>VLOOKUP('Filtered Data'!C318,'Data Mapping'!$E$3:$F$97,2,0)</f>
        <v>#N/A</v>
      </c>
      <c r="F319">
        <f>'Filtered Data'!D318</f>
        <v>0</v>
      </c>
      <c r="G319" t="e">
        <f>VLOOKUP('Filtered Data'!E318,'Data Mapping'!$J$3:$K$11,2,0)</f>
        <v>#N/A</v>
      </c>
      <c r="H319">
        <f>'Filtered Data'!F318</f>
        <v>0</v>
      </c>
      <c r="I319" t="s">
        <v>5668</v>
      </c>
      <c r="J319" t="s">
        <v>1609</v>
      </c>
      <c r="K319" t="e">
        <f>VLOOKUP('Filtered Data'!A318,'Input 1 CMDB'!A:I,9,0)</f>
        <v>#N/A</v>
      </c>
      <c r="L319">
        <f>'Filtered Data'!K318</f>
        <v>0</v>
      </c>
      <c r="M319" t="e">
        <f t="shared" si="11"/>
        <v>#VALUE!</v>
      </c>
      <c r="N319">
        <f>'Filtered Data'!P318</f>
        <v>0</v>
      </c>
      <c r="O319">
        <f>'Filtered Data'!N318</f>
        <v>0</v>
      </c>
      <c r="P319" t="s">
        <v>5669</v>
      </c>
      <c r="Q319" t="str">
        <f>IF('Filtered Data'!W318,"ITHybridCloudEngineeringOperationsMgmt@Marathonpetroleum.com","mark.newman2@dxc.com")</f>
        <v>mark.newman2@dxc.com</v>
      </c>
      <c r="R319">
        <f t="shared" si="12"/>
        <v>0</v>
      </c>
      <c r="S319" s="31" t="s">
        <v>5738</v>
      </c>
      <c r="T319" t="s">
        <v>1381</v>
      </c>
      <c r="U319">
        <f>'Filtered Data'!V318</f>
        <v>0</v>
      </c>
      <c r="V319" t="str">
        <f>IF('Filtered Data'!W318,"yes","no")</f>
        <v>no</v>
      </c>
      <c r="W319" t="s">
        <v>15</v>
      </c>
      <c r="X319">
        <f>'Filtered Data'!X318</f>
        <v>0</v>
      </c>
    </row>
    <row r="320" spans="1:24" x14ac:dyDescent="0.35">
      <c r="A320">
        <f>'Filtered Data'!A319</f>
        <v>0</v>
      </c>
      <c r="B320">
        <f>'Filtered Data'!B319</f>
        <v>0</v>
      </c>
      <c r="C320" t="s">
        <v>2</v>
      </c>
      <c r="D320" t="e">
        <f>VLOOKUP('Filtered Data'!Z319,'Data Mapping'!$A$4:$B$7,2,0)</f>
        <v>#N/A</v>
      </c>
      <c r="E320" t="e">
        <f>VLOOKUP('Filtered Data'!C319,'Data Mapping'!$E$3:$F$97,2,0)</f>
        <v>#N/A</v>
      </c>
      <c r="F320">
        <f>'Filtered Data'!D319</f>
        <v>0</v>
      </c>
      <c r="G320" t="e">
        <f>VLOOKUP('Filtered Data'!E319,'Data Mapping'!$J$3:$K$11,2,0)</f>
        <v>#N/A</v>
      </c>
      <c r="H320">
        <f>'Filtered Data'!F319</f>
        <v>0</v>
      </c>
      <c r="I320" t="s">
        <v>5668</v>
      </c>
      <c r="J320" t="s">
        <v>1609</v>
      </c>
      <c r="K320" t="e">
        <f>VLOOKUP('Filtered Data'!A319,'Input 1 CMDB'!A:I,9,0)</f>
        <v>#N/A</v>
      </c>
      <c r="L320">
        <f>'Filtered Data'!K319</f>
        <v>0</v>
      </c>
      <c r="M320" t="e">
        <f t="shared" si="11"/>
        <v>#VALUE!</v>
      </c>
      <c r="N320">
        <f>'Filtered Data'!P319</f>
        <v>0</v>
      </c>
      <c r="O320">
        <f>'Filtered Data'!N319</f>
        <v>0</v>
      </c>
      <c r="P320" t="s">
        <v>5669</v>
      </c>
      <c r="Q320" t="str">
        <f>IF('Filtered Data'!W319,"ITHybridCloudEngineeringOperationsMgmt@Marathonpetroleum.com","mark.newman2@dxc.com")</f>
        <v>mark.newman2@dxc.com</v>
      </c>
      <c r="R320">
        <f t="shared" si="12"/>
        <v>0</v>
      </c>
      <c r="S320" s="31" t="s">
        <v>5738</v>
      </c>
      <c r="T320" t="s">
        <v>1381</v>
      </c>
      <c r="U320">
        <f>'Filtered Data'!V319</f>
        <v>0</v>
      </c>
      <c r="V320" t="str">
        <f>IF('Filtered Data'!W319,"yes","no")</f>
        <v>no</v>
      </c>
      <c r="W320" t="s">
        <v>15</v>
      </c>
      <c r="X320">
        <f>'Filtered Data'!X319</f>
        <v>0</v>
      </c>
    </row>
    <row r="321" spans="1:24" x14ac:dyDescent="0.35">
      <c r="A321">
        <f>'Filtered Data'!A320</f>
        <v>0</v>
      </c>
      <c r="B321">
        <f>'Filtered Data'!B320</f>
        <v>0</v>
      </c>
      <c r="C321" t="s">
        <v>2</v>
      </c>
      <c r="D321" t="e">
        <f>VLOOKUP('Filtered Data'!Z320,'Data Mapping'!$A$4:$B$7,2,0)</f>
        <v>#N/A</v>
      </c>
      <c r="E321" t="e">
        <f>VLOOKUP('Filtered Data'!C320,'Data Mapping'!$E$3:$F$97,2,0)</f>
        <v>#N/A</v>
      </c>
      <c r="F321">
        <f>'Filtered Data'!D320</f>
        <v>0</v>
      </c>
      <c r="G321" t="e">
        <f>VLOOKUP('Filtered Data'!E320,'Data Mapping'!$J$3:$K$11,2,0)</f>
        <v>#N/A</v>
      </c>
      <c r="H321">
        <f>'Filtered Data'!F320</f>
        <v>0</v>
      </c>
      <c r="I321" t="s">
        <v>5668</v>
      </c>
      <c r="J321" t="s">
        <v>1609</v>
      </c>
      <c r="K321" t="e">
        <f>VLOOKUP('Filtered Data'!A320,'Input 1 CMDB'!A:I,9,0)</f>
        <v>#N/A</v>
      </c>
      <c r="L321">
        <f>'Filtered Data'!K320</f>
        <v>0</v>
      </c>
      <c r="M321" t="e">
        <f t="shared" si="11"/>
        <v>#VALUE!</v>
      </c>
      <c r="N321">
        <f>'Filtered Data'!P320</f>
        <v>0</v>
      </c>
      <c r="O321">
        <f>'Filtered Data'!N320</f>
        <v>0</v>
      </c>
      <c r="P321" t="s">
        <v>5669</v>
      </c>
      <c r="Q321" t="str">
        <f>IF('Filtered Data'!W320,"ITHybridCloudEngineeringOperationsMgmt@Marathonpetroleum.com","mark.newman2@dxc.com")</f>
        <v>mark.newman2@dxc.com</v>
      </c>
      <c r="R321">
        <f t="shared" si="12"/>
        <v>0</v>
      </c>
      <c r="S321" s="31" t="s">
        <v>5738</v>
      </c>
      <c r="T321" t="s">
        <v>1381</v>
      </c>
      <c r="U321">
        <f>'Filtered Data'!V320</f>
        <v>0</v>
      </c>
      <c r="V321" t="str">
        <f>IF('Filtered Data'!W320,"yes","no")</f>
        <v>no</v>
      </c>
      <c r="W321" t="s">
        <v>15</v>
      </c>
      <c r="X321">
        <f>'Filtered Data'!X320</f>
        <v>0</v>
      </c>
    </row>
    <row r="322" spans="1:24" x14ac:dyDescent="0.35">
      <c r="A322">
        <f>'Filtered Data'!A321</f>
        <v>0</v>
      </c>
      <c r="B322">
        <f>'Filtered Data'!B321</f>
        <v>0</v>
      </c>
      <c r="C322" t="s">
        <v>2</v>
      </c>
      <c r="D322" t="e">
        <f>VLOOKUP('Filtered Data'!Z321,'Data Mapping'!$A$4:$B$7,2,0)</f>
        <v>#N/A</v>
      </c>
      <c r="E322" t="e">
        <f>VLOOKUP('Filtered Data'!C321,'Data Mapping'!$E$3:$F$97,2,0)</f>
        <v>#N/A</v>
      </c>
      <c r="F322">
        <f>'Filtered Data'!D321</f>
        <v>0</v>
      </c>
      <c r="G322" t="e">
        <f>VLOOKUP('Filtered Data'!E321,'Data Mapping'!$J$3:$K$11,2,0)</f>
        <v>#N/A</v>
      </c>
      <c r="H322">
        <f>'Filtered Data'!F321</f>
        <v>0</v>
      </c>
      <c r="I322" t="s">
        <v>5668</v>
      </c>
      <c r="J322" t="s">
        <v>1609</v>
      </c>
      <c r="K322" t="e">
        <f>VLOOKUP('Filtered Data'!A321,'Input 1 CMDB'!A:I,9,0)</f>
        <v>#N/A</v>
      </c>
      <c r="L322">
        <f>'Filtered Data'!K321</f>
        <v>0</v>
      </c>
      <c r="M322" t="e">
        <f t="shared" si="11"/>
        <v>#VALUE!</v>
      </c>
      <c r="N322">
        <f>'Filtered Data'!P321</f>
        <v>0</v>
      </c>
      <c r="O322">
        <f>'Filtered Data'!N321</f>
        <v>0</v>
      </c>
      <c r="P322" t="s">
        <v>5669</v>
      </c>
      <c r="Q322" t="str">
        <f>IF('Filtered Data'!W321,"ITHybridCloudEngineeringOperationsMgmt@Marathonpetroleum.com","mark.newman2@dxc.com")</f>
        <v>mark.newman2@dxc.com</v>
      </c>
      <c r="R322">
        <f t="shared" si="12"/>
        <v>0</v>
      </c>
      <c r="S322" s="31" t="s">
        <v>5738</v>
      </c>
      <c r="T322" t="s">
        <v>1381</v>
      </c>
      <c r="U322">
        <f>'Filtered Data'!V321</f>
        <v>0</v>
      </c>
      <c r="V322" t="str">
        <f>IF('Filtered Data'!W321,"yes","no")</f>
        <v>no</v>
      </c>
      <c r="W322" t="s">
        <v>15</v>
      </c>
      <c r="X322">
        <f>'Filtered Data'!X321</f>
        <v>0</v>
      </c>
    </row>
    <row r="323" spans="1:24" x14ac:dyDescent="0.35">
      <c r="A323">
        <f>'Filtered Data'!A322</f>
        <v>0</v>
      </c>
      <c r="B323">
        <f>'Filtered Data'!B322</f>
        <v>0</v>
      </c>
      <c r="C323" t="s">
        <v>2</v>
      </c>
      <c r="D323" t="e">
        <f>VLOOKUP('Filtered Data'!Z322,'Data Mapping'!$A$4:$B$7,2,0)</f>
        <v>#N/A</v>
      </c>
      <c r="E323" t="e">
        <f>VLOOKUP('Filtered Data'!C322,'Data Mapping'!$E$3:$F$97,2,0)</f>
        <v>#N/A</v>
      </c>
      <c r="F323">
        <f>'Filtered Data'!D322</f>
        <v>0</v>
      </c>
      <c r="G323" t="e">
        <f>VLOOKUP('Filtered Data'!E322,'Data Mapping'!$J$3:$K$11,2,0)</f>
        <v>#N/A</v>
      </c>
      <c r="H323">
        <f>'Filtered Data'!F322</f>
        <v>0</v>
      </c>
      <c r="I323" t="s">
        <v>5668</v>
      </c>
      <c r="J323" t="s">
        <v>1609</v>
      </c>
      <c r="K323" t="e">
        <f>VLOOKUP('Filtered Data'!A322,'Input 1 CMDB'!A:I,9,0)</f>
        <v>#N/A</v>
      </c>
      <c r="L323">
        <f>'Filtered Data'!K322</f>
        <v>0</v>
      </c>
      <c r="M323" t="e">
        <f t="shared" si="11"/>
        <v>#VALUE!</v>
      </c>
      <c r="N323">
        <f>'Filtered Data'!P322</f>
        <v>0</v>
      </c>
      <c r="O323">
        <f>'Filtered Data'!N322</f>
        <v>0</v>
      </c>
      <c r="P323" t="s">
        <v>5669</v>
      </c>
      <c r="Q323" t="str">
        <f>IF('Filtered Data'!W322,"ITHybridCloudEngineeringOperationsMgmt@Marathonpetroleum.com","mark.newman2@dxc.com")</f>
        <v>mark.newman2@dxc.com</v>
      </c>
      <c r="R323">
        <f t="shared" si="12"/>
        <v>0</v>
      </c>
      <c r="S323" s="31" t="s">
        <v>5738</v>
      </c>
      <c r="T323" t="s">
        <v>1381</v>
      </c>
      <c r="U323">
        <f>'Filtered Data'!V322</f>
        <v>0</v>
      </c>
      <c r="V323" t="str">
        <f>IF('Filtered Data'!W322,"yes","no")</f>
        <v>no</v>
      </c>
      <c r="W323" t="s">
        <v>15</v>
      </c>
      <c r="X323">
        <f>'Filtered Data'!X322</f>
        <v>0</v>
      </c>
    </row>
    <row r="324" spans="1:24" x14ac:dyDescent="0.35">
      <c r="A324">
        <f>'Filtered Data'!A323</f>
        <v>0</v>
      </c>
      <c r="B324">
        <f>'Filtered Data'!B323</f>
        <v>0</v>
      </c>
      <c r="C324" t="s">
        <v>2</v>
      </c>
      <c r="D324" t="e">
        <f>VLOOKUP('Filtered Data'!Z323,'Data Mapping'!$A$4:$B$7,2,0)</f>
        <v>#N/A</v>
      </c>
      <c r="E324" t="e">
        <f>VLOOKUP('Filtered Data'!C323,'Data Mapping'!$E$3:$F$97,2,0)</f>
        <v>#N/A</v>
      </c>
      <c r="F324">
        <f>'Filtered Data'!D323</f>
        <v>0</v>
      </c>
      <c r="G324" t="e">
        <f>VLOOKUP('Filtered Data'!E323,'Data Mapping'!$J$3:$K$11,2,0)</f>
        <v>#N/A</v>
      </c>
      <c r="H324">
        <f>'Filtered Data'!F323</f>
        <v>0</v>
      </c>
      <c r="I324" t="s">
        <v>5668</v>
      </c>
      <c r="J324" t="s">
        <v>1609</v>
      </c>
      <c r="K324" t="e">
        <f>VLOOKUP('Filtered Data'!A323,'Input 1 CMDB'!A:I,9,0)</f>
        <v>#N/A</v>
      </c>
      <c r="L324">
        <f>'Filtered Data'!K323</f>
        <v>0</v>
      </c>
      <c r="M324" t="e">
        <f t="shared" si="11"/>
        <v>#VALUE!</v>
      </c>
      <c r="N324">
        <f>'Filtered Data'!P323</f>
        <v>0</v>
      </c>
      <c r="O324">
        <f>'Filtered Data'!N323</f>
        <v>0</v>
      </c>
      <c r="P324" t="s">
        <v>5669</v>
      </c>
      <c r="Q324" t="str">
        <f>IF('Filtered Data'!W323,"ITHybridCloudEngineeringOperationsMgmt@Marathonpetroleum.com","mark.newman2@dxc.com")</f>
        <v>mark.newman2@dxc.com</v>
      </c>
      <c r="R324">
        <f t="shared" si="12"/>
        <v>0</v>
      </c>
      <c r="S324" s="31" t="s">
        <v>5738</v>
      </c>
      <c r="T324" t="s">
        <v>1381</v>
      </c>
      <c r="U324">
        <f>'Filtered Data'!V323</f>
        <v>0</v>
      </c>
      <c r="V324" t="str">
        <f>IF('Filtered Data'!W323,"yes","no")</f>
        <v>no</v>
      </c>
      <c r="W324" t="s">
        <v>15</v>
      </c>
      <c r="X324">
        <f>'Filtered Data'!X323</f>
        <v>0</v>
      </c>
    </row>
    <row r="325" spans="1:24" x14ac:dyDescent="0.35">
      <c r="A325">
        <f>'Filtered Data'!A324</f>
        <v>0</v>
      </c>
      <c r="B325">
        <f>'Filtered Data'!B324</f>
        <v>0</v>
      </c>
      <c r="C325" t="s">
        <v>2</v>
      </c>
      <c r="D325" t="e">
        <f>VLOOKUP('Filtered Data'!Z324,'Data Mapping'!$A$4:$B$7,2,0)</f>
        <v>#N/A</v>
      </c>
      <c r="E325" t="e">
        <f>VLOOKUP('Filtered Data'!C324,'Data Mapping'!$E$3:$F$97,2,0)</f>
        <v>#N/A</v>
      </c>
      <c r="F325">
        <f>'Filtered Data'!D324</f>
        <v>0</v>
      </c>
      <c r="G325" t="e">
        <f>VLOOKUP('Filtered Data'!E324,'Data Mapping'!$J$3:$K$11,2,0)</f>
        <v>#N/A</v>
      </c>
      <c r="H325">
        <f>'Filtered Data'!F324</f>
        <v>0</v>
      </c>
      <c r="I325" t="s">
        <v>5668</v>
      </c>
      <c r="J325" t="s">
        <v>1609</v>
      </c>
      <c r="K325" t="e">
        <f>VLOOKUP('Filtered Data'!A324,'Input 1 CMDB'!A:I,9,0)</f>
        <v>#N/A</v>
      </c>
      <c r="L325">
        <f>'Filtered Data'!K324</f>
        <v>0</v>
      </c>
      <c r="M325" t="e">
        <f t="shared" si="11"/>
        <v>#VALUE!</v>
      </c>
      <c r="N325">
        <f>'Filtered Data'!P324</f>
        <v>0</v>
      </c>
      <c r="O325">
        <f>'Filtered Data'!N324</f>
        <v>0</v>
      </c>
      <c r="P325" t="s">
        <v>5669</v>
      </c>
      <c r="Q325" t="str">
        <f>IF('Filtered Data'!W324,"ITHybridCloudEngineeringOperationsMgmt@Marathonpetroleum.com","mark.newman2@dxc.com")</f>
        <v>mark.newman2@dxc.com</v>
      </c>
      <c r="R325">
        <f t="shared" si="12"/>
        <v>0</v>
      </c>
      <c r="S325" s="31" t="s">
        <v>5738</v>
      </c>
      <c r="T325" t="s">
        <v>1381</v>
      </c>
      <c r="U325">
        <f>'Filtered Data'!V324</f>
        <v>0</v>
      </c>
      <c r="V325" t="str">
        <f>IF('Filtered Data'!W324,"yes","no")</f>
        <v>no</v>
      </c>
      <c r="W325" t="s">
        <v>15</v>
      </c>
      <c r="X325">
        <f>'Filtered Data'!X324</f>
        <v>0</v>
      </c>
    </row>
    <row r="326" spans="1:24" x14ac:dyDescent="0.35">
      <c r="A326">
        <f>'Filtered Data'!A325</f>
        <v>0</v>
      </c>
      <c r="B326">
        <f>'Filtered Data'!B325</f>
        <v>0</v>
      </c>
      <c r="C326" t="s">
        <v>2</v>
      </c>
      <c r="D326" t="e">
        <f>VLOOKUP('Filtered Data'!Z325,'Data Mapping'!$A$4:$B$7,2,0)</f>
        <v>#N/A</v>
      </c>
      <c r="E326" t="e">
        <f>VLOOKUP('Filtered Data'!C325,'Data Mapping'!$E$3:$F$97,2,0)</f>
        <v>#N/A</v>
      </c>
      <c r="F326">
        <f>'Filtered Data'!D325</f>
        <v>0</v>
      </c>
      <c r="G326" t="e">
        <f>VLOOKUP('Filtered Data'!E325,'Data Mapping'!$J$3:$K$11,2,0)</f>
        <v>#N/A</v>
      </c>
      <c r="H326">
        <f>'Filtered Data'!F325</f>
        <v>0</v>
      </c>
      <c r="I326" t="s">
        <v>5668</v>
      </c>
      <c r="J326" t="s">
        <v>1609</v>
      </c>
      <c r="K326" t="e">
        <f>VLOOKUP('Filtered Data'!A325,'Input 1 CMDB'!A:I,9,0)</f>
        <v>#N/A</v>
      </c>
      <c r="L326">
        <f>'Filtered Data'!K325</f>
        <v>0</v>
      </c>
      <c r="M326" t="e">
        <f t="shared" si="11"/>
        <v>#VALUE!</v>
      </c>
      <c r="N326">
        <f>'Filtered Data'!P325</f>
        <v>0</v>
      </c>
      <c r="O326">
        <f>'Filtered Data'!N325</f>
        <v>0</v>
      </c>
      <c r="P326" t="s">
        <v>5669</v>
      </c>
      <c r="Q326" t="str">
        <f>IF('Filtered Data'!W325,"ITHybridCloudEngineeringOperationsMgmt@Marathonpetroleum.com","mark.newman2@dxc.com")</f>
        <v>mark.newman2@dxc.com</v>
      </c>
      <c r="R326">
        <f t="shared" si="12"/>
        <v>0</v>
      </c>
      <c r="S326" s="31" t="s">
        <v>5738</v>
      </c>
      <c r="T326" t="s">
        <v>1381</v>
      </c>
      <c r="U326">
        <f>'Filtered Data'!V325</f>
        <v>0</v>
      </c>
      <c r="V326" t="str">
        <f>IF('Filtered Data'!W325,"yes","no")</f>
        <v>no</v>
      </c>
      <c r="W326" t="s">
        <v>15</v>
      </c>
      <c r="X326">
        <f>'Filtered Data'!X325</f>
        <v>0</v>
      </c>
    </row>
    <row r="327" spans="1:24" x14ac:dyDescent="0.35">
      <c r="A327">
        <f>'Filtered Data'!A326</f>
        <v>0</v>
      </c>
      <c r="B327">
        <f>'Filtered Data'!B326</f>
        <v>0</v>
      </c>
      <c r="C327" t="s">
        <v>2</v>
      </c>
      <c r="D327" t="e">
        <f>VLOOKUP('Filtered Data'!Z326,'Data Mapping'!$A$4:$B$7,2,0)</f>
        <v>#N/A</v>
      </c>
      <c r="E327" t="e">
        <f>VLOOKUP('Filtered Data'!C326,'Data Mapping'!$E$3:$F$97,2,0)</f>
        <v>#N/A</v>
      </c>
      <c r="F327">
        <f>'Filtered Data'!D326</f>
        <v>0</v>
      </c>
      <c r="G327" t="e">
        <f>VLOOKUP('Filtered Data'!E326,'Data Mapping'!$J$3:$K$11,2,0)</f>
        <v>#N/A</v>
      </c>
      <c r="H327">
        <f>'Filtered Data'!F326</f>
        <v>0</v>
      </c>
      <c r="I327" t="s">
        <v>5668</v>
      </c>
      <c r="J327" t="s">
        <v>1609</v>
      </c>
      <c r="K327" t="e">
        <f>VLOOKUP('Filtered Data'!A326,'Input 1 CMDB'!A:I,9,0)</f>
        <v>#N/A</v>
      </c>
      <c r="L327">
        <f>'Filtered Data'!K326</f>
        <v>0</v>
      </c>
      <c r="M327" t="e">
        <f t="shared" si="11"/>
        <v>#VALUE!</v>
      </c>
      <c r="N327">
        <f>'Filtered Data'!P326</f>
        <v>0</v>
      </c>
      <c r="O327">
        <f>'Filtered Data'!N326</f>
        <v>0</v>
      </c>
      <c r="P327" t="s">
        <v>5669</v>
      </c>
      <c r="Q327" t="str">
        <f>IF('Filtered Data'!W326,"ITHybridCloudEngineeringOperationsMgmt@Marathonpetroleum.com","mark.newman2@dxc.com")</f>
        <v>mark.newman2@dxc.com</v>
      </c>
      <c r="R327">
        <f t="shared" si="12"/>
        <v>0</v>
      </c>
      <c r="S327" s="31" t="s">
        <v>5738</v>
      </c>
      <c r="T327" t="s">
        <v>1381</v>
      </c>
      <c r="U327">
        <f>'Filtered Data'!V326</f>
        <v>0</v>
      </c>
      <c r="V327" t="str">
        <f>IF('Filtered Data'!W326,"yes","no")</f>
        <v>no</v>
      </c>
      <c r="W327" t="s">
        <v>15</v>
      </c>
      <c r="X327">
        <f>'Filtered Data'!X326</f>
        <v>0</v>
      </c>
    </row>
    <row r="328" spans="1:24" x14ac:dyDescent="0.35">
      <c r="A328">
        <f>'Filtered Data'!A327</f>
        <v>0</v>
      </c>
      <c r="B328">
        <f>'Filtered Data'!B327</f>
        <v>0</v>
      </c>
      <c r="C328" t="s">
        <v>2</v>
      </c>
      <c r="D328" t="e">
        <f>VLOOKUP('Filtered Data'!Z327,'Data Mapping'!$A$4:$B$7,2,0)</f>
        <v>#N/A</v>
      </c>
      <c r="E328" t="e">
        <f>VLOOKUP('Filtered Data'!C327,'Data Mapping'!$E$3:$F$97,2,0)</f>
        <v>#N/A</v>
      </c>
      <c r="F328">
        <f>'Filtered Data'!D327</f>
        <v>0</v>
      </c>
      <c r="G328" t="e">
        <f>VLOOKUP('Filtered Data'!E327,'Data Mapping'!$J$3:$K$11,2,0)</f>
        <v>#N/A</v>
      </c>
      <c r="H328">
        <f>'Filtered Data'!F327</f>
        <v>0</v>
      </c>
      <c r="I328" t="s">
        <v>5668</v>
      </c>
      <c r="J328" t="s">
        <v>1609</v>
      </c>
      <c r="K328" t="e">
        <f>VLOOKUP('Filtered Data'!A327,'Input 1 CMDB'!A:I,9,0)</f>
        <v>#N/A</v>
      </c>
      <c r="L328">
        <f>'Filtered Data'!K327</f>
        <v>0</v>
      </c>
      <c r="M328" t="e">
        <f t="shared" si="11"/>
        <v>#VALUE!</v>
      </c>
      <c r="N328">
        <f>'Filtered Data'!P327</f>
        <v>0</v>
      </c>
      <c r="O328">
        <f>'Filtered Data'!N327</f>
        <v>0</v>
      </c>
      <c r="P328" t="s">
        <v>5669</v>
      </c>
      <c r="Q328" t="str">
        <f>IF('Filtered Data'!W327,"ITHybridCloudEngineeringOperationsMgmt@Marathonpetroleum.com","mark.newman2@dxc.com")</f>
        <v>mark.newman2@dxc.com</v>
      </c>
      <c r="R328">
        <f t="shared" si="12"/>
        <v>0</v>
      </c>
      <c r="S328" s="31" t="s">
        <v>5738</v>
      </c>
      <c r="T328" t="s">
        <v>1381</v>
      </c>
      <c r="U328">
        <f>'Filtered Data'!V327</f>
        <v>0</v>
      </c>
      <c r="V328" t="str">
        <f>IF('Filtered Data'!W327,"yes","no")</f>
        <v>no</v>
      </c>
      <c r="W328" t="s">
        <v>15</v>
      </c>
      <c r="X328">
        <f>'Filtered Data'!X327</f>
        <v>0</v>
      </c>
    </row>
    <row r="329" spans="1:24" x14ac:dyDescent="0.35">
      <c r="A329">
        <f>'Filtered Data'!A328</f>
        <v>0</v>
      </c>
      <c r="B329">
        <f>'Filtered Data'!B328</f>
        <v>0</v>
      </c>
      <c r="C329" t="s">
        <v>2</v>
      </c>
      <c r="D329" t="e">
        <f>VLOOKUP('Filtered Data'!Z328,'Data Mapping'!$A$4:$B$7,2,0)</f>
        <v>#N/A</v>
      </c>
      <c r="E329" t="e">
        <f>VLOOKUP('Filtered Data'!C328,'Data Mapping'!$E$3:$F$97,2,0)</f>
        <v>#N/A</v>
      </c>
      <c r="F329">
        <f>'Filtered Data'!D328</f>
        <v>0</v>
      </c>
      <c r="G329" t="e">
        <f>VLOOKUP('Filtered Data'!E328,'Data Mapping'!$J$3:$K$11,2,0)</f>
        <v>#N/A</v>
      </c>
      <c r="H329">
        <f>'Filtered Data'!F328</f>
        <v>0</v>
      </c>
      <c r="I329" t="s">
        <v>5668</v>
      </c>
      <c r="J329" t="s">
        <v>1609</v>
      </c>
      <c r="K329" t="e">
        <f>VLOOKUP('Filtered Data'!A328,'Input 1 CMDB'!A:I,9,0)</f>
        <v>#N/A</v>
      </c>
      <c r="L329">
        <f>'Filtered Data'!K328</f>
        <v>0</v>
      </c>
      <c r="M329" t="e">
        <f t="shared" si="11"/>
        <v>#VALUE!</v>
      </c>
      <c r="N329">
        <f>'Filtered Data'!P328</f>
        <v>0</v>
      </c>
      <c r="O329">
        <f>'Filtered Data'!N328</f>
        <v>0</v>
      </c>
      <c r="P329" t="s">
        <v>5669</v>
      </c>
      <c r="Q329" t="str">
        <f>IF('Filtered Data'!W328,"ITHybridCloudEngineeringOperationsMgmt@Marathonpetroleum.com","mark.newman2@dxc.com")</f>
        <v>mark.newman2@dxc.com</v>
      </c>
      <c r="R329">
        <f t="shared" si="12"/>
        <v>0</v>
      </c>
      <c r="S329" s="31" t="s">
        <v>5738</v>
      </c>
      <c r="T329" t="s">
        <v>1381</v>
      </c>
      <c r="U329">
        <f>'Filtered Data'!V328</f>
        <v>0</v>
      </c>
      <c r="V329" t="str">
        <f>IF('Filtered Data'!W328,"yes","no")</f>
        <v>no</v>
      </c>
      <c r="W329" t="s">
        <v>15</v>
      </c>
      <c r="X329">
        <f>'Filtered Data'!X328</f>
        <v>0</v>
      </c>
    </row>
    <row r="330" spans="1:24" x14ac:dyDescent="0.35">
      <c r="A330">
        <f>'Filtered Data'!A329</f>
        <v>0</v>
      </c>
      <c r="B330">
        <f>'Filtered Data'!B329</f>
        <v>0</v>
      </c>
      <c r="C330" t="s">
        <v>2</v>
      </c>
      <c r="D330" t="e">
        <f>VLOOKUP('Filtered Data'!Z329,'Data Mapping'!$A$4:$B$7,2,0)</f>
        <v>#N/A</v>
      </c>
      <c r="E330" t="e">
        <f>VLOOKUP('Filtered Data'!C329,'Data Mapping'!$E$3:$F$97,2,0)</f>
        <v>#N/A</v>
      </c>
      <c r="F330">
        <f>'Filtered Data'!D329</f>
        <v>0</v>
      </c>
      <c r="G330" t="e">
        <f>VLOOKUP('Filtered Data'!E329,'Data Mapping'!$J$3:$K$11,2,0)</f>
        <v>#N/A</v>
      </c>
      <c r="H330">
        <f>'Filtered Data'!F329</f>
        <v>0</v>
      </c>
      <c r="I330" t="s">
        <v>5668</v>
      </c>
      <c r="J330" t="s">
        <v>1609</v>
      </c>
      <c r="K330" t="e">
        <f>VLOOKUP('Filtered Data'!A329,'Input 1 CMDB'!A:I,9,0)</f>
        <v>#N/A</v>
      </c>
      <c r="L330">
        <f>'Filtered Data'!K329</f>
        <v>0</v>
      </c>
      <c r="M330" t="e">
        <f t="shared" si="11"/>
        <v>#VALUE!</v>
      </c>
      <c r="N330">
        <f>'Filtered Data'!P329</f>
        <v>0</v>
      </c>
      <c r="O330">
        <f>'Filtered Data'!N329</f>
        <v>0</v>
      </c>
      <c r="P330" t="s">
        <v>5669</v>
      </c>
      <c r="Q330" t="str">
        <f>IF('Filtered Data'!W329,"ITHybridCloudEngineeringOperationsMgmt@Marathonpetroleum.com","mark.newman2@dxc.com")</f>
        <v>mark.newman2@dxc.com</v>
      </c>
      <c r="R330">
        <f t="shared" si="12"/>
        <v>0</v>
      </c>
      <c r="S330" s="31" t="s">
        <v>5738</v>
      </c>
      <c r="T330" t="s">
        <v>1381</v>
      </c>
      <c r="U330">
        <f>'Filtered Data'!V329</f>
        <v>0</v>
      </c>
      <c r="V330" t="str">
        <f>IF('Filtered Data'!W329,"yes","no")</f>
        <v>no</v>
      </c>
      <c r="W330" t="s">
        <v>15</v>
      </c>
      <c r="X330">
        <f>'Filtered Data'!X329</f>
        <v>0</v>
      </c>
    </row>
    <row r="331" spans="1:24" x14ac:dyDescent="0.35">
      <c r="A331">
        <f>'Filtered Data'!A330</f>
        <v>0</v>
      </c>
      <c r="B331">
        <f>'Filtered Data'!B330</f>
        <v>0</v>
      </c>
      <c r="C331" t="s">
        <v>2</v>
      </c>
      <c r="D331" t="e">
        <f>VLOOKUP('Filtered Data'!Z330,'Data Mapping'!$A$4:$B$7,2,0)</f>
        <v>#N/A</v>
      </c>
      <c r="E331" t="e">
        <f>VLOOKUP('Filtered Data'!C330,'Data Mapping'!$E$3:$F$97,2,0)</f>
        <v>#N/A</v>
      </c>
      <c r="F331">
        <f>'Filtered Data'!D330</f>
        <v>0</v>
      </c>
      <c r="G331" t="e">
        <f>VLOOKUP('Filtered Data'!E330,'Data Mapping'!$J$3:$K$11,2,0)</f>
        <v>#N/A</v>
      </c>
      <c r="H331">
        <f>'Filtered Data'!F330</f>
        <v>0</v>
      </c>
      <c r="I331" t="s">
        <v>5668</v>
      </c>
      <c r="J331" t="s">
        <v>1609</v>
      </c>
      <c r="K331" t="e">
        <f>VLOOKUP('Filtered Data'!A330,'Input 1 CMDB'!A:I,9,0)</f>
        <v>#N/A</v>
      </c>
      <c r="L331">
        <f>'Filtered Data'!K330</f>
        <v>0</v>
      </c>
      <c r="M331" t="e">
        <f t="shared" si="11"/>
        <v>#VALUE!</v>
      </c>
      <c r="N331">
        <f>'Filtered Data'!P330</f>
        <v>0</v>
      </c>
      <c r="O331">
        <f>'Filtered Data'!N330</f>
        <v>0</v>
      </c>
      <c r="P331" t="s">
        <v>5669</v>
      </c>
      <c r="Q331" t="str">
        <f>IF('Filtered Data'!W330,"ITHybridCloudEngineeringOperationsMgmt@Marathonpetroleum.com","mark.newman2@dxc.com")</f>
        <v>mark.newman2@dxc.com</v>
      </c>
      <c r="R331">
        <f t="shared" si="12"/>
        <v>0</v>
      </c>
      <c r="S331" s="31" t="s">
        <v>5738</v>
      </c>
      <c r="T331" t="s">
        <v>1381</v>
      </c>
      <c r="U331">
        <f>'Filtered Data'!V330</f>
        <v>0</v>
      </c>
      <c r="V331" t="str">
        <f>IF('Filtered Data'!W330,"yes","no")</f>
        <v>no</v>
      </c>
      <c r="W331" t="s">
        <v>15</v>
      </c>
      <c r="X331">
        <f>'Filtered Data'!X330</f>
        <v>0</v>
      </c>
    </row>
    <row r="332" spans="1:24" x14ac:dyDescent="0.35">
      <c r="A332">
        <f>'Filtered Data'!A331</f>
        <v>0</v>
      </c>
      <c r="B332">
        <f>'Filtered Data'!B331</f>
        <v>0</v>
      </c>
      <c r="C332" t="s">
        <v>2</v>
      </c>
      <c r="D332" t="e">
        <f>VLOOKUP('Filtered Data'!Z331,'Data Mapping'!$A$4:$B$7,2,0)</f>
        <v>#N/A</v>
      </c>
      <c r="E332" t="e">
        <f>VLOOKUP('Filtered Data'!C331,'Data Mapping'!$E$3:$F$97,2,0)</f>
        <v>#N/A</v>
      </c>
      <c r="F332">
        <f>'Filtered Data'!D331</f>
        <v>0</v>
      </c>
      <c r="G332" t="e">
        <f>VLOOKUP('Filtered Data'!E331,'Data Mapping'!$J$3:$K$11,2,0)</f>
        <v>#N/A</v>
      </c>
      <c r="H332">
        <f>'Filtered Data'!F331</f>
        <v>0</v>
      </c>
      <c r="I332" t="s">
        <v>5668</v>
      </c>
      <c r="J332" t="s">
        <v>1609</v>
      </c>
      <c r="K332" t="e">
        <f>VLOOKUP('Filtered Data'!A331,'Input 1 CMDB'!A:I,9,0)</f>
        <v>#N/A</v>
      </c>
      <c r="L332">
        <f>'Filtered Data'!K331</f>
        <v>0</v>
      </c>
      <c r="M332" t="e">
        <f t="shared" si="11"/>
        <v>#VALUE!</v>
      </c>
      <c r="N332">
        <f>'Filtered Data'!P331</f>
        <v>0</v>
      </c>
      <c r="O332">
        <f>'Filtered Data'!N331</f>
        <v>0</v>
      </c>
      <c r="P332" t="s">
        <v>5669</v>
      </c>
      <c r="Q332" t="str">
        <f>IF('Filtered Data'!W331,"ITHybridCloudEngineeringOperationsMgmt@Marathonpetroleum.com","mark.newman2@dxc.com")</f>
        <v>mark.newman2@dxc.com</v>
      </c>
      <c r="R332">
        <f t="shared" si="12"/>
        <v>0</v>
      </c>
      <c r="S332" s="31" t="s">
        <v>5738</v>
      </c>
      <c r="T332" t="s">
        <v>1381</v>
      </c>
      <c r="U332">
        <f>'Filtered Data'!V331</f>
        <v>0</v>
      </c>
      <c r="V332" t="str">
        <f>IF('Filtered Data'!W331,"yes","no")</f>
        <v>no</v>
      </c>
      <c r="W332" t="s">
        <v>15</v>
      </c>
      <c r="X332">
        <f>'Filtered Data'!X331</f>
        <v>0</v>
      </c>
    </row>
    <row r="333" spans="1:24" x14ac:dyDescent="0.35">
      <c r="A333">
        <f>'Filtered Data'!A332</f>
        <v>0</v>
      </c>
      <c r="B333">
        <f>'Filtered Data'!B332</f>
        <v>0</v>
      </c>
      <c r="C333" t="s">
        <v>2</v>
      </c>
      <c r="D333" t="e">
        <f>VLOOKUP('Filtered Data'!Z332,'Data Mapping'!$A$4:$B$7,2,0)</f>
        <v>#N/A</v>
      </c>
      <c r="E333" t="e">
        <f>VLOOKUP('Filtered Data'!C332,'Data Mapping'!$E$3:$F$97,2,0)</f>
        <v>#N/A</v>
      </c>
      <c r="F333">
        <f>'Filtered Data'!D332</f>
        <v>0</v>
      </c>
      <c r="G333" t="e">
        <f>VLOOKUP('Filtered Data'!E332,'Data Mapping'!$J$3:$K$11,2,0)</f>
        <v>#N/A</v>
      </c>
      <c r="H333">
        <f>'Filtered Data'!F332</f>
        <v>0</v>
      </c>
      <c r="I333" t="s">
        <v>5668</v>
      </c>
      <c r="J333" t="s">
        <v>1609</v>
      </c>
      <c r="K333" t="e">
        <f>VLOOKUP('Filtered Data'!A332,'Input 1 CMDB'!A:I,9,0)</f>
        <v>#N/A</v>
      </c>
      <c r="L333">
        <f>'Filtered Data'!K332</f>
        <v>0</v>
      </c>
      <c r="M333" t="e">
        <f t="shared" si="11"/>
        <v>#VALUE!</v>
      </c>
      <c r="N333">
        <f>'Filtered Data'!P332</f>
        <v>0</v>
      </c>
      <c r="O333">
        <f>'Filtered Data'!N332</f>
        <v>0</v>
      </c>
      <c r="P333" t="s">
        <v>5669</v>
      </c>
      <c r="Q333" t="str">
        <f>IF('Filtered Data'!W332,"ITHybridCloudEngineeringOperationsMgmt@Marathonpetroleum.com","mark.newman2@dxc.com")</f>
        <v>mark.newman2@dxc.com</v>
      </c>
      <c r="R333">
        <f t="shared" si="12"/>
        <v>0</v>
      </c>
      <c r="S333" s="31" t="s">
        <v>5738</v>
      </c>
      <c r="T333" t="s">
        <v>1381</v>
      </c>
      <c r="U333">
        <f>'Filtered Data'!V332</f>
        <v>0</v>
      </c>
      <c r="V333" t="str">
        <f>IF('Filtered Data'!W332,"yes","no")</f>
        <v>no</v>
      </c>
      <c r="W333" t="s">
        <v>15</v>
      </c>
      <c r="X333">
        <f>'Filtered Data'!X332</f>
        <v>0</v>
      </c>
    </row>
    <row r="334" spans="1:24" x14ac:dyDescent="0.35">
      <c r="A334">
        <f>'Filtered Data'!A333</f>
        <v>0</v>
      </c>
      <c r="B334">
        <f>'Filtered Data'!B333</f>
        <v>0</v>
      </c>
      <c r="C334" t="s">
        <v>2</v>
      </c>
      <c r="D334" t="e">
        <f>VLOOKUP('Filtered Data'!Z333,'Data Mapping'!$A$4:$B$7,2,0)</f>
        <v>#N/A</v>
      </c>
      <c r="E334" t="e">
        <f>VLOOKUP('Filtered Data'!C333,'Data Mapping'!$E$3:$F$97,2,0)</f>
        <v>#N/A</v>
      </c>
      <c r="F334">
        <f>'Filtered Data'!D333</f>
        <v>0</v>
      </c>
      <c r="G334" t="e">
        <f>VLOOKUP('Filtered Data'!E333,'Data Mapping'!$J$3:$K$11,2,0)</f>
        <v>#N/A</v>
      </c>
      <c r="H334">
        <f>'Filtered Data'!F333</f>
        <v>0</v>
      </c>
      <c r="I334" t="s">
        <v>5668</v>
      </c>
      <c r="J334" t="s">
        <v>1609</v>
      </c>
      <c r="K334" t="e">
        <f>VLOOKUP('Filtered Data'!A333,'Input 1 CMDB'!A:I,9,0)</f>
        <v>#N/A</v>
      </c>
      <c r="L334">
        <f>'Filtered Data'!K333</f>
        <v>0</v>
      </c>
      <c r="M334" t="e">
        <f t="shared" si="11"/>
        <v>#VALUE!</v>
      </c>
      <c r="N334">
        <f>'Filtered Data'!P333</f>
        <v>0</v>
      </c>
      <c r="O334">
        <f>'Filtered Data'!N333</f>
        <v>0</v>
      </c>
      <c r="P334" t="s">
        <v>5669</v>
      </c>
      <c r="Q334" t="str">
        <f>IF('Filtered Data'!W333,"ITHybridCloudEngineeringOperationsMgmt@Marathonpetroleum.com","mark.newman2@dxc.com")</f>
        <v>mark.newman2@dxc.com</v>
      </c>
      <c r="R334">
        <f t="shared" si="12"/>
        <v>0</v>
      </c>
      <c r="S334" s="31" t="s">
        <v>5738</v>
      </c>
      <c r="T334" t="s">
        <v>1381</v>
      </c>
      <c r="U334">
        <f>'Filtered Data'!V333</f>
        <v>0</v>
      </c>
      <c r="V334" t="str">
        <f>IF('Filtered Data'!W333,"yes","no")</f>
        <v>no</v>
      </c>
      <c r="W334" t="s">
        <v>15</v>
      </c>
      <c r="X334">
        <f>'Filtered Data'!X333</f>
        <v>0</v>
      </c>
    </row>
    <row r="335" spans="1:24" x14ac:dyDescent="0.35">
      <c r="A335">
        <f>'Filtered Data'!A334</f>
        <v>0</v>
      </c>
      <c r="B335">
        <f>'Filtered Data'!B334</f>
        <v>0</v>
      </c>
      <c r="C335" t="s">
        <v>2</v>
      </c>
      <c r="D335" t="e">
        <f>VLOOKUP('Filtered Data'!Z334,'Data Mapping'!$A$4:$B$7,2,0)</f>
        <v>#N/A</v>
      </c>
      <c r="E335" t="e">
        <f>VLOOKUP('Filtered Data'!C334,'Data Mapping'!$E$3:$F$97,2,0)</f>
        <v>#N/A</v>
      </c>
      <c r="F335">
        <f>'Filtered Data'!D334</f>
        <v>0</v>
      </c>
      <c r="G335" t="e">
        <f>VLOOKUP('Filtered Data'!E334,'Data Mapping'!$J$3:$K$11,2,0)</f>
        <v>#N/A</v>
      </c>
      <c r="H335">
        <f>'Filtered Data'!F334</f>
        <v>0</v>
      </c>
      <c r="I335" t="s">
        <v>5668</v>
      </c>
      <c r="J335" t="s">
        <v>1609</v>
      </c>
      <c r="K335" t="e">
        <f>VLOOKUP('Filtered Data'!A334,'Input 1 CMDB'!A:I,9,0)</f>
        <v>#N/A</v>
      </c>
      <c r="L335">
        <f>'Filtered Data'!K334</f>
        <v>0</v>
      </c>
      <c r="M335" t="e">
        <f t="shared" si="11"/>
        <v>#VALUE!</v>
      </c>
      <c r="N335">
        <f>'Filtered Data'!P334</f>
        <v>0</v>
      </c>
      <c r="O335">
        <f>'Filtered Data'!N334</f>
        <v>0</v>
      </c>
      <c r="P335" t="s">
        <v>5669</v>
      </c>
      <c r="Q335" t="str">
        <f>IF('Filtered Data'!W334,"ITHybridCloudEngineeringOperationsMgmt@Marathonpetroleum.com","mark.newman2@dxc.com")</f>
        <v>mark.newman2@dxc.com</v>
      </c>
      <c r="R335">
        <f t="shared" si="12"/>
        <v>0</v>
      </c>
      <c r="S335" s="31" t="s">
        <v>5738</v>
      </c>
      <c r="T335" t="s">
        <v>1381</v>
      </c>
      <c r="U335">
        <f>'Filtered Data'!V334</f>
        <v>0</v>
      </c>
      <c r="V335" t="str">
        <f>IF('Filtered Data'!W334,"yes","no")</f>
        <v>no</v>
      </c>
      <c r="W335" t="s">
        <v>15</v>
      </c>
      <c r="X335">
        <f>'Filtered Data'!X334</f>
        <v>0</v>
      </c>
    </row>
    <row r="336" spans="1:24" x14ac:dyDescent="0.35">
      <c r="A336">
        <f>'Filtered Data'!A335</f>
        <v>0</v>
      </c>
      <c r="B336">
        <f>'Filtered Data'!B335</f>
        <v>0</v>
      </c>
      <c r="C336" t="s">
        <v>2</v>
      </c>
      <c r="D336" t="e">
        <f>VLOOKUP('Filtered Data'!Z335,'Data Mapping'!$A$4:$B$7,2,0)</f>
        <v>#N/A</v>
      </c>
      <c r="E336" t="e">
        <f>VLOOKUP('Filtered Data'!C335,'Data Mapping'!$E$3:$F$97,2,0)</f>
        <v>#N/A</v>
      </c>
      <c r="F336">
        <f>'Filtered Data'!D335</f>
        <v>0</v>
      </c>
      <c r="G336" t="e">
        <f>VLOOKUP('Filtered Data'!E335,'Data Mapping'!$J$3:$K$11,2,0)</f>
        <v>#N/A</v>
      </c>
      <c r="H336">
        <f>'Filtered Data'!F335</f>
        <v>0</v>
      </c>
      <c r="I336" t="s">
        <v>5668</v>
      </c>
      <c r="J336" t="s">
        <v>1609</v>
      </c>
      <c r="K336" t="e">
        <f>VLOOKUP('Filtered Data'!A335,'Input 1 CMDB'!A:I,9,0)</f>
        <v>#N/A</v>
      </c>
      <c r="L336">
        <f>'Filtered Data'!K335</f>
        <v>0</v>
      </c>
      <c r="M336" t="e">
        <f t="shared" si="11"/>
        <v>#VALUE!</v>
      </c>
      <c r="N336">
        <f>'Filtered Data'!P335</f>
        <v>0</v>
      </c>
      <c r="O336">
        <f>'Filtered Data'!N335</f>
        <v>0</v>
      </c>
      <c r="P336" t="s">
        <v>5669</v>
      </c>
      <c r="Q336" t="str">
        <f>IF('Filtered Data'!W335,"ITHybridCloudEngineeringOperationsMgmt@Marathonpetroleum.com","mark.newman2@dxc.com")</f>
        <v>mark.newman2@dxc.com</v>
      </c>
      <c r="R336">
        <f t="shared" si="12"/>
        <v>0</v>
      </c>
      <c r="S336" s="31" t="s">
        <v>5738</v>
      </c>
      <c r="T336" t="s">
        <v>1381</v>
      </c>
      <c r="U336">
        <f>'Filtered Data'!V335</f>
        <v>0</v>
      </c>
      <c r="V336" t="str">
        <f>IF('Filtered Data'!W335,"yes","no")</f>
        <v>no</v>
      </c>
      <c r="W336" t="s">
        <v>15</v>
      </c>
      <c r="X336">
        <f>'Filtered Data'!X335</f>
        <v>0</v>
      </c>
    </row>
    <row r="337" spans="1:24" x14ac:dyDescent="0.35">
      <c r="A337">
        <f>'Filtered Data'!A336</f>
        <v>0</v>
      </c>
      <c r="B337">
        <f>'Filtered Data'!B336</f>
        <v>0</v>
      </c>
      <c r="C337" t="s">
        <v>2</v>
      </c>
      <c r="D337" t="e">
        <f>VLOOKUP('Filtered Data'!Z336,'Data Mapping'!$A$4:$B$7,2,0)</f>
        <v>#N/A</v>
      </c>
      <c r="E337" t="e">
        <f>VLOOKUP('Filtered Data'!C336,'Data Mapping'!$E$3:$F$97,2,0)</f>
        <v>#N/A</v>
      </c>
      <c r="F337">
        <f>'Filtered Data'!D336</f>
        <v>0</v>
      </c>
      <c r="G337" t="e">
        <f>VLOOKUP('Filtered Data'!E336,'Data Mapping'!$J$3:$K$11,2,0)</f>
        <v>#N/A</v>
      </c>
      <c r="H337">
        <f>'Filtered Data'!F336</f>
        <v>0</v>
      </c>
      <c r="I337" t="s">
        <v>5668</v>
      </c>
      <c r="J337" t="s">
        <v>1609</v>
      </c>
      <c r="K337" t="e">
        <f>VLOOKUP('Filtered Data'!A336,'Input 1 CMDB'!A:I,9,0)</f>
        <v>#N/A</v>
      </c>
      <c r="L337">
        <f>'Filtered Data'!K336</f>
        <v>0</v>
      </c>
      <c r="M337" t="e">
        <f t="shared" si="11"/>
        <v>#VALUE!</v>
      </c>
      <c r="N337">
        <f>'Filtered Data'!P336</f>
        <v>0</v>
      </c>
      <c r="O337">
        <f>'Filtered Data'!N336</f>
        <v>0</v>
      </c>
      <c r="P337" t="s">
        <v>5669</v>
      </c>
      <c r="Q337" t="str">
        <f>IF('Filtered Data'!W336,"ITHybridCloudEngineeringOperationsMgmt@Marathonpetroleum.com","mark.newman2@dxc.com")</f>
        <v>mark.newman2@dxc.com</v>
      </c>
      <c r="R337">
        <f t="shared" si="12"/>
        <v>0</v>
      </c>
      <c r="S337" s="31" t="s">
        <v>5738</v>
      </c>
      <c r="T337" t="s">
        <v>1381</v>
      </c>
      <c r="U337">
        <f>'Filtered Data'!V336</f>
        <v>0</v>
      </c>
      <c r="V337" t="str">
        <f>IF('Filtered Data'!W336,"yes","no")</f>
        <v>no</v>
      </c>
      <c r="W337" t="s">
        <v>15</v>
      </c>
      <c r="X337">
        <f>'Filtered Data'!X336</f>
        <v>0</v>
      </c>
    </row>
    <row r="338" spans="1:24" x14ac:dyDescent="0.35">
      <c r="A338">
        <f>'Filtered Data'!A337</f>
        <v>0</v>
      </c>
      <c r="B338">
        <f>'Filtered Data'!B337</f>
        <v>0</v>
      </c>
      <c r="C338" t="s">
        <v>2</v>
      </c>
      <c r="D338" t="e">
        <f>VLOOKUP('Filtered Data'!Z337,'Data Mapping'!$A$4:$B$7,2,0)</f>
        <v>#N/A</v>
      </c>
      <c r="E338" t="e">
        <f>VLOOKUP('Filtered Data'!C337,'Data Mapping'!$E$3:$F$97,2,0)</f>
        <v>#N/A</v>
      </c>
      <c r="F338">
        <f>'Filtered Data'!D337</f>
        <v>0</v>
      </c>
      <c r="G338" t="e">
        <f>VLOOKUP('Filtered Data'!E337,'Data Mapping'!$J$3:$K$11,2,0)</f>
        <v>#N/A</v>
      </c>
      <c r="H338">
        <f>'Filtered Data'!F337</f>
        <v>0</v>
      </c>
      <c r="I338" t="s">
        <v>5668</v>
      </c>
      <c r="J338" t="s">
        <v>1609</v>
      </c>
      <c r="K338" t="e">
        <f>VLOOKUP('Filtered Data'!A337,'Input 1 CMDB'!A:I,9,0)</f>
        <v>#N/A</v>
      </c>
      <c r="L338">
        <f>'Filtered Data'!K337</f>
        <v>0</v>
      </c>
      <c r="M338" t="e">
        <f t="shared" si="11"/>
        <v>#VALUE!</v>
      </c>
      <c r="N338">
        <f>'Filtered Data'!P337</f>
        <v>0</v>
      </c>
      <c r="O338">
        <f>'Filtered Data'!N337</f>
        <v>0</v>
      </c>
      <c r="P338" t="s">
        <v>5669</v>
      </c>
      <c r="Q338" t="str">
        <f>IF('Filtered Data'!W337,"ITHybridCloudEngineeringOperationsMgmt@Marathonpetroleum.com","mark.newman2@dxc.com")</f>
        <v>mark.newman2@dxc.com</v>
      </c>
      <c r="R338">
        <f t="shared" si="12"/>
        <v>0</v>
      </c>
      <c r="S338" s="31" t="s">
        <v>5738</v>
      </c>
      <c r="T338" t="s">
        <v>1381</v>
      </c>
      <c r="U338">
        <f>'Filtered Data'!V337</f>
        <v>0</v>
      </c>
      <c r="V338" t="str">
        <f>IF('Filtered Data'!W337,"yes","no")</f>
        <v>no</v>
      </c>
      <c r="W338" t="s">
        <v>15</v>
      </c>
      <c r="X338">
        <f>'Filtered Data'!X337</f>
        <v>0</v>
      </c>
    </row>
    <row r="339" spans="1:24" x14ac:dyDescent="0.35">
      <c r="A339">
        <f>'Filtered Data'!A338</f>
        <v>0</v>
      </c>
      <c r="B339">
        <f>'Filtered Data'!B338</f>
        <v>0</v>
      </c>
      <c r="C339" t="s">
        <v>2</v>
      </c>
      <c r="D339" t="e">
        <f>VLOOKUP('Filtered Data'!Z338,'Data Mapping'!$A$4:$B$7,2,0)</f>
        <v>#N/A</v>
      </c>
      <c r="E339" t="e">
        <f>VLOOKUP('Filtered Data'!C338,'Data Mapping'!$E$3:$F$97,2,0)</f>
        <v>#N/A</v>
      </c>
      <c r="F339">
        <f>'Filtered Data'!D338</f>
        <v>0</v>
      </c>
      <c r="G339" t="e">
        <f>VLOOKUP('Filtered Data'!E338,'Data Mapping'!$J$3:$K$11,2,0)</f>
        <v>#N/A</v>
      </c>
      <c r="H339">
        <f>'Filtered Data'!F338</f>
        <v>0</v>
      </c>
      <c r="I339" t="s">
        <v>5668</v>
      </c>
      <c r="J339" t="s">
        <v>1609</v>
      </c>
      <c r="K339" t="e">
        <f>VLOOKUP('Filtered Data'!A338,'Input 1 CMDB'!A:I,9,0)</f>
        <v>#N/A</v>
      </c>
      <c r="L339">
        <f>'Filtered Data'!K338</f>
        <v>0</v>
      </c>
      <c r="M339" t="e">
        <f t="shared" si="11"/>
        <v>#VALUE!</v>
      </c>
      <c r="N339">
        <f>'Filtered Data'!P338</f>
        <v>0</v>
      </c>
      <c r="O339">
        <f>'Filtered Data'!N338</f>
        <v>0</v>
      </c>
      <c r="P339" t="s">
        <v>5669</v>
      </c>
      <c r="Q339" t="str">
        <f>IF('Filtered Data'!W338,"ITHybridCloudEngineeringOperationsMgmt@Marathonpetroleum.com","mark.newman2@dxc.com")</f>
        <v>mark.newman2@dxc.com</v>
      </c>
      <c r="R339">
        <f t="shared" si="12"/>
        <v>0</v>
      </c>
      <c r="S339" s="31" t="s">
        <v>5738</v>
      </c>
      <c r="T339" t="s">
        <v>1381</v>
      </c>
      <c r="U339">
        <f>'Filtered Data'!V338</f>
        <v>0</v>
      </c>
      <c r="V339" t="str">
        <f>IF('Filtered Data'!W338,"yes","no")</f>
        <v>no</v>
      </c>
      <c r="W339" t="s">
        <v>15</v>
      </c>
      <c r="X339">
        <f>'Filtered Data'!X338</f>
        <v>0</v>
      </c>
    </row>
    <row r="340" spans="1:24" x14ac:dyDescent="0.35">
      <c r="A340">
        <f>'Filtered Data'!A339</f>
        <v>0</v>
      </c>
      <c r="B340">
        <f>'Filtered Data'!B339</f>
        <v>0</v>
      </c>
      <c r="C340" t="s">
        <v>2</v>
      </c>
      <c r="D340" t="e">
        <f>VLOOKUP('Filtered Data'!Z339,'Data Mapping'!$A$4:$B$7,2,0)</f>
        <v>#N/A</v>
      </c>
      <c r="E340" t="e">
        <f>VLOOKUP('Filtered Data'!C339,'Data Mapping'!$E$3:$F$97,2,0)</f>
        <v>#N/A</v>
      </c>
      <c r="F340">
        <f>'Filtered Data'!D339</f>
        <v>0</v>
      </c>
      <c r="G340" t="e">
        <f>VLOOKUP('Filtered Data'!E339,'Data Mapping'!$J$3:$K$11,2,0)</f>
        <v>#N/A</v>
      </c>
      <c r="H340">
        <f>'Filtered Data'!F339</f>
        <v>0</v>
      </c>
      <c r="I340" t="s">
        <v>5668</v>
      </c>
      <c r="J340" t="s">
        <v>1609</v>
      </c>
      <c r="K340" t="e">
        <f>VLOOKUP('Filtered Data'!A339,'Input 1 CMDB'!A:I,9,0)</f>
        <v>#N/A</v>
      </c>
      <c r="L340">
        <f>'Filtered Data'!K339</f>
        <v>0</v>
      </c>
      <c r="M340" t="e">
        <f t="shared" si="11"/>
        <v>#VALUE!</v>
      </c>
      <c r="N340">
        <f>'Filtered Data'!P339</f>
        <v>0</v>
      </c>
      <c r="O340">
        <f>'Filtered Data'!N339</f>
        <v>0</v>
      </c>
      <c r="P340" t="s">
        <v>5669</v>
      </c>
      <c r="Q340" t="str">
        <f>IF('Filtered Data'!W339,"ITHybridCloudEngineeringOperationsMgmt@Marathonpetroleum.com","mark.newman2@dxc.com")</f>
        <v>mark.newman2@dxc.com</v>
      </c>
      <c r="R340">
        <f t="shared" si="12"/>
        <v>0</v>
      </c>
      <c r="S340" s="31" t="s">
        <v>5738</v>
      </c>
      <c r="T340" t="s">
        <v>1381</v>
      </c>
      <c r="U340">
        <f>'Filtered Data'!V339</f>
        <v>0</v>
      </c>
      <c r="V340" t="str">
        <f>IF('Filtered Data'!W339,"yes","no")</f>
        <v>no</v>
      </c>
      <c r="W340" t="s">
        <v>15</v>
      </c>
      <c r="X340">
        <f>'Filtered Data'!X339</f>
        <v>0</v>
      </c>
    </row>
    <row r="341" spans="1:24" x14ac:dyDescent="0.35">
      <c r="A341">
        <f>'Filtered Data'!A340</f>
        <v>0</v>
      </c>
      <c r="B341">
        <f>'Filtered Data'!B340</f>
        <v>0</v>
      </c>
      <c r="C341" t="s">
        <v>2</v>
      </c>
      <c r="D341" t="e">
        <f>VLOOKUP('Filtered Data'!Z340,'Data Mapping'!$A$4:$B$7,2,0)</f>
        <v>#N/A</v>
      </c>
      <c r="E341" t="e">
        <f>VLOOKUP('Filtered Data'!C340,'Data Mapping'!$E$3:$F$97,2,0)</f>
        <v>#N/A</v>
      </c>
      <c r="F341">
        <f>'Filtered Data'!D340</f>
        <v>0</v>
      </c>
      <c r="G341" t="e">
        <f>VLOOKUP('Filtered Data'!E340,'Data Mapping'!$J$3:$K$11,2,0)</f>
        <v>#N/A</v>
      </c>
      <c r="H341">
        <f>'Filtered Data'!F340</f>
        <v>0</v>
      </c>
      <c r="I341" t="s">
        <v>5668</v>
      </c>
      <c r="J341" t="s">
        <v>1609</v>
      </c>
      <c r="K341" t="e">
        <f>VLOOKUP('Filtered Data'!A340,'Input 1 CMDB'!A:I,9,0)</f>
        <v>#N/A</v>
      </c>
      <c r="L341">
        <f>'Filtered Data'!K340</f>
        <v>0</v>
      </c>
      <c r="M341" t="e">
        <f t="shared" si="11"/>
        <v>#VALUE!</v>
      </c>
      <c r="N341">
        <f>'Filtered Data'!P340</f>
        <v>0</v>
      </c>
      <c r="O341">
        <f>'Filtered Data'!N340</f>
        <v>0</v>
      </c>
      <c r="P341" t="s">
        <v>5669</v>
      </c>
      <c r="Q341" t="str">
        <f>IF('Filtered Data'!W340,"ITHybridCloudEngineeringOperationsMgmt@Marathonpetroleum.com","mark.newman2@dxc.com")</f>
        <v>mark.newman2@dxc.com</v>
      </c>
      <c r="R341">
        <f t="shared" si="12"/>
        <v>0</v>
      </c>
      <c r="S341" s="31" t="s">
        <v>5738</v>
      </c>
      <c r="T341" t="s">
        <v>1381</v>
      </c>
      <c r="U341">
        <f>'Filtered Data'!V340</f>
        <v>0</v>
      </c>
      <c r="V341" t="str">
        <f>IF('Filtered Data'!W340,"yes","no")</f>
        <v>no</v>
      </c>
      <c r="W341" t="s">
        <v>15</v>
      </c>
      <c r="X341">
        <f>'Filtered Data'!X340</f>
        <v>0</v>
      </c>
    </row>
    <row r="342" spans="1:24" x14ac:dyDescent="0.35">
      <c r="A342">
        <f>'Filtered Data'!A341</f>
        <v>0</v>
      </c>
      <c r="B342">
        <f>'Filtered Data'!B341</f>
        <v>0</v>
      </c>
      <c r="C342" t="s">
        <v>2</v>
      </c>
      <c r="D342" t="e">
        <f>VLOOKUP('Filtered Data'!Z341,'Data Mapping'!$A$4:$B$7,2,0)</f>
        <v>#N/A</v>
      </c>
      <c r="E342" t="e">
        <f>VLOOKUP('Filtered Data'!C341,'Data Mapping'!$E$3:$F$97,2,0)</f>
        <v>#N/A</v>
      </c>
      <c r="F342">
        <f>'Filtered Data'!D341</f>
        <v>0</v>
      </c>
      <c r="G342" t="e">
        <f>VLOOKUP('Filtered Data'!E341,'Data Mapping'!$J$3:$K$11,2,0)</f>
        <v>#N/A</v>
      </c>
      <c r="H342">
        <f>'Filtered Data'!F341</f>
        <v>0</v>
      </c>
      <c r="I342" t="s">
        <v>5668</v>
      </c>
      <c r="J342" t="s">
        <v>1609</v>
      </c>
      <c r="K342" t="e">
        <f>VLOOKUP('Filtered Data'!A341,'Input 1 CMDB'!A:I,9,0)</f>
        <v>#N/A</v>
      </c>
      <c r="L342">
        <f>'Filtered Data'!K341</f>
        <v>0</v>
      </c>
      <c r="M342" t="e">
        <f t="shared" si="11"/>
        <v>#VALUE!</v>
      </c>
      <c r="N342">
        <f>'Filtered Data'!P341</f>
        <v>0</v>
      </c>
      <c r="O342">
        <f>'Filtered Data'!N341</f>
        <v>0</v>
      </c>
      <c r="P342" t="s">
        <v>5669</v>
      </c>
      <c r="Q342" t="str">
        <f>IF('Filtered Data'!W341,"ITHybridCloudEngineeringOperationsMgmt@Marathonpetroleum.com","mark.newman2@dxc.com")</f>
        <v>mark.newman2@dxc.com</v>
      </c>
      <c r="R342">
        <f t="shared" si="12"/>
        <v>0</v>
      </c>
      <c r="S342" s="31" t="s">
        <v>5738</v>
      </c>
      <c r="T342" t="s">
        <v>1381</v>
      </c>
      <c r="U342">
        <f>'Filtered Data'!V341</f>
        <v>0</v>
      </c>
      <c r="V342" t="str">
        <f>IF('Filtered Data'!W341,"yes","no")</f>
        <v>no</v>
      </c>
      <c r="W342" t="s">
        <v>15</v>
      </c>
      <c r="X342">
        <f>'Filtered Data'!X341</f>
        <v>0</v>
      </c>
    </row>
    <row r="343" spans="1:24" x14ac:dyDescent="0.35">
      <c r="A343">
        <f>'Filtered Data'!A342</f>
        <v>0</v>
      </c>
      <c r="B343">
        <f>'Filtered Data'!B342</f>
        <v>0</v>
      </c>
      <c r="C343" t="s">
        <v>2</v>
      </c>
      <c r="D343" t="e">
        <f>VLOOKUP('Filtered Data'!Z342,'Data Mapping'!$A$4:$B$7,2,0)</f>
        <v>#N/A</v>
      </c>
      <c r="E343" t="e">
        <f>VLOOKUP('Filtered Data'!C342,'Data Mapping'!$E$3:$F$97,2,0)</f>
        <v>#N/A</v>
      </c>
      <c r="F343">
        <f>'Filtered Data'!D342</f>
        <v>0</v>
      </c>
      <c r="G343" t="e">
        <f>VLOOKUP('Filtered Data'!E342,'Data Mapping'!$J$3:$K$11,2,0)</f>
        <v>#N/A</v>
      </c>
      <c r="H343">
        <f>'Filtered Data'!F342</f>
        <v>0</v>
      </c>
      <c r="I343" t="s">
        <v>5668</v>
      </c>
      <c r="J343" t="s">
        <v>1609</v>
      </c>
      <c r="K343" t="e">
        <f>VLOOKUP('Filtered Data'!A342,'Input 1 CMDB'!A:I,9,0)</f>
        <v>#N/A</v>
      </c>
      <c r="L343">
        <f>'Filtered Data'!K342</f>
        <v>0</v>
      </c>
      <c r="M343" t="e">
        <f t="shared" si="11"/>
        <v>#VALUE!</v>
      </c>
      <c r="N343">
        <f>'Filtered Data'!P342</f>
        <v>0</v>
      </c>
      <c r="O343">
        <f>'Filtered Data'!N342</f>
        <v>0</v>
      </c>
      <c r="P343" t="s">
        <v>5669</v>
      </c>
      <c r="Q343" t="str">
        <f>IF('Filtered Data'!W342,"ITHybridCloudEngineeringOperationsMgmt@Marathonpetroleum.com","mark.newman2@dxc.com")</f>
        <v>mark.newman2@dxc.com</v>
      </c>
      <c r="R343">
        <f t="shared" si="12"/>
        <v>0</v>
      </c>
      <c r="S343" s="31" t="s">
        <v>5738</v>
      </c>
      <c r="T343" t="s">
        <v>1381</v>
      </c>
      <c r="U343">
        <f>'Filtered Data'!V342</f>
        <v>0</v>
      </c>
      <c r="V343" t="str">
        <f>IF('Filtered Data'!W342,"yes","no")</f>
        <v>no</v>
      </c>
      <c r="W343" t="s">
        <v>15</v>
      </c>
      <c r="X343">
        <f>'Filtered Data'!X342</f>
        <v>0</v>
      </c>
    </row>
    <row r="344" spans="1:24" x14ac:dyDescent="0.35">
      <c r="A344">
        <f>'Filtered Data'!A343</f>
        <v>0</v>
      </c>
      <c r="B344">
        <f>'Filtered Data'!B343</f>
        <v>0</v>
      </c>
      <c r="C344" t="s">
        <v>2</v>
      </c>
      <c r="D344" t="e">
        <f>VLOOKUP('Filtered Data'!Z343,'Data Mapping'!$A$4:$B$7,2,0)</f>
        <v>#N/A</v>
      </c>
      <c r="E344" t="e">
        <f>VLOOKUP('Filtered Data'!C343,'Data Mapping'!$E$3:$F$97,2,0)</f>
        <v>#N/A</v>
      </c>
      <c r="F344">
        <f>'Filtered Data'!D343</f>
        <v>0</v>
      </c>
      <c r="G344" t="e">
        <f>VLOOKUP('Filtered Data'!E343,'Data Mapping'!$J$3:$K$11,2,0)</f>
        <v>#N/A</v>
      </c>
      <c r="H344">
        <f>'Filtered Data'!F343</f>
        <v>0</v>
      </c>
      <c r="I344" t="s">
        <v>5668</v>
      </c>
      <c r="J344" t="s">
        <v>1609</v>
      </c>
      <c r="K344" t="e">
        <f>VLOOKUP('Filtered Data'!A343,'Input 1 CMDB'!A:I,9,0)</f>
        <v>#N/A</v>
      </c>
      <c r="L344">
        <f>'Filtered Data'!K343</f>
        <v>0</v>
      </c>
      <c r="M344" t="e">
        <f t="shared" si="11"/>
        <v>#VALUE!</v>
      </c>
      <c r="N344">
        <f>'Filtered Data'!P343</f>
        <v>0</v>
      </c>
      <c r="O344">
        <f>'Filtered Data'!N343</f>
        <v>0</v>
      </c>
      <c r="P344" t="s">
        <v>5669</v>
      </c>
      <c r="Q344" t="str">
        <f>IF('Filtered Data'!W343,"ITHybridCloudEngineeringOperationsMgmt@Marathonpetroleum.com","mark.newman2@dxc.com")</f>
        <v>mark.newman2@dxc.com</v>
      </c>
      <c r="R344">
        <f t="shared" si="12"/>
        <v>0</v>
      </c>
      <c r="S344" s="31" t="s">
        <v>5738</v>
      </c>
      <c r="T344" t="s">
        <v>1381</v>
      </c>
      <c r="U344">
        <f>'Filtered Data'!V343</f>
        <v>0</v>
      </c>
      <c r="V344" t="str">
        <f>IF('Filtered Data'!W343,"yes","no")</f>
        <v>no</v>
      </c>
      <c r="W344" t="s">
        <v>15</v>
      </c>
      <c r="X344">
        <f>'Filtered Data'!X343</f>
        <v>0</v>
      </c>
    </row>
    <row r="345" spans="1:24" x14ac:dyDescent="0.35">
      <c r="A345">
        <f>'Filtered Data'!A344</f>
        <v>0</v>
      </c>
      <c r="B345">
        <f>'Filtered Data'!B344</f>
        <v>0</v>
      </c>
      <c r="C345" t="s">
        <v>2</v>
      </c>
      <c r="D345" t="e">
        <f>VLOOKUP('Filtered Data'!Z344,'Data Mapping'!$A$4:$B$7,2,0)</f>
        <v>#N/A</v>
      </c>
      <c r="E345" t="e">
        <f>VLOOKUP('Filtered Data'!C344,'Data Mapping'!$E$3:$F$97,2,0)</f>
        <v>#N/A</v>
      </c>
      <c r="F345">
        <f>'Filtered Data'!D344</f>
        <v>0</v>
      </c>
      <c r="G345" t="e">
        <f>VLOOKUP('Filtered Data'!E344,'Data Mapping'!$J$3:$K$11,2,0)</f>
        <v>#N/A</v>
      </c>
      <c r="H345">
        <f>'Filtered Data'!F344</f>
        <v>0</v>
      </c>
      <c r="I345" t="s">
        <v>5668</v>
      </c>
      <c r="J345" t="s">
        <v>1609</v>
      </c>
      <c r="K345" t="e">
        <f>VLOOKUP('Filtered Data'!A344,'Input 1 CMDB'!A:I,9,0)</f>
        <v>#N/A</v>
      </c>
      <c r="L345">
        <f>'Filtered Data'!K344</f>
        <v>0</v>
      </c>
      <c r="M345" t="e">
        <f t="shared" si="11"/>
        <v>#VALUE!</v>
      </c>
      <c r="N345">
        <f>'Filtered Data'!P344</f>
        <v>0</v>
      </c>
      <c r="O345">
        <f>'Filtered Data'!N344</f>
        <v>0</v>
      </c>
      <c r="P345" t="s">
        <v>5669</v>
      </c>
      <c r="Q345" t="str">
        <f>IF('Filtered Data'!W344,"ITHybridCloudEngineeringOperationsMgmt@Marathonpetroleum.com","mark.newman2@dxc.com")</f>
        <v>mark.newman2@dxc.com</v>
      </c>
      <c r="R345">
        <f t="shared" si="12"/>
        <v>0</v>
      </c>
      <c r="S345" s="31" t="s">
        <v>5738</v>
      </c>
      <c r="T345" t="s">
        <v>1381</v>
      </c>
      <c r="U345">
        <f>'Filtered Data'!V344</f>
        <v>0</v>
      </c>
      <c r="V345" t="str">
        <f>IF('Filtered Data'!W344,"yes","no")</f>
        <v>no</v>
      </c>
      <c r="W345" t="s">
        <v>15</v>
      </c>
      <c r="X345">
        <f>'Filtered Data'!X344</f>
        <v>0</v>
      </c>
    </row>
    <row r="346" spans="1:24" x14ac:dyDescent="0.35">
      <c r="A346">
        <f>'Filtered Data'!A345</f>
        <v>0</v>
      </c>
      <c r="B346">
        <f>'Filtered Data'!B345</f>
        <v>0</v>
      </c>
      <c r="C346" t="s">
        <v>2</v>
      </c>
      <c r="D346" t="e">
        <f>VLOOKUP('Filtered Data'!Z345,'Data Mapping'!$A$4:$B$7,2,0)</f>
        <v>#N/A</v>
      </c>
      <c r="E346" t="e">
        <f>VLOOKUP('Filtered Data'!C345,'Data Mapping'!$E$3:$F$97,2,0)</f>
        <v>#N/A</v>
      </c>
      <c r="F346">
        <f>'Filtered Data'!D345</f>
        <v>0</v>
      </c>
      <c r="G346" t="e">
        <f>VLOOKUP('Filtered Data'!E345,'Data Mapping'!$J$3:$K$11,2,0)</f>
        <v>#N/A</v>
      </c>
      <c r="H346">
        <f>'Filtered Data'!F345</f>
        <v>0</v>
      </c>
      <c r="I346" t="s">
        <v>5668</v>
      </c>
      <c r="J346" t="s">
        <v>1609</v>
      </c>
      <c r="K346" t="e">
        <f>VLOOKUP('Filtered Data'!A345,'Input 1 CMDB'!A:I,9,0)</f>
        <v>#N/A</v>
      </c>
      <c r="L346">
        <f>'Filtered Data'!K345</f>
        <v>0</v>
      </c>
      <c r="M346" t="e">
        <f t="shared" si="11"/>
        <v>#VALUE!</v>
      </c>
      <c r="N346">
        <f>'Filtered Data'!P345</f>
        <v>0</v>
      </c>
      <c r="O346">
        <f>'Filtered Data'!N345</f>
        <v>0</v>
      </c>
      <c r="P346" t="s">
        <v>5669</v>
      </c>
      <c r="Q346" t="str">
        <f>IF('Filtered Data'!W345,"ITHybridCloudEngineeringOperationsMgmt@Marathonpetroleum.com","mark.newman2@dxc.com")</f>
        <v>mark.newman2@dxc.com</v>
      </c>
      <c r="R346">
        <f t="shared" si="12"/>
        <v>0</v>
      </c>
      <c r="S346" s="31" t="s">
        <v>5738</v>
      </c>
      <c r="T346" t="s">
        <v>1381</v>
      </c>
      <c r="U346">
        <f>'Filtered Data'!V345</f>
        <v>0</v>
      </c>
      <c r="V346" t="str">
        <f>IF('Filtered Data'!W345,"yes","no")</f>
        <v>no</v>
      </c>
      <c r="W346" t="s">
        <v>15</v>
      </c>
      <c r="X346">
        <f>'Filtered Data'!X345</f>
        <v>0</v>
      </c>
    </row>
    <row r="347" spans="1:24" x14ac:dyDescent="0.35">
      <c r="A347">
        <f>'Filtered Data'!A346</f>
        <v>0</v>
      </c>
      <c r="B347">
        <f>'Filtered Data'!B346</f>
        <v>0</v>
      </c>
      <c r="C347" t="s">
        <v>2</v>
      </c>
      <c r="D347" t="e">
        <f>VLOOKUP('Filtered Data'!Z346,'Data Mapping'!$A$4:$B$7,2,0)</f>
        <v>#N/A</v>
      </c>
      <c r="E347" t="e">
        <f>VLOOKUP('Filtered Data'!C346,'Data Mapping'!$E$3:$F$97,2,0)</f>
        <v>#N/A</v>
      </c>
      <c r="F347">
        <f>'Filtered Data'!D346</f>
        <v>0</v>
      </c>
      <c r="G347" t="e">
        <f>VLOOKUP('Filtered Data'!E346,'Data Mapping'!$J$3:$K$11,2,0)</f>
        <v>#N/A</v>
      </c>
      <c r="H347">
        <f>'Filtered Data'!F346</f>
        <v>0</v>
      </c>
      <c r="I347" t="s">
        <v>5668</v>
      </c>
      <c r="J347" t="s">
        <v>1609</v>
      </c>
      <c r="K347" t="e">
        <f>VLOOKUP('Filtered Data'!A346,'Input 1 CMDB'!A:I,9,0)</f>
        <v>#N/A</v>
      </c>
      <c r="L347">
        <f>'Filtered Data'!K346</f>
        <v>0</v>
      </c>
      <c r="M347" t="e">
        <f t="shared" si="11"/>
        <v>#VALUE!</v>
      </c>
      <c r="N347">
        <f>'Filtered Data'!P346</f>
        <v>0</v>
      </c>
      <c r="O347">
        <f>'Filtered Data'!N346</f>
        <v>0</v>
      </c>
      <c r="P347" t="s">
        <v>5669</v>
      </c>
      <c r="Q347" t="str">
        <f>IF('Filtered Data'!W346,"ITHybridCloudEngineeringOperationsMgmt@Marathonpetroleum.com","mark.newman2@dxc.com")</f>
        <v>mark.newman2@dxc.com</v>
      </c>
      <c r="R347">
        <f t="shared" si="12"/>
        <v>0</v>
      </c>
      <c r="S347" s="31" t="s">
        <v>5738</v>
      </c>
      <c r="T347" t="s">
        <v>1381</v>
      </c>
      <c r="U347">
        <f>'Filtered Data'!V346</f>
        <v>0</v>
      </c>
      <c r="V347" t="str">
        <f>IF('Filtered Data'!W346,"yes","no")</f>
        <v>no</v>
      </c>
      <c r="W347" t="s">
        <v>15</v>
      </c>
      <c r="X347">
        <f>'Filtered Data'!X346</f>
        <v>0</v>
      </c>
    </row>
    <row r="348" spans="1:24" x14ac:dyDescent="0.35">
      <c r="A348">
        <f>'Filtered Data'!A347</f>
        <v>0</v>
      </c>
      <c r="B348">
        <f>'Filtered Data'!B347</f>
        <v>0</v>
      </c>
      <c r="C348" t="s">
        <v>2</v>
      </c>
      <c r="D348" t="e">
        <f>VLOOKUP('Filtered Data'!Z347,'Data Mapping'!$A$4:$B$7,2,0)</f>
        <v>#N/A</v>
      </c>
      <c r="E348" t="e">
        <f>VLOOKUP('Filtered Data'!C347,'Data Mapping'!$E$3:$F$97,2,0)</f>
        <v>#N/A</v>
      </c>
      <c r="F348">
        <f>'Filtered Data'!D347</f>
        <v>0</v>
      </c>
      <c r="G348" t="e">
        <f>VLOOKUP('Filtered Data'!E347,'Data Mapping'!$J$3:$K$11,2,0)</f>
        <v>#N/A</v>
      </c>
      <c r="H348">
        <f>'Filtered Data'!F347</f>
        <v>0</v>
      </c>
      <c r="I348" t="s">
        <v>5668</v>
      </c>
      <c r="J348" t="s">
        <v>1609</v>
      </c>
      <c r="K348" t="e">
        <f>VLOOKUP('Filtered Data'!A347,'Input 1 CMDB'!A:I,9,0)</f>
        <v>#N/A</v>
      </c>
      <c r="L348">
        <f>'Filtered Data'!K347</f>
        <v>0</v>
      </c>
      <c r="M348" t="e">
        <f t="shared" si="11"/>
        <v>#VALUE!</v>
      </c>
      <c r="N348">
        <f>'Filtered Data'!P347</f>
        <v>0</v>
      </c>
      <c r="O348">
        <f>'Filtered Data'!N347</f>
        <v>0</v>
      </c>
      <c r="P348" t="s">
        <v>5669</v>
      </c>
      <c r="Q348" t="str">
        <f>IF('Filtered Data'!W347,"ITHybridCloudEngineeringOperationsMgmt@Marathonpetroleum.com","mark.newman2@dxc.com")</f>
        <v>mark.newman2@dxc.com</v>
      </c>
      <c r="R348">
        <f t="shared" si="12"/>
        <v>0</v>
      </c>
      <c r="S348" s="31" t="s">
        <v>5738</v>
      </c>
      <c r="T348" t="s">
        <v>1381</v>
      </c>
      <c r="U348">
        <f>'Filtered Data'!V347</f>
        <v>0</v>
      </c>
      <c r="V348" t="str">
        <f>IF('Filtered Data'!W347,"yes","no")</f>
        <v>no</v>
      </c>
      <c r="W348" t="s">
        <v>15</v>
      </c>
      <c r="X348">
        <f>'Filtered Data'!X347</f>
        <v>0</v>
      </c>
    </row>
    <row r="349" spans="1:24" x14ac:dyDescent="0.35">
      <c r="A349">
        <f>'Filtered Data'!A348</f>
        <v>0</v>
      </c>
      <c r="B349">
        <f>'Filtered Data'!B348</f>
        <v>0</v>
      </c>
      <c r="C349" t="s">
        <v>2</v>
      </c>
      <c r="D349" t="e">
        <f>VLOOKUP('Filtered Data'!Z348,'Data Mapping'!$A$4:$B$7,2,0)</f>
        <v>#N/A</v>
      </c>
      <c r="E349" t="e">
        <f>VLOOKUP('Filtered Data'!C348,'Data Mapping'!$E$3:$F$97,2,0)</f>
        <v>#N/A</v>
      </c>
      <c r="F349">
        <f>'Filtered Data'!D348</f>
        <v>0</v>
      </c>
      <c r="G349" t="e">
        <f>VLOOKUP('Filtered Data'!E348,'Data Mapping'!$J$3:$K$11,2,0)</f>
        <v>#N/A</v>
      </c>
      <c r="H349">
        <f>'Filtered Data'!F348</f>
        <v>0</v>
      </c>
      <c r="I349" t="s">
        <v>5668</v>
      </c>
      <c r="J349" t="s">
        <v>1609</v>
      </c>
      <c r="K349" t="e">
        <f>VLOOKUP('Filtered Data'!A348,'Input 1 CMDB'!A:I,9,0)</f>
        <v>#N/A</v>
      </c>
      <c r="L349">
        <f>'Filtered Data'!K348</f>
        <v>0</v>
      </c>
      <c r="M349" t="e">
        <f t="shared" si="11"/>
        <v>#VALUE!</v>
      </c>
      <c r="N349">
        <f>'Filtered Data'!P348</f>
        <v>0</v>
      </c>
      <c r="O349">
        <f>'Filtered Data'!N348</f>
        <v>0</v>
      </c>
      <c r="P349" t="s">
        <v>5669</v>
      </c>
      <c r="Q349" t="str">
        <f>IF('Filtered Data'!W348,"ITHybridCloudEngineeringOperationsMgmt@Marathonpetroleum.com","mark.newman2@dxc.com")</f>
        <v>mark.newman2@dxc.com</v>
      </c>
      <c r="R349">
        <f t="shared" si="12"/>
        <v>0</v>
      </c>
      <c r="S349" s="31" t="s">
        <v>5738</v>
      </c>
      <c r="T349" t="s">
        <v>1381</v>
      </c>
      <c r="U349">
        <f>'Filtered Data'!V348</f>
        <v>0</v>
      </c>
      <c r="V349" t="str">
        <f>IF('Filtered Data'!W348,"yes","no")</f>
        <v>no</v>
      </c>
      <c r="W349" t="s">
        <v>15</v>
      </c>
      <c r="X349">
        <f>'Filtered Data'!X348</f>
        <v>0</v>
      </c>
    </row>
    <row r="350" spans="1:24" x14ac:dyDescent="0.35">
      <c r="A350">
        <f>'Filtered Data'!A349</f>
        <v>0</v>
      </c>
      <c r="B350">
        <f>'Filtered Data'!B349</f>
        <v>0</v>
      </c>
      <c r="C350" t="s">
        <v>2</v>
      </c>
      <c r="D350" t="e">
        <f>VLOOKUP('Filtered Data'!Z349,'Data Mapping'!$A$4:$B$7,2,0)</f>
        <v>#N/A</v>
      </c>
      <c r="E350" t="e">
        <f>VLOOKUP('Filtered Data'!C349,'Data Mapping'!$E$3:$F$97,2,0)</f>
        <v>#N/A</v>
      </c>
      <c r="F350">
        <f>'Filtered Data'!D349</f>
        <v>0</v>
      </c>
      <c r="G350" t="e">
        <f>VLOOKUP('Filtered Data'!E349,'Data Mapping'!$J$3:$K$11,2,0)</f>
        <v>#N/A</v>
      </c>
      <c r="H350">
        <f>'Filtered Data'!F349</f>
        <v>0</v>
      </c>
      <c r="I350" t="s">
        <v>5668</v>
      </c>
      <c r="J350" t="s">
        <v>1609</v>
      </c>
      <c r="K350" t="e">
        <f>VLOOKUP('Filtered Data'!A349,'Input 1 CMDB'!A:I,9,0)</f>
        <v>#N/A</v>
      </c>
      <c r="L350">
        <f>'Filtered Data'!K349</f>
        <v>0</v>
      </c>
      <c r="M350" t="e">
        <f t="shared" si="11"/>
        <v>#VALUE!</v>
      </c>
      <c r="N350">
        <f>'Filtered Data'!P349</f>
        <v>0</v>
      </c>
      <c r="O350">
        <f>'Filtered Data'!N349</f>
        <v>0</v>
      </c>
      <c r="P350" t="s">
        <v>5669</v>
      </c>
      <c r="Q350" t="str">
        <f>IF('Filtered Data'!W349,"ITHybridCloudEngineeringOperationsMgmt@Marathonpetroleum.com","mark.newman2@dxc.com")</f>
        <v>mark.newman2@dxc.com</v>
      </c>
      <c r="R350">
        <f t="shared" si="12"/>
        <v>0</v>
      </c>
      <c r="S350" s="31" t="s">
        <v>5738</v>
      </c>
      <c r="T350" t="s">
        <v>1381</v>
      </c>
      <c r="U350">
        <f>'Filtered Data'!V349</f>
        <v>0</v>
      </c>
      <c r="V350" t="str">
        <f>IF('Filtered Data'!W349,"yes","no")</f>
        <v>no</v>
      </c>
      <c r="W350" t="s">
        <v>15</v>
      </c>
      <c r="X350">
        <f>'Filtered Data'!X349</f>
        <v>0</v>
      </c>
    </row>
    <row r="351" spans="1:24" x14ac:dyDescent="0.35">
      <c r="A351">
        <f>'Filtered Data'!A350</f>
        <v>0</v>
      </c>
      <c r="B351">
        <f>'Filtered Data'!B350</f>
        <v>0</v>
      </c>
      <c r="C351" t="s">
        <v>2</v>
      </c>
      <c r="D351" t="e">
        <f>VLOOKUP('Filtered Data'!Z350,'Data Mapping'!$A$4:$B$7,2,0)</f>
        <v>#N/A</v>
      </c>
      <c r="E351" t="e">
        <f>VLOOKUP('Filtered Data'!C350,'Data Mapping'!$E$3:$F$97,2,0)</f>
        <v>#N/A</v>
      </c>
      <c r="F351">
        <f>'Filtered Data'!D350</f>
        <v>0</v>
      </c>
      <c r="G351" t="e">
        <f>VLOOKUP('Filtered Data'!E350,'Data Mapping'!$J$3:$K$11,2,0)</f>
        <v>#N/A</v>
      </c>
      <c r="H351">
        <f>'Filtered Data'!F350</f>
        <v>0</v>
      </c>
      <c r="I351" t="s">
        <v>5668</v>
      </c>
      <c r="J351" t="s">
        <v>1609</v>
      </c>
      <c r="K351" t="e">
        <f>VLOOKUP('Filtered Data'!A350,'Input 1 CMDB'!A:I,9,0)</f>
        <v>#N/A</v>
      </c>
      <c r="L351">
        <f>'Filtered Data'!K350</f>
        <v>0</v>
      </c>
      <c r="M351" t="e">
        <f t="shared" si="11"/>
        <v>#VALUE!</v>
      </c>
      <c r="N351">
        <f>'Filtered Data'!P350</f>
        <v>0</v>
      </c>
      <c r="O351">
        <f>'Filtered Data'!N350</f>
        <v>0</v>
      </c>
      <c r="P351" t="s">
        <v>5669</v>
      </c>
      <c r="Q351" t="str">
        <f>IF('Filtered Data'!W350,"ITHybridCloudEngineeringOperationsMgmt@Marathonpetroleum.com","mark.newman2@dxc.com")</f>
        <v>mark.newman2@dxc.com</v>
      </c>
      <c r="R351">
        <f t="shared" si="12"/>
        <v>0</v>
      </c>
      <c r="S351" s="31" t="s">
        <v>5738</v>
      </c>
      <c r="T351" t="s">
        <v>1381</v>
      </c>
      <c r="U351">
        <f>'Filtered Data'!V350</f>
        <v>0</v>
      </c>
      <c r="V351" t="str">
        <f>IF('Filtered Data'!W350,"yes","no")</f>
        <v>no</v>
      </c>
      <c r="W351" t="s">
        <v>15</v>
      </c>
      <c r="X351">
        <f>'Filtered Data'!X350</f>
        <v>0</v>
      </c>
    </row>
    <row r="352" spans="1:24" x14ac:dyDescent="0.35">
      <c r="A352">
        <f>'Filtered Data'!A351</f>
        <v>0</v>
      </c>
      <c r="B352">
        <f>'Filtered Data'!B351</f>
        <v>0</v>
      </c>
      <c r="C352" t="s">
        <v>2</v>
      </c>
      <c r="D352" t="e">
        <f>VLOOKUP('Filtered Data'!Z351,'Data Mapping'!$A$4:$B$7,2,0)</f>
        <v>#N/A</v>
      </c>
      <c r="E352" t="e">
        <f>VLOOKUP('Filtered Data'!C351,'Data Mapping'!$E$3:$F$97,2,0)</f>
        <v>#N/A</v>
      </c>
      <c r="F352">
        <f>'Filtered Data'!D351</f>
        <v>0</v>
      </c>
      <c r="G352" t="e">
        <f>VLOOKUP('Filtered Data'!E351,'Data Mapping'!$J$3:$K$11,2,0)</f>
        <v>#N/A</v>
      </c>
      <c r="H352">
        <f>'Filtered Data'!F351</f>
        <v>0</v>
      </c>
      <c r="I352" t="s">
        <v>5668</v>
      </c>
      <c r="J352" t="s">
        <v>1609</v>
      </c>
      <c r="K352" t="e">
        <f>VLOOKUP('Filtered Data'!A351,'Input 1 CMDB'!A:I,9,0)</f>
        <v>#N/A</v>
      </c>
      <c r="L352">
        <f>'Filtered Data'!K351</f>
        <v>0</v>
      </c>
      <c r="M352" t="e">
        <f t="shared" si="11"/>
        <v>#VALUE!</v>
      </c>
      <c r="N352">
        <f>'Filtered Data'!P351</f>
        <v>0</v>
      </c>
      <c r="O352">
        <f>'Filtered Data'!N351</f>
        <v>0</v>
      </c>
      <c r="P352" t="s">
        <v>5669</v>
      </c>
      <c r="Q352" t="str">
        <f>IF('Filtered Data'!W351,"ITHybridCloudEngineeringOperationsMgmt@Marathonpetroleum.com","mark.newman2@dxc.com")</f>
        <v>mark.newman2@dxc.com</v>
      </c>
      <c r="R352">
        <f t="shared" si="12"/>
        <v>0</v>
      </c>
      <c r="S352" s="31" t="s">
        <v>5738</v>
      </c>
      <c r="T352" t="s">
        <v>1381</v>
      </c>
      <c r="U352">
        <f>'Filtered Data'!V351</f>
        <v>0</v>
      </c>
      <c r="V352" t="str">
        <f>IF('Filtered Data'!W351,"yes","no")</f>
        <v>no</v>
      </c>
      <c r="W352" t="s">
        <v>15</v>
      </c>
      <c r="X352">
        <f>'Filtered Data'!X351</f>
        <v>0</v>
      </c>
    </row>
    <row r="353" spans="1:24" x14ac:dyDescent="0.35">
      <c r="A353">
        <f>'Filtered Data'!A352</f>
        <v>0</v>
      </c>
      <c r="B353">
        <f>'Filtered Data'!B352</f>
        <v>0</v>
      </c>
      <c r="C353" t="s">
        <v>2</v>
      </c>
      <c r="D353" t="e">
        <f>VLOOKUP('Filtered Data'!Z352,'Data Mapping'!$A$4:$B$7,2,0)</f>
        <v>#N/A</v>
      </c>
      <c r="E353" t="e">
        <f>VLOOKUP('Filtered Data'!C352,'Data Mapping'!$E$3:$F$97,2,0)</f>
        <v>#N/A</v>
      </c>
      <c r="F353">
        <f>'Filtered Data'!D352</f>
        <v>0</v>
      </c>
      <c r="G353" t="e">
        <f>VLOOKUP('Filtered Data'!E352,'Data Mapping'!$J$3:$K$11,2,0)</f>
        <v>#N/A</v>
      </c>
      <c r="H353">
        <f>'Filtered Data'!F352</f>
        <v>0</v>
      </c>
      <c r="I353" t="s">
        <v>5668</v>
      </c>
      <c r="J353" t="s">
        <v>1609</v>
      </c>
      <c r="K353" t="e">
        <f>VLOOKUP('Filtered Data'!A352,'Input 1 CMDB'!A:I,9,0)</f>
        <v>#N/A</v>
      </c>
      <c r="L353">
        <f>'Filtered Data'!K352</f>
        <v>0</v>
      </c>
      <c r="M353" t="e">
        <f t="shared" si="11"/>
        <v>#VALUE!</v>
      </c>
      <c r="N353">
        <f>'Filtered Data'!P352</f>
        <v>0</v>
      </c>
      <c r="O353">
        <f>'Filtered Data'!N352</f>
        <v>0</v>
      </c>
      <c r="P353" t="s">
        <v>5669</v>
      </c>
      <c r="Q353" t="str">
        <f>IF('Filtered Data'!W352,"ITHybridCloudEngineeringOperationsMgmt@Marathonpetroleum.com","mark.newman2@dxc.com")</f>
        <v>mark.newman2@dxc.com</v>
      </c>
      <c r="R353">
        <f t="shared" si="12"/>
        <v>0</v>
      </c>
      <c r="S353" s="31" t="s">
        <v>5738</v>
      </c>
      <c r="T353" t="s">
        <v>1381</v>
      </c>
      <c r="U353">
        <f>'Filtered Data'!V352</f>
        <v>0</v>
      </c>
      <c r="V353" t="str">
        <f>IF('Filtered Data'!W352,"yes","no")</f>
        <v>no</v>
      </c>
      <c r="W353" t="s">
        <v>15</v>
      </c>
      <c r="X353">
        <f>'Filtered Data'!X352</f>
        <v>0</v>
      </c>
    </row>
    <row r="354" spans="1:24" x14ac:dyDescent="0.35">
      <c r="A354">
        <f>'Filtered Data'!A353</f>
        <v>0</v>
      </c>
      <c r="B354">
        <f>'Filtered Data'!B353</f>
        <v>0</v>
      </c>
      <c r="C354" t="s">
        <v>2</v>
      </c>
      <c r="D354" t="e">
        <f>VLOOKUP('Filtered Data'!Z353,'Data Mapping'!$A$4:$B$7,2,0)</f>
        <v>#N/A</v>
      </c>
      <c r="E354" t="e">
        <f>VLOOKUP('Filtered Data'!C353,'Data Mapping'!$E$3:$F$97,2,0)</f>
        <v>#N/A</v>
      </c>
      <c r="F354">
        <f>'Filtered Data'!D353</f>
        <v>0</v>
      </c>
      <c r="G354" t="e">
        <f>VLOOKUP('Filtered Data'!E353,'Data Mapping'!$J$3:$K$11,2,0)</f>
        <v>#N/A</v>
      </c>
      <c r="H354">
        <f>'Filtered Data'!F353</f>
        <v>0</v>
      </c>
      <c r="I354" t="s">
        <v>5668</v>
      </c>
      <c r="J354" t="s">
        <v>1609</v>
      </c>
      <c r="K354" t="e">
        <f>VLOOKUP('Filtered Data'!A353,'Input 1 CMDB'!A:I,9,0)</f>
        <v>#N/A</v>
      </c>
      <c r="L354">
        <f>'Filtered Data'!K353</f>
        <v>0</v>
      </c>
      <c r="M354" t="e">
        <f t="shared" si="11"/>
        <v>#VALUE!</v>
      </c>
      <c r="N354">
        <f>'Filtered Data'!P353</f>
        <v>0</v>
      </c>
      <c r="O354">
        <f>'Filtered Data'!N353</f>
        <v>0</v>
      </c>
      <c r="P354" t="s">
        <v>5669</v>
      </c>
      <c r="Q354" t="str">
        <f>IF('Filtered Data'!W353,"ITHybridCloudEngineeringOperationsMgmt@Marathonpetroleum.com","mark.newman2@dxc.com")</f>
        <v>mark.newman2@dxc.com</v>
      </c>
      <c r="R354">
        <f t="shared" si="12"/>
        <v>0</v>
      </c>
      <c r="S354" s="31" t="s">
        <v>5738</v>
      </c>
      <c r="T354" t="s">
        <v>1381</v>
      </c>
      <c r="U354">
        <f>'Filtered Data'!V353</f>
        <v>0</v>
      </c>
      <c r="V354" t="str">
        <f>IF('Filtered Data'!W353,"yes","no")</f>
        <v>no</v>
      </c>
      <c r="W354" t="s">
        <v>15</v>
      </c>
      <c r="X354">
        <f>'Filtered Data'!X353</f>
        <v>0</v>
      </c>
    </row>
    <row r="355" spans="1:24" x14ac:dyDescent="0.35">
      <c r="A355">
        <f>'Filtered Data'!A354</f>
        <v>0</v>
      </c>
      <c r="B355">
        <f>'Filtered Data'!B354</f>
        <v>0</v>
      </c>
      <c r="C355" t="s">
        <v>2</v>
      </c>
      <c r="D355" t="e">
        <f>VLOOKUP('Filtered Data'!Z354,'Data Mapping'!$A$4:$B$7,2,0)</f>
        <v>#N/A</v>
      </c>
      <c r="E355" t="e">
        <f>VLOOKUP('Filtered Data'!C354,'Data Mapping'!$E$3:$F$97,2,0)</f>
        <v>#N/A</v>
      </c>
      <c r="F355">
        <f>'Filtered Data'!D354</f>
        <v>0</v>
      </c>
      <c r="G355" t="e">
        <f>VLOOKUP('Filtered Data'!E354,'Data Mapping'!$J$3:$K$11,2,0)</f>
        <v>#N/A</v>
      </c>
      <c r="H355">
        <f>'Filtered Data'!F354</f>
        <v>0</v>
      </c>
      <c r="I355" t="s">
        <v>5668</v>
      </c>
      <c r="J355" t="s">
        <v>1609</v>
      </c>
      <c r="K355" t="e">
        <f>VLOOKUP('Filtered Data'!A354,'Input 1 CMDB'!A:I,9,0)</f>
        <v>#N/A</v>
      </c>
      <c r="L355">
        <f>'Filtered Data'!K354</f>
        <v>0</v>
      </c>
      <c r="M355" t="e">
        <f t="shared" si="11"/>
        <v>#VALUE!</v>
      </c>
      <c r="N355">
        <f>'Filtered Data'!P354</f>
        <v>0</v>
      </c>
      <c r="O355">
        <f>'Filtered Data'!N354</f>
        <v>0</v>
      </c>
      <c r="P355" t="s">
        <v>5669</v>
      </c>
      <c r="Q355" t="str">
        <f>IF('Filtered Data'!W354,"ITHybridCloudEngineeringOperationsMgmt@Marathonpetroleum.com","mark.newman2@dxc.com")</f>
        <v>mark.newman2@dxc.com</v>
      </c>
      <c r="R355">
        <f t="shared" si="12"/>
        <v>0</v>
      </c>
      <c r="S355" s="31" t="s">
        <v>5738</v>
      </c>
      <c r="T355" t="s">
        <v>1381</v>
      </c>
      <c r="U355">
        <f>'Filtered Data'!V354</f>
        <v>0</v>
      </c>
      <c r="V355" t="str">
        <f>IF('Filtered Data'!W354,"yes","no")</f>
        <v>no</v>
      </c>
      <c r="W355" t="s">
        <v>15</v>
      </c>
      <c r="X355">
        <f>'Filtered Data'!X354</f>
        <v>0</v>
      </c>
    </row>
    <row r="356" spans="1:24" x14ac:dyDescent="0.35">
      <c r="A356">
        <f>'Filtered Data'!A355</f>
        <v>0</v>
      </c>
      <c r="B356">
        <f>'Filtered Data'!B355</f>
        <v>0</v>
      </c>
      <c r="C356" t="s">
        <v>2</v>
      </c>
      <c r="D356" t="e">
        <f>VLOOKUP('Filtered Data'!Z355,'Data Mapping'!$A$4:$B$7,2,0)</f>
        <v>#N/A</v>
      </c>
      <c r="E356" t="e">
        <f>VLOOKUP('Filtered Data'!C355,'Data Mapping'!$E$3:$F$97,2,0)</f>
        <v>#N/A</v>
      </c>
      <c r="F356">
        <f>'Filtered Data'!D355</f>
        <v>0</v>
      </c>
      <c r="G356" t="e">
        <f>VLOOKUP('Filtered Data'!E355,'Data Mapping'!$J$3:$K$11,2,0)</f>
        <v>#N/A</v>
      </c>
      <c r="H356">
        <f>'Filtered Data'!F355</f>
        <v>0</v>
      </c>
      <c r="I356" t="s">
        <v>5668</v>
      </c>
      <c r="J356" t="s">
        <v>1609</v>
      </c>
      <c r="K356" t="e">
        <f>VLOOKUP('Filtered Data'!A355,'Input 1 CMDB'!A:I,9,0)</f>
        <v>#N/A</v>
      </c>
      <c r="L356">
        <f>'Filtered Data'!K355</f>
        <v>0</v>
      </c>
      <c r="M356" t="e">
        <f t="shared" si="11"/>
        <v>#VALUE!</v>
      </c>
      <c r="N356">
        <f>'Filtered Data'!P355</f>
        <v>0</v>
      </c>
      <c r="O356">
        <f>'Filtered Data'!N355</f>
        <v>0</v>
      </c>
      <c r="P356" t="s">
        <v>5669</v>
      </c>
      <c r="Q356" t="str">
        <f>IF('Filtered Data'!W355,"ITHybridCloudEngineeringOperationsMgmt@Marathonpetroleum.com","mark.newman2@dxc.com")</f>
        <v>mark.newman2@dxc.com</v>
      </c>
      <c r="R356">
        <f t="shared" si="12"/>
        <v>0</v>
      </c>
      <c r="S356" s="31" t="s">
        <v>5738</v>
      </c>
      <c r="T356" t="s">
        <v>1381</v>
      </c>
      <c r="U356">
        <f>'Filtered Data'!V355</f>
        <v>0</v>
      </c>
      <c r="V356" t="str">
        <f>IF('Filtered Data'!W355,"yes","no")</f>
        <v>no</v>
      </c>
      <c r="W356" t="s">
        <v>15</v>
      </c>
      <c r="X356">
        <f>'Filtered Data'!X355</f>
        <v>0</v>
      </c>
    </row>
    <row r="357" spans="1:24" x14ac:dyDescent="0.35">
      <c r="A357">
        <f>'Filtered Data'!A356</f>
        <v>0</v>
      </c>
      <c r="B357">
        <f>'Filtered Data'!B356</f>
        <v>0</v>
      </c>
      <c r="C357" t="s">
        <v>2</v>
      </c>
      <c r="D357" t="e">
        <f>VLOOKUP('Filtered Data'!Z356,'Data Mapping'!$A$4:$B$7,2,0)</f>
        <v>#N/A</v>
      </c>
      <c r="E357" t="e">
        <f>VLOOKUP('Filtered Data'!C356,'Data Mapping'!$E$3:$F$97,2,0)</f>
        <v>#N/A</v>
      </c>
      <c r="F357">
        <f>'Filtered Data'!D356</f>
        <v>0</v>
      </c>
      <c r="G357" t="e">
        <f>VLOOKUP('Filtered Data'!E356,'Data Mapping'!$J$3:$K$11,2,0)</f>
        <v>#N/A</v>
      </c>
      <c r="H357">
        <f>'Filtered Data'!F356</f>
        <v>0</v>
      </c>
      <c r="I357" t="s">
        <v>5668</v>
      </c>
      <c r="J357" t="s">
        <v>1609</v>
      </c>
      <c r="K357" t="e">
        <f>VLOOKUP('Filtered Data'!A356,'Input 1 CMDB'!A:I,9,0)</f>
        <v>#N/A</v>
      </c>
      <c r="L357">
        <f>'Filtered Data'!K356</f>
        <v>0</v>
      </c>
      <c r="M357" t="e">
        <f t="shared" si="11"/>
        <v>#VALUE!</v>
      </c>
      <c r="N357">
        <f>'Filtered Data'!P356</f>
        <v>0</v>
      </c>
      <c r="O357">
        <f>'Filtered Data'!N356</f>
        <v>0</v>
      </c>
      <c r="P357" t="s">
        <v>5669</v>
      </c>
      <c r="Q357" t="str">
        <f>IF('Filtered Data'!W356,"ITHybridCloudEngineeringOperationsMgmt@Marathonpetroleum.com","mark.newman2@dxc.com")</f>
        <v>mark.newman2@dxc.com</v>
      </c>
      <c r="R357">
        <f t="shared" si="12"/>
        <v>0</v>
      </c>
      <c r="S357" s="31" t="s">
        <v>5738</v>
      </c>
      <c r="T357" t="s">
        <v>1381</v>
      </c>
      <c r="U357">
        <f>'Filtered Data'!V356</f>
        <v>0</v>
      </c>
      <c r="V357" t="str">
        <f>IF('Filtered Data'!W356,"yes","no")</f>
        <v>no</v>
      </c>
      <c r="W357" t="s">
        <v>15</v>
      </c>
      <c r="X357">
        <f>'Filtered Data'!X356</f>
        <v>0</v>
      </c>
    </row>
    <row r="358" spans="1:24" x14ac:dyDescent="0.35">
      <c r="A358">
        <f>'Filtered Data'!A357</f>
        <v>0</v>
      </c>
      <c r="B358">
        <f>'Filtered Data'!B357</f>
        <v>0</v>
      </c>
      <c r="C358" t="s">
        <v>2</v>
      </c>
      <c r="D358" t="e">
        <f>VLOOKUP('Filtered Data'!Z357,'Data Mapping'!$A$4:$B$7,2,0)</f>
        <v>#N/A</v>
      </c>
      <c r="E358" t="e">
        <f>VLOOKUP('Filtered Data'!C357,'Data Mapping'!$E$3:$F$97,2,0)</f>
        <v>#N/A</v>
      </c>
      <c r="F358">
        <f>'Filtered Data'!D357</f>
        <v>0</v>
      </c>
      <c r="G358" t="e">
        <f>VLOOKUP('Filtered Data'!E357,'Data Mapping'!$J$3:$K$11,2,0)</f>
        <v>#N/A</v>
      </c>
      <c r="H358">
        <f>'Filtered Data'!F357</f>
        <v>0</v>
      </c>
      <c r="I358" t="s">
        <v>5668</v>
      </c>
      <c r="J358" t="s">
        <v>1609</v>
      </c>
      <c r="K358" t="e">
        <f>VLOOKUP('Filtered Data'!A357,'Input 1 CMDB'!A:I,9,0)</f>
        <v>#N/A</v>
      </c>
      <c r="L358">
        <f>'Filtered Data'!K357</f>
        <v>0</v>
      </c>
      <c r="M358" t="e">
        <f t="shared" si="11"/>
        <v>#VALUE!</v>
      </c>
      <c r="N358">
        <f>'Filtered Data'!P357</f>
        <v>0</v>
      </c>
      <c r="O358">
        <f>'Filtered Data'!N357</f>
        <v>0</v>
      </c>
      <c r="P358" t="s">
        <v>5669</v>
      </c>
      <c r="Q358" t="str">
        <f>IF('Filtered Data'!W357,"ITHybridCloudEngineeringOperationsMgmt@Marathonpetroleum.com","mark.newman2@dxc.com")</f>
        <v>mark.newman2@dxc.com</v>
      </c>
      <c r="R358">
        <f t="shared" si="12"/>
        <v>0</v>
      </c>
      <c r="S358" s="31" t="s">
        <v>5738</v>
      </c>
      <c r="T358" t="s">
        <v>1381</v>
      </c>
      <c r="U358">
        <f>'Filtered Data'!V357</f>
        <v>0</v>
      </c>
      <c r="V358" t="str">
        <f>IF('Filtered Data'!W357,"yes","no")</f>
        <v>no</v>
      </c>
      <c r="W358" t="s">
        <v>15</v>
      </c>
      <c r="X358">
        <f>'Filtered Data'!X357</f>
        <v>0</v>
      </c>
    </row>
    <row r="359" spans="1:24" x14ac:dyDescent="0.35">
      <c r="A359">
        <f>'Filtered Data'!A358</f>
        <v>0</v>
      </c>
      <c r="B359">
        <f>'Filtered Data'!B358</f>
        <v>0</v>
      </c>
      <c r="C359" t="s">
        <v>2</v>
      </c>
      <c r="D359" t="e">
        <f>VLOOKUP('Filtered Data'!Z358,'Data Mapping'!$A$4:$B$7,2,0)</f>
        <v>#N/A</v>
      </c>
      <c r="E359" t="e">
        <f>VLOOKUP('Filtered Data'!C358,'Data Mapping'!$E$3:$F$97,2,0)</f>
        <v>#N/A</v>
      </c>
      <c r="F359">
        <f>'Filtered Data'!D358</f>
        <v>0</v>
      </c>
      <c r="G359" t="e">
        <f>VLOOKUP('Filtered Data'!E358,'Data Mapping'!$J$3:$K$11,2,0)</f>
        <v>#N/A</v>
      </c>
      <c r="H359">
        <f>'Filtered Data'!F358</f>
        <v>0</v>
      </c>
      <c r="I359" t="s">
        <v>5668</v>
      </c>
      <c r="J359" t="s">
        <v>1609</v>
      </c>
      <c r="K359" t="e">
        <f>VLOOKUP('Filtered Data'!A358,'Input 1 CMDB'!A:I,9,0)</f>
        <v>#N/A</v>
      </c>
      <c r="L359">
        <f>'Filtered Data'!K358</f>
        <v>0</v>
      </c>
      <c r="M359" t="e">
        <f t="shared" ref="M359:M422" si="13">MID(B359,FIND(".",B359)+1,(LEN(B359)-FIND(".",B359)))</f>
        <v>#VALUE!</v>
      </c>
      <c r="N359">
        <f>'Filtered Data'!P358</f>
        <v>0</v>
      </c>
      <c r="O359">
        <f>'Filtered Data'!N358</f>
        <v>0</v>
      </c>
      <c r="P359" t="s">
        <v>5669</v>
      </c>
      <c r="Q359" t="str">
        <f>IF('Filtered Data'!W358,"ITHybridCloudEngineeringOperationsMgmt@Marathonpetroleum.com","mark.newman2@dxc.com")</f>
        <v>mark.newman2@dxc.com</v>
      </c>
      <c r="R359">
        <f t="shared" ref="R359:R422" si="14">N359</f>
        <v>0</v>
      </c>
      <c r="S359" s="31" t="s">
        <v>5738</v>
      </c>
      <c r="T359" t="s">
        <v>1381</v>
      </c>
      <c r="U359">
        <f>'Filtered Data'!V358</f>
        <v>0</v>
      </c>
      <c r="V359" t="str">
        <f>IF('Filtered Data'!W358,"yes","no")</f>
        <v>no</v>
      </c>
      <c r="W359" t="s">
        <v>15</v>
      </c>
      <c r="X359">
        <f>'Filtered Data'!X358</f>
        <v>0</v>
      </c>
    </row>
    <row r="360" spans="1:24" x14ac:dyDescent="0.35">
      <c r="A360">
        <f>'Filtered Data'!A359</f>
        <v>0</v>
      </c>
      <c r="B360">
        <f>'Filtered Data'!B359</f>
        <v>0</v>
      </c>
      <c r="C360" t="s">
        <v>2</v>
      </c>
      <c r="D360" t="e">
        <f>VLOOKUP('Filtered Data'!Z359,'Data Mapping'!$A$4:$B$7,2,0)</f>
        <v>#N/A</v>
      </c>
      <c r="E360" t="e">
        <f>VLOOKUP('Filtered Data'!C359,'Data Mapping'!$E$3:$F$97,2,0)</f>
        <v>#N/A</v>
      </c>
      <c r="F360">
        <f>'Filtered Data'!D359</f>
        <v>0</v>
      </c>
      <c r="G360" t="e">
        <f>VLOOKUP('Filtered Data'!E359,'Data Mapping'!$J$3:$K$11,2,0)</f>
        <v>#N/A</v>
      </c>
      <c r="H360">
        <f>'Filtered Data'!F359</f>
        <v>0</v>
      </c>
      <c r="I360" t="s">
        <v>5668</v>
      </c>
      <c r="J360" t="s">
        <v>1609</v>
      </c>
      <c r="K360" t="e">
        <f>VLOOKUP('Filtered Data'!A359,'Input 1 CMDB'!A:I,9,0)</f>
        <v>#N/A</v>
      </c>
      <c r="L360">
        <f>'Filtered Data'!K359</f>
        <v>0</v>
      </c>
      <c r="M360" t="e">
        <f t="shared" si="13"/>
        <v>#VALUE!</v>
      </c>
      <c r="N360">
        <f>'Filtered Data'!P359</f>
        <v>0</v>
      </c>
      <c r="O360">
        <f>'Filtered Data'!N359</f>
        <v>0</v>
      </c>
      <c r="P360" t="s">
        <v>5669</v>
      </c>
      <c r="Q360" t="str">
        <f>IF('Filtered Data'!W359,"ITHybridCloudEngineeringOperationsMgmt@Marathonpetroleum.com","mark.newman2@dxc.com")</f>
        <v>mark.newman2@dxc.com</v>
      </c>
      <c r="R360">
        <f t="shared" si="14"/>
        <v>0</v>
      </c>
      <c r="S360" s="31" t="s">
        <v>5738</v>
      </c>
      <c r="T360" t="s">
        <v>1381</v>
      </c>
      <c r="U360">
        <f>'Filtered Data'!V359</f>
        <v>0</v>
      </c>
      <c r="V360" t="str">
        <f>IF('Filtered Data'!W359,"yes","no")</f>
        <v>no</v>
      </c>
      <c r="W360" t="s">
        <v>15</v>
      </c>
      <c r="X360">
        <f>'Filtered Data'!X359</f>
        <v>0</v>
      </c>
    </row>
    <row r="361" spans="1:24" x14ac:dyDescent="0.35">
      <c r="A361">
        <f>'Filtered Data'!A360</f>
        <v>0</v>
      </c>
      <c r="B361">
        <f>'Filtered Data'!B360</f>
        <v>0</v>
      </c>
      <c r="C361" t="s">
        <v>2</v>
      </c>
      <c r="D361" t="e">
        <f>VLOOKUP('Filtered Data'!Z360,'Data Mapping'!$A$4:$B$7,2,0)</f>
        <v>#N/A</v>
      </c>
      <c r="E361" t="e">
        <f>VLOOKUP('Filtered Data'!C360,'Data Mapping'!$E$3:$F$97,2,0)</f>
        <v>#N/A</v>
      </c>
      <c r="F361">
        <f>'Filtered Data'!D360</f>
        <v>0</v>
      </c>
      <c r="G361" t="e">
        <f>VLOOKUP('Filtered Data'!E360,'Data Mapping'!$J$3:$K$11,2,0)</f>
        <v>#N/A</v>
      </c>
      <c r="H361">
        <f>'Filtered Data'!F360</f>
        <v>0</v>
      </c>
      <c r="I361" t="s">
        <v>5668</v>
      </c>
      <c r="J361" t="s">
        <v>1609</v>
      </c>
      <c r="K361" t="e">
        <f>VLOOKUP('Filtered Data'!A360,'Input 1 CMDB'!A:I,9,0)</f>
        <v>#N/A</v>
      </c>
      <c r="L361">
        <f>'Filtered Data'!K360</f>
        <v>0</v>
      </c>
      <c r="M361" t="e">
        <f t="shared" si="13"/>
        <v>#VALUE!</v>
      </c>
      <c r="N361">
        <f>'Filtered Data'!P360</f>
        <v>0</v>
      </c>
      <c r="O361">
        <f>'Filtered Data'!N360</f>
        <v>0</v>
      </c>
      <c r="P361" t="s">
        <v>5669</v>
      </c>
      <c r="Q361" t="str">
        <f>IF('Filtered Data'!W360,"ITHybridCloudEngineeringOperationsMgmt@Marathonpetroleum.com","mark.newman2@dxc.com")</f>
        <v>mark.newman2@dxc.com</v>
      </c>
      <c r="R361">
        <f t="shared" si="14"/>
        <v>0</v>
      </c>
      <c r="S361" s="31" t="s">
        <v>5738</v>
      </c>
      <c r="T361" t="s">
        <v>1381</v>
      </c>
      <c r="U361">
        <f>'Filtered Data'!V360</f>
        <v>0</v>
      </c>
      <c r="V361" t="str">
        <f>IF('Filtered Data'!W360,"yes","no")</f>
        <v>no</v>
      </c>
      <c r="W361" t="s">
        <v>15</v>
      </c>
      <c r="X361">
        <f>'Filtered Data'!X360</f>
        <v>0</v>
      </c>
    </row>
    <row r="362" spans="1:24" x14ac:dyDescent="0.35">
      <c r="A362">
        <f>'Filtered Data'!A361</f>
        <v>0</v>
      </c>
      <c r="B362">
        <f>'Filtered Data'!B361</f>
        <v>0</v>
      </c>
      <c r="C362" t="s">
        <v>2</v>
      </c>
      <c r="D362" t="e">
        <f>VLOOKUP('Filtered Data'!Z361,'Data Mapping'!$A$4:$B$7,2,0)</f>
        <v>#N/A</v>
      </c>
      <c r="E362" t="e">
        <f>VLOOKUP('Filtered Data'!C361,'Data Mapping'!$E$3:$F$97,2,0)</f>
        <v>#N/A</v>
      </c>
      <c r="F362">
        <f>'Filtered Data'!D361</f>
        <v>0</v>
      </c>
      <c r="G362" t="e">
        <f>VLOOKUP('Filtered Data'!E361,'Data Mapping'!$J$3:$K$11,2,0)</f>
        <v>#N/A</v>
      </c>
      <c r="H362">
        <f>'Filtered Data'!F361</f>
        <v>0</v>
      </c>
      <c r="I362" t="s">
        <v>5668</v>
      </c>
      <c r="J362" t="s">
        <v>1609</v>
      </c>
      <c r="K362" t="e">
        <f>VLOOKUP('Filtered Data'!A361,'Input 1 CMDB'!A:I,9,0)</f>
        <v>#N/A</v>
      </c>
      <c r="L362">
        <f>'Filtered Data'!K361</f>
        <v>0</v>
      </c>
      <c r="M362" t="e">
        <f t="shared" si="13"/>
        <v>#VALUE!</v>
      </c>
      <c r="N362">
        <f>'Filtered Data'!P361</f>
        <v>0</v>
      </c>
      <c r="O362">
        <f>'Filtered Data'!N361</f>
        <v>0</v>
      </c>
      <c r="P362" t="s">
        <v>5669</v>
      </c>
      <c r="Q362" t="str">
        <f>IF('Filtered Data'!W361,"ITHybridCloudEngineeringOperationsMgmt@Marathonpetroleum.com","mark.newman2@dxc.com")</f>
        <v>mark.newman2@dxc.com</v>
      </c>
      <c r="R362">
        <f t="shared" si="14"/>
        <v>0</v>
      </c>
      <c r="S362" s="31" t="s">
        <v>5738</v>
      </c>
      <c r="T362" t="s">
        <v>1381</v>
      </c>
      <c r="U362">
        <f>'Filtered Data'!V361</f>
        <v>0</v>
      </c>
      <c r="V362" t="str">
        <f>IF('Filtered Data'!W361,"yes","no")</f>
        <v>no</v>
      </c>
      <c r="W362" t="s">
        <v>15</v>
      </c>
      <c r="X362">
        <f>'Filtered Data'!X361</f>
        <v>0</v>
      </c>
    </row>
    <row r="363" spans="1:24" x14ac:dyDescent="0.35">
      <c r="A363">
        <f>'Filtered Data'!A362</f>
        <v>0</v>
      </c>
      <c r="B363">
        <f>'Filtered Data'!B362</f>
        <v>0</v>
      </c>
      <c r="C363" t="s">
        <v>2</v>
      </c>
      <c r="D363" t="e">
        <f>VLOOKUP('Filtered Data'!Z362,'Data Mapping'!$A$4:$B$7,2,0)</f>
        <v>#N/A</v>
      </c>
      <c r="E363" t="e">
        <f>VLOOKUP('Filtered Data'!C362,'Data Mapping'!$E$3:$F$97,2,0)</f>
        <v>#N/A</v>
      </c>
      <c r="F363">
        <f>'Filtered Data'!D362</f>
        <v>0</v>
      </c>
      <c r="G363" t="e">
        <f>VLOOKUP('Filtered Data'!E362,'Data Mapping'!$J$3:$K$11,2,0)</f>
        <v>#N/A</v>
      </c>
      <c r="H363">
        <f>'Filtered Data'!F362</f>
        <v>0</v>
      </c>
      <c r="I363" t="s">
        <v>5668</v>
      </c>
      <c r="J363" t="s">
        <v>1609</v>
      </c>
      <c r="K363" t="e">
        <f>VLOOKUP('Filtered Data'!A362,'Input 1 CMDB'!A:I,9,0)</f>
        <v>#N/A</v>
      </c>
      <c r="L363">
        <f>'Filtered Data'!K362</f>
        <v>0</v>
      </c>
      <c r="M363" t="e">
        <f t="shared" si="13"/>
        <v>#VALUE!</v>
      </c>
      <c r="N363">
        <f>'Filtered Data'!P362</f>
        <v>0</v>
      </c>
      <c r="O363">
        <f>'Filtered Data'!N362</f>
        <v>0</v>
      </c>
      <c r="P363" t="s">
        <v>5669</v>
      </c>
      <c r="Q363" t="str">
        <f>IF('Filtered Data'!W362,"ITHybridCloudEngineeringOperationsMgmt@Marathonpetroleum.com","mark.newman2@dxc.com")</f>
        <v>mark.newman2@dxc.com</v>
      </c>
      <c r="R363">
        <f t="shared" si="14"/>
        <v>0</v>
      </c>
      <c r="S363" s="31" t="s">
        <v>5738</v>
      </c>
      <c r="T363" t="s">
        <v>1381</v>
      </c>
      <c r="U363">
        <f>'Filtered Data'!V362</f>
        <v>0</v>
      </c>
      <c r="V363" t="str">
        <f>IF('Filtered Data'!W362,"yes","no")</f>
        <v>no</v>
      </c>
      <c r="W363" t="s">
        <v>15</v>
      </c>
      <c r="X363">
        <f>'Filtered Data'!X362</f>
        <v>0</v>
      </c>
    </row>
    <row r="364" spans="1:24" x14ac:dyDescent="0.35">
      <c r="A364">
        <f>'Filtered Data'!A363</f>
        <v>0</v>
      </c>
      <c r="B364">
        <f>'Filtered Data'!B363</f>
        <v>0</v>
      </c>
      <c r="C364" t="s">
        <v>2</v>
      </c>
      <c r="D364" t="e">
        <f>VLOOKUP('Filtered Data'!Z363,'Data Mapping'!$A$4:$B$7,2,0)</f>
        <v>#N/A</v>
      </c>
      <c r="E364" t="e">
        <f>VLOOKUP('Filtered Data'!C363,'Data Mapping'!$E$3:$F$97,2,0)</f>
        <v>#N/A</v>
      </c>
      <c r="F364">
        <f>'Filtered Data'!D363</f>
        <v>0</v>
      </c>
      <c r="G364" t="e">
        <f>VLOOKUP('Filtered Data'!E363,'Data Mapping'!$J$3:$K$11,2,0)</f>
        <v>#N/A</v>
      </c>
      <c r="H364">
        <f>'Filtered Data'!F363</f>
        <v>0</v>
      </c>
      <c r="I364" t="s">
        <v>5668</v>
      </c>
      <c r="J364" t="s">
        <v>1609</v>
      </c>
      <c r="K364" t="e">
        <f>VLOOKUP('Filtered Data'!A363,'Input 1 CMDB'!A:I,9,0)</f>
        <v>#N/A</v>
      </c>
      <c r="L364">
        <f>'Filtered Data'!K363</f>
        <v>0</v>
      </c>
      <c r="M364" t="e">
        <f t="shared" si="13"/>
        <v>#VALUE!</v>
      </c>
      <c r="N364">
        <f>'Filtered Data'!P363</f>
        <v>0</v>
      </c>
      <c r="O364">
        <f>'Filtered Data'!N363</f>
        <v>0</v>
      </c>
      <c r="P364" t="s">
        <v>5669</v>
      </c>
      <c r="Q364" t="str">
        <f>IF('Filtered Data'!W363,"ITHybridCloudEngineeringOperationsMgmt@Marathonpetroleum.com","mark.newman2@dxc.com")</f>
        <v>mark.newman2@dxc.com</v>
      </c>
      <c r="R364">
        <f t="shared" si="14"/>
        <v>0</v>
      </c>
      <c r="S364" s="31" t="s">
        <v>5738</v>
      </c>
      <c r="T364" t="s">
        <v>1381</v>
      </c>
      <c r="U364">
        <f>'Filtered Data'!V363</f>
        <v>0</v>
      </c>
      <c r="V364" t="str">
        <f>IF('Filtered Data'!W363,"yes","no")</f>
        <v>no</v>
      </c>
      <c r="W364" t="s">
        <v>15</v>
      </c>
      <c r="X364">
        <f>'Filtered Data'!X363</f>
        <v>0</v>
      </c>
    </row>
    <row r="365" spans="1:24" x14ac:dyDescent="0.35">
      <c r="A365">
        <f>'Filtered Data'!A364</f>
        <v>0</v>
      </c>
      <c r="B365">
        <f>'Filtered Data'!B364</f>
        <v>0</v>
      </c>
      <c r="C365" t="s">
        <v>2</v>
      </c>
      <c r="D365" t="e">
        <f>VLOOKUP('Filtered Data'!Z364,'Data Mapping'!$A$4:$B$7,2,0)</f>
        <v>#N/A</v>
      </c>
      <c r="E365" t="e">
        <f>VLOOKUP('Filtered Data'!C364,'Data Mapping'!$E$3:$F$97,2,0)</f>
        <v>#N/A</v>
      </c>
      <c r="F365">
        <f>'Filtered Data'!D364</f>
        <v>0</v>
      </c>
      <c r="G365" t="e">
        <f>VLOOKUP('Filtered Data'!E364,'Data Mapping'!$J$3:$K$11,2,0)</f>
        <v>#N/A</v>
      </c>
      <c r="H365">
        <f>'Filtered Data'!F364</f>
        <v>0</v>
      </c>
      <c r="I365" t="s">
        <v>5668</v>
      </c>
      <c r="J365" t="s">
        <v>1609</v>
      </c>
      <c r="K365" t="e">
        <f>VLOOKUP('Filtered Data'!A364,'Input 1 CMDB'!A:I,9,0)</f>
        <v>#N/A</v>
      </c>
      <c r="L365">
        <f>'Filtered Data'!K364</f>
        <v>0</v>
      </c>
      <c r="M365" t="e">
        <f t="shared" si="13"/>
        <v>#VALUE!</v>
      </c>
      <c r="N365">
        <f>'Filtered Data'!P364</f>
        <v>0</v>
      </c>
      <c r="O365">
        <f>'Filtered Data'!N364</f>
        <v>0</v>
      </c>
      <c r="P365" t="s">
        <v>5669</v>
      </c>
      <c r="Q365" t="str">
        <f>IF('Filtered Data'!W364,"ITHybridCloudEngineeringOperationsMgmt@Marathonpetroleum.com","mark.newman2@dxc.com")</f>
        <v>mark.newman2@dxc.com</v>
      </c>
      <c r="R365">
        <f t="shared" si="14"/>
        <v>0</v>
      </c>
      <c r="S365" s="31" t="s">
        <v>5738</v>
      </c>
      <c r="T365" t="s">
        <v>1381</v>
      </c>
      <c r="U365">
        <f>'Filtered Data'!V364</f>
        <v>0</v>
      </c>
      <c r="V365" t="str">
        <f>IF('Filtered Data'!W364,"yes","no")</f>
        <v>no</v>
      </c>
      <c r="W365" t="s">
        <v>15</v>
      </c>
      <c r="X365">
        <f>'Filtered Data'!X364</f>
        <v>0</v>
      </c>
    </row>
    <row r="366" spans="1:24" x14ac:dyDescent="0.35">
      <c r="A366">
        <f>'Filtered Data'!A365</f>
        <v>0</v>
      </c>
      <c r="B366">
        <f>'Filtered Data'!B365</f>
        <v>0</v>
      </c>
      <c r="C366" t="s">
        <v>2</v>
      </c>
      <c r="D366" t="e">
        <f>VLOOKUP('Filtered Data'!Z365,'Data Mapping'!$A$4:$B$7,2,0)</f>
        <v>#N/A</v>
      </c>
      <c r="E366" t="e">
        <f>VLOOKUP('Filtered Data'!C365,'Data Mapping'!$E$3:$F$97,2,0)</f>
        <v>#N/A</v>
      </c>
      <c r="F366">
        <f>'Filtered Data'!D365</f>
        <v>0</v>
      </c>
      <c r="G366" t="e">
        <f>VLOOKUP('Filtered Data'!E365,'Data Mapping'!$J$3:$K$11,2,0)</f>
        <v>#N/A</v>
      </c>
      <c r="H366">
        <f>'Filtered Data'!F365</f>
        <v>0</v>
      </c>
      <c r="I366" t="s">
        <v>5668</v>
      </c>
      <c r="J366" t="s">
        <v>1609</v>
      </c>
      <c r="K366" t="e">
        <f>VLOOKUP('Filtered Data'!A365,'Input 1 CMDB'!A:I,9,0)</f>
        <v>#N/A</v>
      </c>
      <c r="L366">
        <f>'Filtered Data'!K365</f>
        <v>0</v>
      </c>
      <c r="M366" t="e">
        <f t="shared" si="13"/>
        <v>#VALUE!</v>
      </c>
      <c r="N366">
        <f>'Filtered Data'!P365</f>
        <v>0</v>
      </c>
      <c r="O366">
        <f>'Filtered Data'!N365</f>
        <v>0</v>
      </c>
      <c r="P366" t="s">
        <v>5669</v>
      </c>
      <c r="Q366" t="str">
        <f>IF('Filtered Data'!W365,"ITHybridCloudEngineeringOperationsMgmt@Marathonpetroleum.com","mark.newman2@dxc.com")</f>
        <v>mark.newman2@dxc.com</v>
      </c>
      <c r="R366">
        <f t="shared" si="14"/>
        <v>0</v>
      </c>
      <c r="S366" s="31" t="s">
        <v>5738</v>
      </c>
      <c r="T366" t="s">
        <v>1381</v>
      </c>
      <c r="U366">
        <f>'Filtered Data'!V365</f>
        <v>0</v>
      </c>
      <c r="V366" t="str">
        <f>IF('Filtered Data'!W365,"yes","no")</f>
        <v>no</v>
      </c>
      <c r="W366" t="s">
        <v>15</v>
      </c>
      <c r="X366">
        <f>'Filtered Data'!X365</f>
        <v>0</v>
      </c>
    </row>
    <row r="367" spans="1:24" x14ac:dyDescent="0.35">
      <c r="A367">
        <f>'Filtered Data'!A366</f>
        <v>0</v>
      </c>
      <c r="B367">
        <f>'Filtered Data'!B366</f>
        <v>0</v>
      </c>
      <c r="C367" t="s">
        <v>2</v>
      </c>
      <c r="D367" t="e">
        <f>VLOOKUP('Filtered Data'!Z366,'Data Mapping'!$A$4:$B$7,2,0)</f>
        <v>#N/A</v>
      </c>
      <c r="E367" t="e">
        <f>VLOOKUP('Filtered Data'!C366,'Data Mapping'!$E$3:$F$97,2,0)</f>
        <v>#N/A</v>
      </c>
      <c r="F367">
        <f>'Filtered Data'!D366</f>
        <v>0</v>
      </c>
      <c r="G367" t="e">
        <f>VLOOKUP('Filtered Data'!E366,'Data Mapping'!$J$3:$K$11,2,0)</f>
        <v>#N/A</v>
      </c>
      <c r="H367">
        <f>'Filtered Data'!F366</f>
        <v>0</v>
      </c>
      <c r="I367" t="s">
        <v>5668</v>
      </c>
      <c r="J367" t="s">
        <v>1609</v>
      </c>
      <c r="K367" t="e">
        <f>VLOOKUP('Filtered Data'!A366,'Input 1 CMDB'!A:I,9,0)</f>
        <v>#N/A</v>
      </c>
      <c r="L367">
        <f>'Filtered Data'!K366</f>
        <v>0</v>
      </c>
      <c r="M367" t="e">
        <f t="shared" si="13"/>
        <v>#VALUE!</v>
      </c>
      <c r="N367">
        <f>'Filtered Data'!P366</f>
        <v>0</v>
      </c>
      <c r="O367">
        <f>'Filtered Data'!N366</f>
        <v>0</v>
      </c>
      <c r="P367" t="s">
        <v>5669</v>
      </c>
      <c r="Q367" t="str">
        <f>IF('Filtered Data'!W366,"ITHybridCloudEngineeringOperationsMgmt@Marathonpetroleum.com","mark.newman2@dxc.com")</f>
        <v>mark.newman2@dxc.com</v>
      </c>
      <c r="R367">
        <f t="shared" si="14"/>
        <v>0</v>
      </c>
      <c r="S367" s="31" t="s">
        <v>5738</v>
      </c>
      <c r="T367" t="s">
        <v>1381</v>
      </c>
      <c r="U367">
        <f>'Filtered Data'!V366</f>
        <v>0</v>
      </c>
      <c r="V367" t="str">
        <f>IF('Filtered Data'!W366,"yes","no")</f>
        <v>no</v>
      </c>
      <c r="W367" t="s">
        <v>15</v>
      </c>
      <c r="X367">
        <f>'Filtered Data'!X366</f>
        <v>0</v>
      </c>
    </row>
    <row r="368" spans="1:24" x14ac:dyDescent="0.35">
      <c r="A368">
        <f>'Filtered Data'!A367</f>
        <v>0</v>
      </c>
      <c r="B368">
        <f>'Filtered Data'!B367</f>
        <v>0</v>
      </c>
      <c r="C368" t="s">
        <v>2</v>
      </c>
      <c r="D368" t="e">
        <f>VLOOKUP('Filtered Data'!Z367,'Data Mapping'!$A$4:$B$7,2,0)</f>
        <v>#N/A</v>
      </c>
      <c r="E368" t="e">
        <f>VLOOKUP('Filtered Data'!C367,'Data Mapping'!$E$3:$F$97,2,0)</f>
        <v>#N/A</v>
      </c>
      <c r="F368">
        <f>'Filtered Data'!D367</f>
        <v>0</v>
      </c>
      <c r="G368" t="e">
        <f>VLOOKUP('Filtered Data'!E367,'Data Mapping'!$J$3:$K$11,2,0)</f>
        <v>#N/A</v>
      </c>
      <c r="H368">
        <f>'Filtered Data'!F367</f>
        <v>0</v>
      </c>
      <c r="I368" t="s">
        <v>5668</v>
      </c>
      <c r="J368" t="s">
        <v>1609</v>
      </c>
      <c r="K368" t="e">
        <f>VLOOKUP('Filtered Data'!A367,'Input 1 CMDB'!A:I,9,0)</f>
        <v>#N/A</v>
      </c>
      <c r="L368">
        <f>'Filtered Data'!K367</f>
        <v>0</v>
      </c>
      <c r="M368" t="e">
        <f t="shared" si="13"/>
        <v>#VALUE!</v>
      </c>
      <c r="N368">
        <f>'Filtered Data'!P367</f>
        <v>0</v>
      </c>
      <c r="O368">
        <f>'Filtered Data'!N367</f>
        <v>0</v>
      </c>
      <c r="P368" t="s">
        <v>5669</v>
      </c>
      <c r="Q368" t="str">
        <f>IF('Filtered Data'!W367,"ITHybridCloudEngineeringOperationsMgmt@Marathonpetroleum.com","mark.newman2@dxc.com")</f>
        <v>mark.newman2@dxc.com</v>
      </c>
      <c r="R368">
        <f t="shared" si="14"/>
        <v>0</v>
      </c>
      <c r="S368" s="31" t="s">
        <v>5738</v>
      </c>
      <c r="T368" t="s">
        <v>1381</v>
      </c>
      <c r="U368">
        <f>'Filtered Data'!V367</f>
        <v>0</v>
      </c>
      <c r="V368" t="str">
        <f>IF('Filtered Data'!W367,"yes","no")</f>
        <v>no</v>
      </c>
      <c r="W368" t="s">
        <v>15</v>
      </c>
      <c r="X368">
        <f>'Filtered Data'!X367</f>
        <v>0</v>
      </c>
    </row>
    <row r="369" spans="1:24" x14ac:dyDescent="0.35">
      <c r="A369">
        <f>'Filtered Data'!A368</f>
        <v>0</v>
      </c>
      <c r="B369">
        <f>'Filtered Data'!B368</f>
        <v>0</v>
      </c>
      <c r="C369" t="s">
        <v>2</v>
      </c>
      <c r="D369" t="e">
        <f>VLOOKUP('Filtered Data'!Z368,'Data Mapping'!$A$4:$B$7,2,0)</f>
        <v>#N/A</v>
      </c>
      <c r="E369" t="e">
        <f>VLOOKUP('Filtered Data'!C368,'Data Mapping'!$E$3:$F$97,2,0)</f>
        <v>#N/A</v>
      </c>
      <c r="F369">
        <f>'Filtered Data'!D368</f>
        <v>0</v>
      </c>
      <c r="G369" t="e">
        <f>VLOOKUP('Filtered Data'!E368,'Data Mapping'!$J$3:$K$11,2,0)</f>
        <v>#N/A</v>
      </c>
      <c r="H369">
        <f>'Filtered Data'!F368</f>
        <v>0</v>
      </c>
      <c r="I369" t="s">
        <v>5668</v>
      </c>
      <c r="J369" t="s">
        <v>1609</v>
      </c>
      <c r="K369" t="e">
        <f>VLOOKUP('Filtered Data'!A368,'Input 1 CMDB'!A:I,9,0)</f>
        <v>#N/A</v>
      </c>
      <c r="L369">
        <f>'Filtered Data'!K368</f>
        <v>0</v>
      </c>
      <c r="M369" t="e">
        <f t="shared" si="13"/>
        <v>#VALUE!</v>
      </c>
      <c r="N369">
        <f>'Filtered Data'!P368</f>
        <v>0</v>
      </c>
      <c r="O369">
        <f>'Filtered Data'!N368</f>
        <v>0</v>
      </c>
      <c r="P369" t="s">
        <v>5669</v>
      </c>
      <c r="Q369" t="str">
        <f>IF('Filtered Data'!W368,"ITHybridCloudEngineeringOperationsMgmt@Marathonpetroleum.com","mark.newman2@dxc.com")</f>
        <v>mark.newman2@dxc.com</v>
      </c>
      <c r="R369">
        <f t="shared" si="14"/>
        <v>0</v>
      </c>
      <c r="S369" s="31" t="s">
        <v>5738</v>
      </c>
      <c r="T369" t="s">
        <v>1381</v>
      </c>
      <c r="U369">
        <f>'Filtered Data'!V368</f>
        <v>0</v>
      </c>
      <c r="V369" t="str">
        <f>IF('Filtered Data'!W368,"yes","no")</f>
        <v>no</v>
      </c>
      <c r="W369" t="s">
        <v>15</v>
      </c>
      <c r="X369">
        <f>'Filtered Data'!X368</f>
        <v>0</v>
      </c>
    </row>
    <row r="370" spans="1:24" x14ac:dyDescent="0.35">
      <c r="A370">
        <f>'Filtered Data'!A369</f>
        <v>0</v>
      </c>
      <c r="B370">
        <f>'Filtered Data'!B369</f>
        <v>0</v>
      </c>
      <c r="C370" t="s">
        <v>2</v>
      </c>
      <c r="D370" t="e">
        <f>VLOOKUP('Filtered Data'!Z369,'Data Mapping'!$A$4:$B$7,2,0)</f>
        <v>#N/A</v>
      </c>
      <c r="E370" t="e">
        <f>VLOOKUP('Filtered Data'!C369,'Data Mapping'!$E$3:$F$97,2,0)</f>
        <v>#N/A</v>
      </c>
      <c r="F370">
        <f>'Filtered Data'!D369</f>
        <v>0</v>
      </c>
      <c r="G370" t="e">
        <f>VLOOKUP('Filtered Data'!E369,'Data Mapping'!$J$3:$K$11,2,0)</f>
        <v>#N/A</v>
      </c>
      <c r="H370">
        <f>'Filtered Data'!F369</f>
        <v>0</v>
      </c>
      <c r="I370" t="s">
        <v>5668</v>
      </c>
      <c r="J370" t="s">
        <v>1609</v>
      </c>
      <c r="K370" t="e">
        <f>VLOOKUP('Filtered Data'!A369,'Input 1 CMDB'!A:I,9,0)</f>
        <v>#N/A</v>
      </c>
      <c r="L370">
        <f>'Filtered Data'!K369</f>
        <v>0</v>
      </c>
      <c r="M370" t="e">
        <f t="shared" si="13"/>
        <v>#VALUE!</v>
      </c>
      <c r="N370">
        <f>'Filtered Data'!P369</f>
        <v>0</v>
      </c>
      <c r="O370">
        <f>'Filtered Data'!N369</f>
        <v>0</v>
      </c>
      <c r="P370" t="s">
        <v>5669</v>
      </c>
      <c r="Q370" t="str">
        <f>IF('Filtered Data'!W369,"ITHybridCloudEngineeringOperationsMgmt@Marathonpetroleum.com","mark.newman2@dxc.com")</f>
        <v>mark.newman2@dxc.com</v>
      </c>
      <c r="R370">
        <f t="shared" si="14"/>
        <v>0</v>
      </c>
      <c r="S370" s="31" t="s">
        <v>5738</v>
      </c>
      <c r="T370" t="s">
        <v>1381</v>
      </c>
      <c r="U370">
        <f>'Filtered Data'!V369</f>
        <v>0</v>
      </c>
      <c r="V370" t="str">
        <f>IF('Filtered Data'!W369,"yes","no")</f>
        <v>no</v>
      </c>
      <c r="W370" t="s">
        <v>15</v>
      </c>
      <c r="X370">
        <f>'Filtered Data'!X369</f>
        <v>0</v>
      </c>
    </row>
    <row r="371" spans="1:24" x14ac:dyDescent="0.35">
      <c r="A371">
        <f>'Filtered Data'!A370</f>
        <v>0</v>
      </c>
      <c r="B371">
        <f>'Filtered Data'!B370</f>
        <v>0</v>
      </c>
      <c r="C371" t="s">
        <v>2</v>
      </c>
      <c r="D371" t="e">
        <f>VLOOKUP('Filtered Data'!Z370,'Data Mapping'!$A$4:$B$7,2,0)</f>
        <v>#N/A</v>
      </c>
      <c r="E371" t="e">
        <f>VLOOKUP('Filtered Data'!C370,'Data Mapping'!$E$3:$F$97,2,0)</f>
        <v>#N/A</v>
      </c>
      <c r="F371">
        <f>'Filtered Data'!D370</f>
        <v>0</v>
      </c>
      <c r="G371" t="e">
        <f>VLOOKUP('Filtered Data'!E370,'Data Mapping'!$J$3:$K$11,2,0)</f>
        <v>#N/A</v>
      </c>
      <c r="H371">
        <f>'Filtered Data'!F370</f>
        <v>0</v>
      </c>
      <c r="I371" t="s">
        <v>5668</v>
      </c>
      <c r="J371" t="s">
        <v>1609</v>
      </c>
      <c r="K371" t="e">
        <f>VLOOKUP('Filtered Data'!A370,'Input 1 CMDB'!A:I,9,0)</f>
        <v>#N/A</v>
      </c>
      <c r="L371">
        <f>'Filtered Data'!K370</f>
        <v>0</v>
      </c>
      <c r="M371" t="e">
        <f t="shared" si="13"/>
        <v>#VALUE!</v>
      </c>
      <c r="N371">
        <f>'Filtered Data'!P370</f>
        <v>0</v>
      </c>
      <c r="O371">
        <f>'Filtered Data'!N370</f>
        <v>0</v>
      </c>
      <c r="P371" t="s">
        <v>5669</v>
      </c>
      <c r="Q371" t="str">
        <f>IF('Filtered Data'!W370,"ITHybridCloudEngineeringOperationsMgmt@Marathonpetroleum.com","mark.newman2@dxc.com")</f>
        <v>mark.newman2@dxc.com</v>
      </c>
      <c r="R371">
        <f t="shared" si="14"/>
        <v>0</v>
      </c>
      <c r="S371" s="31" t="s">
        <v>5738</v>
      </c>
      <c r="T371" t="s">
        <v>1381</v>
      </c>
      <c r="U371">
        <f>'Filtered Data'!V370</f>
        <v>0</v>
      </c>
      <c r="V371" t="str">
        <f>IF('Filtered Data'!W370,"yes","no")</f>
        <v>no</v>
      </c>
      <c r="W371" t="s">
        <v>15</v>
      </c>
      <c r="X371">
        <f>'Filtered Data'!X370</f>
        <v>0</v>
      </c>
    </row>
    <row r="372" spans="1:24" x14ac:dyDescent="0.35">
      <c r="A372">
        <f>'Filtered Data'!A371</f>
        <v>0</v>
      </c>
      <c r="B372">
        <f>'Filtered Data'!B371</f>
        <v>0</v>
      </c>
      <c r="C372" t="s">
        <v>2</v>
      </c>
      <c r="D372" t="e">
        <f>VLOOKUP('Filtered Data'!Z371,'Data Mapping'!$A$4:$B$7,2,0)</f>
        <v>#N/A</v>
      </c>
      <c r="E372" t="e">
        <f>VLOOKUP('Filtered Data'!C371,'Data Mapping'!$E$3:$F$97,2,0)</f>
        <v>#N/A</v>
      </c>
      <c r="F372">
        <f>'Filtered Data'!D371</f>
        <v>0</v>
      </c>
      <c r="G372" t="e">
        <f>VLOOKUP('Filtered Data'!E371,'Data Mapping'!$J$3:$K$11,2,0)</f>
        <v>#N/A</v>
      </c>
      <c r="H372">
        <f>'Filtered Data'!F371</f>
        <v>0</v>
      </c>
      <c r="I372" t="s">
        <v>5668</v>
      </c>
      <c r="J372" t="s">
        <v>1609</v>
      </c>
      <c r="K372" t="e">
        <f>VLOOKUP('Filtered Data'!A371,'Input 1 CMDB'!A:I,9,0)</f>
        <v>#N/A</v>
      </c>
      <c r="L372">
        <f>'Filtered Data'!K371</f>
        <v>0</v>
      </c>
      <c r="M372" t="e">
        <f t="shared" si="13"/>
        <v>#VALUE!</v>
      </c>
      <c r="N372">
        <f>'Filtered Data'!P371</f>
        <v>0</v>
      </c>
      <c r="O372">
        <f>'Filtered Data'!N371</f>
        <v>0</v>
      </c>
      <c r="P372" t="s">
        <v>5669</v>
      </c>
      <c r="Q372" t="str">
        <f>IF('Filtered Data'!W371,"ITHybridCloudEngineeringOperationsMgmt@Marathonpetroleum.com","mark.newman2@dxc.com")</f>
        <v>mark.newman2@dxc.com</v>
      </c>
      <c r="R372">
        <f t="shared" si="14"/>
        <v>0</v>
      </c>
      <c r="S372" s="31" t="s">
        <v>5738</v>
      </c>
      <c r="T372" t="s">
        <v>1381</v>
      </c>
      <c r="U372">
        <f>'Filtered Data'!V371</f>
        <v>0</v>
      </c>
      <c r="V372" t="str">
        <f>IF('Filtered Data'!W371,"yes","no")</f>
        <v>no</v>
      </c>
      <c r="W372" t="s">
        <v>15</v>
      </c>
      <c r="X372">
        <f>'Filtered Data'!X371</f>
        <v>0</v>
      </c>
    </row>
    <row r="373" spans="1:24" x14ac:dyDescent="0.35">
      <c r="A373">
        <f>'Filtered Data'!A372</f>
        <v>0</v>
      </c>
      <c r="B373">
        <f>'Filtered Data'!B372</f>
        <v>0</v>
      </c>
      <c r="C373" t="s">
        <v>2</v>
      </c>
      <c r="D373" t="e">
        <f>VLOOKUP('Filtered Data'!Z372,'Data Mapping'!$A$4:$B$7,2,0)</f>
        <v>#N/A</v>
      </c>
      <c r="E373" t="e">
        <f>VLOOKUP('Filtered Data'!C372,'Data Mapping'!$E$3:$F$97,2,0)</f>
        <v>#N/A</v>
      </c>
      <c r="F373">
        <f>'Filtered Data'!D372</f>
        <v>0</v>
      </c>
      <c r="G373" t="e">
        <f>VLOOKUP('Filtered Data'!E372,'Data Mapping'!$J$3:$K$11,2,0)</f>
        <v>#N/A</v>
      </c>
      <c r="H373">
        <f>'Filtered Data'!F372</f>
        <v>0</v>
      </c>
      <c r="I373" t="s">
        <v>5668</v>
      </c>
      <c r="J373" t="s">
        <v>1609</v>
      </c>
      <c r="K373" t="e">
        <f>VLOOKUP('Filtered Data'!A372,'Input 1 CMDB'!A:I,9,0)</f>
        <v>#N/A</v>
      </c>
      <c r="L373">
        <f>'Filtered Data'!K372</f>
        <v>0</v>
      </c>
      <c r="M373" t="e">
        <f t="shared" si="13"/>
        <v>#VALUE!</v>
      </c>
      <c r="N373">
        <f>'Filtered Data'!P372</f>
        <v>0</v>
      </c>
      <c r="O373">
        <f>'Filtered Data'!N372</f>
        <v>0</v>
      </c>
      <c r="P373" t="s">
        <v>5669</v>
      </c>
      <c r="Q373" t="str">
        <f>IF('Filtered Data'!W372,"ITHybridCloudEngineeringOperationsMgmt@Marathonpetroleum.com","mark.newman2@dxc.com")</f>
        <v>mark.newman2@dxc.com</v>
      </c>
      <c r="R373">
        <f t="shared" si="14"/>
        <v>0</v>
      </c>
      <c r="S373" s="31" t="s">
        <v>5738</v>
      </c>
      <c r="T373" t="s">
        <v>1381</v>
      </c>
      <c r="U373">
        <f>'Filtered Data'!V372</f>
        <v>0</v>
      </c>
      <c r="V373" t="str">
        <f>IF('Filtered Data'!W372,"yes","no")</f>
        <v>no</v>
      </c>
      <c r="W373" t="s">
        <v>15</v>
      </c>
      <c r="X373">
        <f>'Filtered Data'!X372</f>
        <v>0</v>
      </c>
    </row>
    <row r="374" spans="1:24" x14ac:dyDescent="0.35">
      <c r="A374">
        <f>'Filtered Data'!A373</f>
        <v>0</v>
      </c>
      <c r="B374">
        <f>'Filtered Data'!B373</f>
        <v>0</v>
      </c>
      <c r="C374" t="s">
        <v>2</v>
      </c>
      <c r="D374" t="e">
        <f>VLOOKUP('Filtered Data'!Z373,'Data Mapping'!$A$4:$B$7,2,0)</f>
        <v>#N/A</v>
      </c>
      <c r="E374" t="e">
        <f>VLOOKUP('Filtered Data'!C373,'Data Mapping'!$E$3:$F$97,2,0)</f>
        <v>#N/A</v>
      </c>
      <c r="F374">
        <f>'Filtered Data'!D373</f>
        <v>0</v>
      </c>
      <c r="G374" t="e">
        <f>VLOOKUP('Filtered Data'!E373,'Data Mapping'!$J$3:$K$11,2,0)</f>
        <v>#N/A</v>
      </c>
      <c r="H374">
        <f>'Filtered Data'!F373</f>
        <v>0</v>
      </c>
      <c r="I374" t="s">
        <v>5668</v>
      </c>
      <c r="J374" t="s">
        <v>1609</v>
      </c>
      <c r="K374" t="e">
        <f>VLOOKUP('Filtered Data'!A373,'Input 1 CMDB'!A:I,9,0)</f>
        <v>#N/A</v>
      </c>
      <c r="L374">
        <f>'Filtered Data'!K373</f>
        <v>0</v>
      </c>
      <c r="M374" t="e">
        <f t="shared" si="13"/>
        <v>#VALUE!</v>
      </c>
      <c r="N374">
        <f>'Filtered Data'!P373</f>
        <v>0</v>
      </c>
      <c r="O374">
        <f>'Filtered Data'!N373</f>
        <v>0</v>
      </c>
      <c r="P374" t="s">
        <v>5669</v>
      </c>
      <c r="Q374" t="str">
        <f>IF('Filtered Data'!W373,"ITHybridCloudEngineeringOperationsMgmt@Marathonpetroleum.com","mark.newman2@dxc.com")</f>
        <v>mark.newman2@dxc.com</v>
      </c>
      <c r="R374">
        <f t="shared" si="14"/>
        <v>0</v>
      </c>
      <c r="S374" s="31" t="s">
        <v>5738</v>
      </c>
      <c r="T374" t="s">
        <v>1381</v>
      </c>
      <c r="U374">
        <f>'Filtered Data'!V373</f>
        <v>0</v>
      </c>
      <c r="V374" t="str">
        <f>IF('Filtered Data'!W373,"yes","no")</f>
        <v>no</v>
      </c>
      <c r="W374" t="s">
        <v>15</v>
      </c>
      <c r="X374">
        <f>'Filtered Data'!X373</f>
        <v>0</v>
      </c>
    </row>
    <row r="375" spans="1:24" x14ac:dyDescent="0.35">
      <c r="A375">
        <f>'Filtered Data'!A374</f>
        <v>0</v>
      </c>
      <c r="B375">
        <f>'Filtered Data'!B374</f>
        <v>0</v>
      </c>
      <c r="C375" t="s">
        <v>2</v>
      </c>
      <c r="D375" t="e">
        <f>VLOOKUP('Filtered Data'!Z374,'Data Mapping'!$A$4:$B$7,2,0)</f>
        <v>#N/A</v>
      </c>
      <c r="E375" t="e">
        <f>VLOOKUP('Filtered Data'!C374,'Data Mapping'!$E$3:$F$97,2,0)</f>
        <v>#N/A</v>
      </c>
      <c r="F375">
        <f>'Filtered Data'!D374</f>
        <v>0</v>
      </c>
      <c r="G375" t="e">
        <f>VLOOKUP('Filtered Data'!E374,'Data Mapping'!$J$3:$K$11,2,0)</f>
        <v>#N/A</v>
      </c>
      <c r="H375">
        <f>'Filtered Data'!F374</f>
        <v>0</v>
      </c>
      <c r="I375" t="s">
        <v>5668</v>
      </c>
      <c r="J375" t="s">
        <v>1609</v>
      </c>
      <c r="K375" t="e">
        <f>VLOOKUP('Filtered Data'!A374,'Input 1 CMDB'!A:I,9,0)</f>
        <v>#N/A</v>
      </c>
      <c r="L375">
        <f>'Filtered Data'!K374</f>
        <v>0</v>
      </c>
      <c r="M375" t="e">
        <f t="shared" si="13"/>
        <v>#VALUE!</v>
      </c>
      <c r="N375">
        <f>'Filtered Data'!P374</f>
        <v>0</v>
      </c>
      <c r="O375">
        <f>'Filtered Data'!N374</f>
        <v>0</v>
      </c>
      <c r="P375" t="s">
        <v>5669</v>
      </c>
      <c r="Q375" t="str">
        <f>IF('Filtered Data'!W374,"ITHybridCloudEngineeringOperationsMgmt@Marathonpetroleum.com","mark.newman2@dxc.com")</f>
        <v>mark.newman2@dxc.com</v>
      </c>
      <c r="R375">
        <f t="shared" si="14"/>
        <v>0</v>
      </c>
      <c r="S375" s="31" t="s">
        <v>5738</v>
      </c>
      <c r="T375" t="s">
        <v>1381</v>
      </c>
      <c r="U375">
        <f>'Filtered Data'!V374</f>
        <v>0</v>
      </c>
      <c r="V375" t="str">
        <f>IF('Filtered Data'!W374,"yes","no")</f>
        <v>no</v>
      </c>
      <c r="W375" t="s">
        <v>15</v>
      </c>
      <c r="X375">
        <f>'Filtered Data'!X374</f>
        <v>0</v>
      </c>
    </row>
    <row r="376" spans="1:24" x14ac:dyDescent="0.35">
      <c r="A376">
        <f>'Filtered Data'!A375</f>
        <v>0</v>
      </c>
      <c r="B376">
        <f>'Filtered Data'!B375</f>
        <v>0</v>
      </c>
      <c r="C376" t="s">
        <v>2</v>
      </c>
      <c r="D376" t="e">
        <f>VLOOKUP('Filtered Data'!Z375,'Data Mapping'!$A$4:$B$7,2,0)</f>
        <v>#N/A</v>
      </c>
      <c r="E376" t="e">
        <f>VLOOKUP('Filtered Data'!C375,'Data Mapping'!$E$3:$F$97,2,0)</f>
        <v>#N/A</v>
      </c>
      <c r="F376">
        <f>'Filtered Data'!D375</f>
        <v>0</v>
      </c>
      <c r="G376" t="e">
        <f>VLOOKUP('Filtered Data'!E375,'Data Mapping'!$J$3:$K$11,2,0)</f>
        <v>#N/A</v>
      </c>
      <c r="H376">
        <f>'Filtered Data'!F375</f>
        <v>0</v>
      </c>
      <c r="I376" t="s">
        <v>5668</v>
      </c>
      <c r="J376" t="s">
        <v>1609</v>
      </c>
      <c r="K376" t="e">
        <f>VLOOKUP('Filtered Data'!A375,'Input 1 CMDB'!A:I,9,0)</f>
        <v>#N/A</v>
      </c>
      <c r="L376">
        <f>'Filtered Data'!K375</f>
        <v>0</v>
      </c>
      <c r="M376" t="e">
        <f t="shared" si="13"/>
        <v>#VALUE!</v>
      </c>
      <c r="N376">
        <f>'Filtered Data'!P375</f>
        <v>0</v>
      </c>
      <c r="O376">
        <f>'Filtered Data'!N375</f>
        <v>0</v>
      </c>
      <c r="P376" t="s">
        <v>5669</v>
      </c>
      <c r="Q376" t="str">
        <f>IF('Filtered Data'!W375,"ITHybridCloudEngineeringOperationsMgmt@Marathonpetroleum.com","mark.newman2@dxc.com")</f>
        <v>mark.newman2@dxc.com</v>
      </c>
      <c r="R376">
        <f t="shared" si="14"/>
        <v>0</v>
      </c>
      <c r="S376" s="31" t="s">
        <v>5738</v>
      </c>
      <c r="T376" t="s">
        <v>1381</v>
      </c>
      <c r="U376">
        <f>'Filtered Data'!V375</f>
        <v>0</v>
      </c>
      <c r="V376" t="str">
        <f>IF('Filtered Data'!W375,"yes","no")</f>
        <v>no</v>
      </c>
      <c r="W376" t="s">
        <v>15</v>
      </c>
      <c r="X376">
        <f>'Filtered Data'!X375</f>
        <v>0</v>
      </c>
    </row>
    <row r="377" spans="1:24" x14ac:dyDescent="0.35">
      <c r="A377">
        <f>'Filtered Data'!A376</f>
        <v>0</v>
      </c>
      <c r="B377">
        <f>'Filtered Data'!B376</f>
        <v>0</v>
      </c>
      <c r="C377" t="s">
        <v>2</v>
      </c>
      <c r="D377" t="e">
        <f>VLOOKUP('Filtered Data'!Z376,'Data Mapping'!$A$4:$B$7,2,0)</f>
        <v>#N/A</v>
      </c>
      <c r="E377" t="e">
        <f>VLOOKUP('Filtered Data'!C376,'Data Mapping'!$E$3:$F$97,2,0)</f>
        <v>#N/A</v>
      </c>
      <c r="F377">
        <f>'Filtered Data'!D376</f>
        <v>0</v>
      </c>
      <c r="G377" t="e">
        <f>VLOOKUP('Filtered Data'!E376,'Data Mapping'!$J$3:$K$11,2,0)</f>
        <v>#N/A</v>
      </c>
      <c r="H377">
        <f>'Filtered Data'!F376</f>
        <v>0</v>
      </c>
      <c r="I377" t="s">
        <v>5668</v>
      </c>
      <c r="J377" t="s">
        <v>1609</v>
      </c>
      <c r="K377" t="e">
        <f>VLOOKUP('Filtered Data'!A376,'Input 1 CMDB'!A:I,9,0)</f>
        <v>#N/A</v>
      </c>
      <c r="L377">
        <f>'Filtered Data'!K376</f>
        <v>0</v>
      </c>
      <c r="M377" t="e">
        <f t="shared" si="13"/>
        <v>#VALUE!</v>
      </c>
      <c r="N377">
        <f>'Filtered Data'!P376</f>
        <v>0</v>
      </c>
      <c r="O377">
        <f>'Filtered Data'!N376</f>
        <v>0</v>
      </c>
      <c r="P377" t="s">
        <v>5669</v>
      </c>
      <c r="Q377" t="str">
        <f>IF('Filtered Data'!W376,"ITHybridCloudEngineeringOperationsMgmt@Marathonpetroleum.com","mark.newman2@dxc.com")</f>
        <v>mark.newman2@dxc.com</v>
      </c>
      <c r="R377">
        <f t="shared" si="14"/>
        <v>0</v>
      </c>
      <c r="S377" s="31" t="s">
        <v>5738</v>
      </c>
      <c r="T377" t="s">
        <v>1381</v>
      </c>
      <c r="U377">
        <f>'Filtered Data'!V376</f>
        <v>0</v>
      </c>
      <c r="V377" t="str">
        <f>IF('Filtered Data'!W376,"yes","no")</f>
        <v>no</v>
      </c>
      <c r="W377" t="s">
        <v>15</v>
      </c>
      <c r="X377">
        <f>'Filtered Data'!X376</f>
        <v>0</v>
      </c>
    </row>
    <row r="378" spans="1:24" x14ac:dyDescent="0.35">
      <c r="A378">
        <f>'Filtered Data'!A377</f>
        <v>0</v>
      </c>
      <c r="B378">
        <f>'Filtered Data'!B377</f>
        <v>0</v>
      </c>
      <c r="C378" t="s">
        <v>2</v>
      </c>
      <c r="D378" t="e">
        <f>VLOOKUP('Filtered Data'!Z377,'Data Mapping'!$A$4:$B$7,2,0)</f>
        <v>#N/A</v>
      </c>
      <c r="E378" t="e">
        <f>VLOOKUP('Filtered Data'!C377,'Data Mapping'!$E$3:$F$97,2,0)</f>
        <v>#N/A</v>
      </c>
      <c r="F378">
        <f>'Filtered Data'!D377</f>
        <v>0</v>
      </c>
      <c r="G378" t="e">
        <f>VLOOKUP('Filtered Data'!E377,'Data Mapping'!$J$3:$K$11,2,0)</f>
        <v>#N/A</v>
      </c>
      <c r="H378">
        <f>'Filtered Data'!F377</f>
        <v>0</v>
      </c>
      <c r="I378" t="s">
        <v>5668</v>
      </c>
      <c r="J378" t="s">
        <v>1609</v>
      </c>
      <c r="K378" t="e">
        <f>VLOOKUP('Filtered Data'!A377,'Input 1 CMDB'!A:I,9,0)</f>
        <v>#N/A</v>
      </c>
      <c r="L378">
        <f>'Filtered Data'!K377</f>
        <v>0</v>
      </c>
      <c r="M378" t="e">
        <f t="shared" si="13"/>
        <v>#VALUE!</v>
      </c>
      <c r="N378">
        <f>'Filtered Data'!P377</f>
        <v>0</v>
      </c>
      <c r="O378">
        <f>'Filtered Data'!N377</f>
        <v>0</v>
      </c>
      <c r="P378" t="s">
        <v>5669</v>
      </c>
      <c r="Q378" t="str">
        <f>IF('Filtered Data'!W377,"ITHybridCloudEngineeringOperationsMgmt@Marathonpetroleum.com","mark.newman2@dxc.com")</f>
        <v>mark.newman2@dxc.com</v>
      </c>
      <c r="R378">
        <f t="shared" si="14"/>
        <v>0</v>
      </c>
      <c r="S378" s="31" t="s">
        <v>5738</v>
      </c>
      <c r="T378" t="s">
        <v>1381</v>
      </c>
      <c r="U378">
        <f>'Filtered Data'!V377</f>
        <v>0</v>
      </c>
      <c r="V378" t="str">
        <f>IF('Filtered Data'!W377,"yes","no")</f>
        <v>no</v>
      </c>
      <c r="W378" t="s">
        <v>15</v>
      </c>
      <c r="X378">
        <f>'Filtered Data'!X377</f>
        <v>0</v>
      </c>
    </row>
    <row r="379" spans="1:24" x14ac:dyDescent="0.35">
      <c r="A379">
        <f>'Filtered Data'!A378</f>
        <v>0</v>
      </c>
      <c r="B379">
        <f>'Filtered Data'!B378</f>
        <v>0</v>
      </c>
      <c r="C379" t="s">
        <v>2</v>
      </c>
      <c r="D379" t="e">
        <f>VLOOKUP('Filtered Data'!Z378,'Data Mapping'!$A$4:$B$7,2,0)</f>
        <v>#N/A</v>
      </c>
      <c r="E379" t="e">
        <f>VLOOKUP('Filtered Data'!C378,'Data Mapping'!$E$3:$F$97,2,0)</f>
        <v>#N/A</v>
      </c>
      <c r="F379">
        <f>'Filtered Data'!D378</f>
        <v>0</v>
      </c>
      <c r="G379" t="e">
        <f>VLOOKUP('Filtered Data'!E378,'Data Mapping'!$J$3:$K$11,2,0)</f>
        <v>#N/A</v>
      </c>
      <c r="H379">
        <f>'Filtered Data'!F378</f>
        <v>0</v>
      </c>
      <c r="I379" t="s">
        <v>5668</v>
      </c>
      <c r="J379" t="s">
        <v>1609</v>
      </c>
      <c r="K379" t="e">
        <f>VLOOKUP('Filtered Data'!A378,'Input 1 CMDB'!A:I,9,0)</f>
        <v>#N/A</v>
      </c>
      <c r="L379">
        <f>'Filtered Data'!K378</f>
        <v>0</v>
      </c>
      <c r="M379" t="e">
        <f t="shared" si="13"/>
        <v>#VALUE!</v>
      </c>
      <c r="N379">
        <f>'Filtered Data'!P378</f>
        <v>0</v>
      </c>
      <c r="O379">
        <f>'Filtered Data'!N378</f>
        <v>0</v>
      </c>
      <c r="P379" t="s">
        <v>5669</v>
      </c>
      <c r="Q379" t="str">
        <f>IF('Filtered Data'!W378,"ITHybridCloudEngineeringOperationsMgmt@Marathonpetroleum.com","mark.newman2@dxc.com")</f>
        <v>mark.newman2@dxc.com</v>
      </c>
      <c r="R379">
        <f t="shared" si="14"/>
        <v>0</v>
      </c>
      <c r="S379" s="31" t="s">
        <v>5738</v>
      </c>
      <c r="T379" t="s">
        <v>1381</v>
      </c>
      <c r="U379">
        <f>'Filtered Data'!V378</f>
        <v>0</v>
      </c>
      <c r="V379" t="str">
        <f>IF('Filtered Data'!W378,"yes","no")</f>
        <v>no</v>
      </c>
      <c r="W379" t="s">
        <v>15</v>
      </c>
      <c r="X379">
        <f>'Filtered Data'!X378</f>
        <v>0</v>
      </c>
    </row>
    <row r="380" spans="1:24" x14ac:dyDescent="0.35">
      <c r="A380">
        <f>'Filtered Data'!A379</f>
        <v>0</v>
      </c>
      <c r="B380">
        <f>'Filtered Data'!B379</f>
        <v>0</v>
      </c>
      <c r="C380" t="s">
        <v>2</v>
      </c>
      <c r="D380" t="e">
        <f>VLOOKUP('Filtered Data'!Z379,'Data Mapping'!$A$4:$B$7,2,0)</f>
        <v>#N/A</v>
      </c>
      <c r="E380" t="e">
        <f>VLOOKUP('Filtered Data'!C379,'Data Mapping'!$E$3:$F$97,2,0)</f>
        <v>#N/A</v>
      </c>
      <c r="F380">
        <f>'Filtered Data'!D379</f>
        <v>0</v>
      </c>
      <c r="G380" t="e">
        <f>VLOOKUP('Filtered Data'!E379,'Data Mapping'!$J$3:$K$11,2,0)</f>
        <v>#N/A</v>
      </c>
      <c r="H380">
        <f>'Filtered Data'!F379</f>
        <v>0</v>
      </c>
      <c r="I380" t="s">
        <v>5668</v>
      </c>
      <c r="J380" t="s">
        <v>1609</v>
      </c>
      <c r="K380" t="e">
        <f>VLOOKUP('Filtered Data'!A379,'Input 1 CMDB'!A:I,9,0)</f>
        <v>#N/A</v>
      </c>
      <c r="L380">
        <f>'Filtered Data'!K379</f>
        <v>0</v>
      </c>
      <c r="M380" t="e">
        <f t="shared" si="13"/>
        <v>#VALUE!</v>
      </c>
      <c r="N380">
        <f>'Filtered Data'!P379</f>
        <v>0</v>
      </c>
      <c r="O380">
        <f>'Filtered Data'!N379</f>
        <v>0</v>
      </c>
      <c r="P380" t="s">
        <v>5669</v>
      </c>
      <c r="Q380" t="str">
        <f>IF('Filtered Data'!W379,"ITHybridCloudEngineeringOperationsMgmt@Marathonpetroleum.com","mark.newman2@dxc.com")</f>
        <v>mark.newman2@dxc.com</v>
      </c>
      <c r="R380">
        <f t="shared" si="14"/>
        <v>0</v>
      </c>
      <c r="S380" s="31" t="s">
        <v>5738</v>
      </c>
      <c r="T380" t="s">
        <v>1381</v>
      </c>
      <c r="U380">
        <f>'Filtered Data'!V379</f>
        <v>0</v>
      </c>
      <c r="V380" t="str">
        <f>IF('Filtered Data'!W379,"yes","no")</f>
        <v>no</v>
      </c>
      <c r="W380" t="s">
        <v>15</v>
      </c>
      <c r="X380">
        <f>'Filtered Data'!X379</f>
        <v>0</v>
      </c>
    </row>
    <row r="381" spans="1:24" x14ac:dyDescent="0.35">
      <c r="A381">
        <f>'Filtered Data'!A380</f>
        <v>0</v>
      </c>
      <c r="B381">
        <f>'Filtered Data'!B380</f>
        <v>0</v>
      </c>
      <c r="C381" t="s">
        <v>2</v>
      </c>
      <c r="D381" t="e">
        <f>VLOOKUP('Filtered Data'!Z380,'Data Mapping'!$A$4:$B$7,2,0)</f>
        <v>#N/A</v>
      </c>
      <c r="E381" t="e">
        <f>VLOOKUP('Filtered Data'!C380,'Data Mapping'!$E$3:$F$97,2,0)</f>
        <v>#N/A</v>
      </c>
      <c r="F381">
        <f>'Filtered Data'!D380</f>
        <v>0</v>
      </c>
      <c r="G381" t="e">
        <f>VLOOKUP('Filtered Data'!E380,'Data Mapping'!$J$3:$K$11,2,0)</f>
        <v>#N/A</v>
      </c>
      <c r="H381">
        <f>'Filtered Data'!F380</f>
        <v>0</v>
      </c>
      <c r="I381" t="s">
        <v>5668</v>
      </c>
      <c r="J381" t="s">
        <v>1609</v>
      </c>
      <c r="K381" t="e">
        <f>VLOOKUP('Filtered Data'!A380,'Input 1 CMDB'!A:I,9,0)</f>
        <v>#N/A</v>
      </c>
      <c r="L381">
        <f>'Filtered Data'!K380</f>
        <v>0</v>
      </c>
      <c r="M381" t="e">
        <f t="shared" si="13"/>
        <v>#VALUE!</v>
      </c>
      <c r="N381">
        <f>'Filtered Data'!P380</f>
        <v>0</v>
      </c>
      <c r="O381">
        <f>'Filtered Data'!N380</f>
        <v>0</v>
      </c>
      <c r="P381" t="s">
        <v>5669</v>
      </c>
      <c r="Q381" t="str">
        <f>IF('Filtered Data'!W380,"ITHybridCloudEngineeringOperationsMgmt@Marathonpetroleum.com","mark.newman2@dxc.com")</f>
        <v>mark.newman2@dxc.com</v>
      </c>
      <c r="R381">
        <f t="shared" si="14"/>
        <v>0</v>
      </c>
      <c r="S381" s="31" t="s">
        <v>5738</v>
      </c>
      <c r="T381" t="s">
        <v>1381</v>
      </c>
      <c r="U381">
        <f>'Filtered Data'!V380</f>
        <v>0</v>
      </c>
      <c r="V381" t="str">
        <f>IF('Filtered Data'!W380,"yes","no")</f>
        <v>no</v>
      </c>
      <c r="W381" t="s">
        <v>15</v>
      </c>
      <c r="X381">
        <f>'Filtered Data'!X380</f>
        <v>0</v>
      </c>
    </row>
    <row r="382" spans="1:24" x14ac:dyDescent="0.35">
      <c r="A382">
        <f>'Filtered Data'!A381</f>
        <v>0</v>
      </c>
      <c r="B382">
        <f>'Filtered Data'!B381</f>
        <v>0</v>
      </c>
      <c r="C382" t="s">
        <v>2</v>
      </c>
      <c r="D382" t="e">
        <f>VLOOKUP('Filtered Data'!Z381,'Data Mapping'!$A$4:$B$7,2,0)</f>
        <v>#N/A</v>
      </c>
      <c r="E382" t="e">
        <f>VLOOKUP('Filtered Data'!C381,'Data Mapping'!$E$3:$F$97,2,0)</f>
        <v>#N/A</v>
      </c>
      <c r="F382">
        <f>'Filtered Data'!D381</f>
        <v>0</v>
      </c>
      <c r="G382" t="e">
        <f>VLOOKUP('Filtered Data'!E381,'Data Mapping'!$J$3:$K$11,2,0)</f>
        <v>#N/A</v>
      </c>
      <c r="H382">
        <f>'Filtered Data'!F381</f>
        <v>0</v>
      </c>
      <c r="I382" t="s">
        <v>5668</v>
      </c>
      <c r="J382" t="s">
        <v>1609</v>
      </c>
      <c r="K382" t="e">
        <f>VLOOKUP('Filtered Data'!A381,'Input 1 CMDB'!A:I,9,0)</f>
        <v>#N/A</v>
      </c>
      <c r="L382">
        <f>'Filtered Data'!K381</f>
        <v>0</v>
      </c>
      <c r="M382" t="e">
        <f t="shared" si="13"/>
        <v>#VALUE!</v>
      </c>
      <c r="N382">
        <f>'Filtered Data'!P381</f>
        <v>0</v>
      </c>
      <c r="O382">
        <f>'Filtered Data'!N381</f>
        <v>0</v>
      </c>
      <c r="P382" t="s">
        <v>5669</v>
      </c>
      <c r="Q382" t="str">
        <f>IF('Filtered Data'!W381,"ITHybridCloudEngineeringOperationsMgmt@Marathonpetroleum.com","mark.newman2@dxc.com")</f>
        <v>mark.newman2@dxc.com</v>
      </c>
      <c r="R382">
        <f t="shared" si="14"/>
        <v>0</v>
      </c>
      <c r="S382" s="31" t="s">
        <v>5738</v>
      </c>
      <c r="T382" t="s">
        <v>1381</v>
      </c>
      <c r="U382">
        <f>'Filtered Data'!V381</f>
        <v>0</v>
      </c>
      <c r="V382" t="str">
        <f>IF('Filtered Data'!W381,"yes","no")</f>
        <v>no</v>
      </c>
      <c r="W382" t="s">
        <v>15</v>
      </c>
      <c r="X382">
        <f>'Filtered Data'!X381</f>
        <v>0</v>
      </c>
    </row>
    <row r="383" spans="1:24" x14ac:dyDescent="0.35">
      <c r="A383">
        <f>'Filtered Data'!A382</f>
        <v>0</v>
      </c>
      <c r="B383">
        <f>'Filtered Data'!B382</f>
        <v>0</v>
      </c>
      <c r="C383" t="s">
        <v>2</v>
      </c>
      <c r="D383" t="e">
        <f>VLOOKUP('Filtered Data'!Z382,'Data Mapping'!$A$4:$B$7,2,0)</f>
        <v>#N/A</v>
      </c>
      <c r="E383" t="e">
        <f>VLOOKUP('Filtered Data'!C382,'Data Mapping'!$E$3:$F$97,2,0)</f>
        <v>#N/A</v>
      </c>
      <c r="F383">
        <f>'Filtered Data'!D382</f>
        <v>0</v>
      </c>
      <c r="G383" t="e">
        <f>VLOOKUP('Filtered Data'!E382,'Data Mapping'!$J$3:$K$11,2,0)</f>
        <v>#N/A</v>
      </c>
      <c r="H383">
        <f>'Filtered Data'!F382</f>
        <v>0</v>
      </c>
      <c r="I383" t="s">
        <v>5668</v>
      </c>
      <c r="J383" t="s">
        <v>1609</v>
      </c>
      <c r="K383" t="e">
        <f>VLOOKUP('Filtered Data'!A382,'Input 1 CMDB'!A:I,9,0)</f>
        <v>#N/A</v>
      </c>
      <c r="L383">
        <f>'Filtered Data'!K382</f>
        <v>0</v>
      </c>
      <c r="M383" t="e">
        <f t="shared" si="13"/>
        <v>#VALUE!</v>
      </c>
      <c r="N383">
        <f>'Filtered Data'!P382</f>
        <v>0</v>
      </c>
      <c r="O383">
        <f>'Filtered Data'!N382</f>
        <v>0</v>
      </c>
      <c r="P383" t="s">
        <v>5669</v>
      </c>
      <c r="Q383" t="str">
        <f>IF('Filtered Data'!W382,"ITHybridCloudEngineeringOperationsMgmt@Marathonpetroleum.com","mark.newman2@dxc.com")</f>
        <v>mark.newman2@dxc.com</v>
      </c>
      <c r="R383">
        <f t="shared" si="14"/>
        <v>0</v>
      </c>
      <c r="S383" s="31" t="s">
        <v>5738</v>
      </c>
      <c r="T383" t="s">
        <v>1381</v>
      </c>
      <c r="U383">
        <f>'Filtered Data'!V382</f>
        <v>0</v>
      </c>
      <c r="V383" t="str">
        <f>IF('Filtered Data'!W382,"yes","no")</f>
        <v>no</v>
      </c>
      <c r="W383" t="s">
        <v>15</v>
      </c>
      <c r="X383">
        <f>'Filtered Data'!X382</f>
        <v>0</v>
      </c>
    </row>
    <row r="384" spans="1:24" x14ac:dyDescent="0.35">
      <c r="A384">
        <f>'Filtered Data'!A383</f>
        <v>0</v>
      </c>
      <c r="B384">
        <f>'Filtered Data'!B383</f>
        <v>0</v>
      </c>
      <c r="C384" t="s">
        <v>2</v>
      </c>
      <c r="D384" t="e">
        <f>VLOOKUP('Filtered Data'!Z383,'Data Mapping'!$A$4:$B$7,2,0)</f>
        <v>#N/A</v>
      </c>
      <c r="E384" t="e">
        <f>VLOOKUP('Filtered Data'!C383,'Data Mapping'!$E$3:$F$97,2,0)</f>
        <v>#N/A</v>
      </c>
      <c r="F384">
        <f>'Filtered Data'!D383</f>
        <v>0</v>
      </c>
      <c r="G384" t="e">
        <f>VLOOKUP('Filtered Data'!E383,'Data Mapping'!$J$3:$K$11,2,0)</f>
        <v>#N/A</v>
      </c>
      <c r="H384">
        <f>'Filtered Data'!F383</f>
        <v>0</v>
      </c>
      <c r="I384" t="s">
        <v>5668</v>
      </c>
      <c r="J384" t="s">
        <v>1609</v>
      </c>
      <c r="K384" t="e">
        <f>VLOOKUP('Filtered Data'!A383,'Input 1 CMDB'!A:I,9,0)</f>
        <v>#N/A</v>
      </c>
      <c r="L384">
        <f>'Filtered Data'!K383</f>
        <v>0</v>
      </c>
      <c r="M384" t="e">
        <f t="shared" si="13"/>
        <v>#VALUE!</v>
      </c>
      <c r="N384">
        <f>'Filtered Data'!P383</f>
        <v>0</v>
      </c>
      <c r="O384">
        <f>'Filtered Data'!N383</f>
        <v>0</v>
      </c>
      <c r="P384" t="s">
        <v>5669</v>
      </c>
      <c r="Q384" t="str">
        <f>IF('Filtered Data'!W383,"ITHybridCloudEngineeringOperationsMgmt@Marathonpetroleum.com","mark.newman2@dxc.com")</f>
        <v>mark.newman2@dxc.com</v>
      </c>
      <c r="R384">
        <f t="shared" si="14"/>
        <v>0</v>
      </c>
      <c r="S384" s="31" t="s">
        <v>5738</v>
      </c>
      <c r="T384" t="s">
        <v>1381</v>
      </c>
      <c r="U384">
        <f>'Filtered Data'!V383</f>
        <v>0</v>
      </c>
      <c r="V384" t="str">
        <f>IF('Filtered Data'!W383,"yes","no")</f>
        <v>no</v>
      </c>
      <c r="W384" t="s">
        <v>15</v>
      </c>
      <c r="X384">
        <f>'Filtered Data'!X383</f>
        <v>0</v>
      </c>
    </row>
    <row r="385" spans="1:24" x14ac:dyDescent="0.35">
      <c r="A385">
        <f>'Filtered Data'!A384</f>
        <v>0</v>
      </c>
      <c r="B385">
        <f>'Filtered Data'!B384</f>
        <v>0</v>
      </c>
      <c r="C385" t="s">
        <v>2</v>
      </c>
      <c r="D385" t="e">
        <f>VLOOKUP('Filtered Data'!Z384,'Data Mapping'!$A$4:$B$7,2,0)</f>
        <v>#N/A</v>
      </c>
      <c r="E385" t="e">
        <f>VLOOKUP('Filtered Data'!C384,'Data Mapping'!$E$3:$F$97,2,0)</f>
        <v>#N/A</v>
      </c>
      <c r="F385">
        <f>'Filtered Data'!D384</f>
        <v>0</v>
      </c>
      <c r="G385" t="e">
        <f>VLOOKUP('Filtered Data'!E384,'Data Mapping'!$J$3:$K$11,2,0)</f>
        <v>#N/A</v>
      </c>
      <c r="H385">
        <f>'Filtered Data'!F384</f>
        <v>0</v>
      </c>
      <c r="I385" t="s">
        <v>5668</v>
      </c>
      <c r="J385" t="s">
        <v>1609</v>
      </c>
      <c r="K385" t="e">
        <f>VLOOKUP('Filtered Data'!A384,'Input 1 CMDB'!A:I,9,0)</f>
        <v>#N/A</v>
      </c>
      <c r="L385">
        <f>'Filtered Data'!K384</f>
        <v>0</v>
      </c>
      <c r="M385" t="e">
        <f t="shared" si="13"/>
        <v>#VALUE!</v>
      </c>
      <c r="N385">
        <f>'Filtered Data'!P384</f>
        <v>0</v>
      </c>
      <c r="O385">
        <f>'Filtered Data'!N384</f>
        <v>0</v>
      </c>
      <c r="P385" t="s">
        <v>5669</v>
      </c>
      <c r="Q385" t="str">
        <f>IF('Filtered Data'!W384,"ITHybridCloudEngineeringOperationsMgmt@Marathonpetroleum.com","mark.newman2@dxc.com")</f>
        <v>mark.newman2@dxc.com</v>
      </c>
      <c r="R385">
        <f t="shared" si="14"/>
        <v>0</v>
      </c>
      <c r="S385" s="31" t="s">
        <v>5738</v>
      </c>
      <c r="T385" t="s">
        <v>1381</v>
      </c>
      <c r="U385">
        <f>'Filtered Data'!V384</f>
        <v>0</v>
      </c>
      <c r="V385" t="str">
        <f>IF('Filtered Data'!W384,"yes","no")</f>
        <v>no</v>
      </c>
      <c r="W385" t="s">
        <v>15</v>
      </c>
      <c r="X385">
        <f>'Filtered Data'!X384</f>
        <v>0</v>
      </c>
    </row>
    <row r="386" spans="1:24" x14ac:dyDescent="0.35">
      <c r="A386">
        <f>'Filtered Data'!A385</f>
        <v>0</v>
      </c>
      <c r="B386">
        <f>'Filtered Data'!B385</f>
        <v>0</v>
      </c>
      <c r="C386" t="s">
        <v>2</v>
      </c>
      <c r="D386" t="e">
        <f>VLOOKUP('Filtered Data'!Z385,'Data Mapping'!$A$4:$B$7,2,0)</f>
        <v>#N/A</v>
      </c>
      <c r="E386" t="e">
        <f>VLOOKUP('Filtered Data'!C385,'Data Mapping'!$E$3:$F$97,2,0)</f>
        <v>#N/A</v>
      </c>
      <c r="F386">
        <f>'Filtered Data'!D385</f>
        <v>0</v>
      </c>
      <c r="G386" t="e">
        <f>VLOOKUP('Filtered Data'!E385,'Data Mapping'!$J$3:$K$11,2,0)</f>
        <v>#N/A</v>
      </c>
      <c r="H386">
        <f>'Filtered Data'!F385</f>
        <v>0</v>
      </c>
      <c r="I386" t="s">
        <v>5668</v>
      </c>
      <c r="J386" t="s">
        <v>1609</v>
      </c>
      <c r="K386" t="e">
        <f>VLOOKUP('Filtered Data'!A385,'Input 1 CMDB'!A:I,9,0)</f>
        <v>#N/A</v>
      </c>
      <c r="L386">
        <f>'Filtered Data'!K385</f>
        <v>0</v>
      </c>
      <c r="M386" t="e">
        <f t="shared" si="13"/>
        <v>#VALUE!</v>
      </c>
      <c r="N386">
        <f>'Filtered Data'!P385</f>
        <v>0</v>
      </c>
      <c r="O386">
        <f>'Filtered Data'!N385</f>
        <v>0</v>
      </c>
      <c r="P386" t="s">
        <v>5669</v>
      </c>
      <c r="Q386" t="str">
        <f>IF('Filtered Data'!W385,"ITHybridCloudEngineeringOperationsMgmt@Marathonpetroleum.com","mark.newman2@dxc.com")</f>
        <v>mark.newman2@dxc.com</v>
      </c>
      <c r="R386">
        <f t="shared" si="14"/>
        <v>0</v>
      </c>
      <c r="S386" s="31" t="s">
        <v>5738</v>
      </c>
      <c r="T386" t="s">
        <v>1381</v>
      </c>
      <c r="U386">
        <f>'Filtered Data'!V385</f>
        <v>0</v>
      </c>
      <c r="V386" t="str">
        <f>IF('Filtered Data'!W385,"yes","no")</f>
        <v>no</v>
      </c>
      <c r="W386" t="s">
        <v>15</v>
      </c>
      <c r="X386">
        <f>'Filtered Data'!X385</f>
        <v>0</v>
      </c>
    </row>
    <row r="387" spans="1:24" x14ac:dyDescent="0.35">
      <c r="A387">
        <f>'Filtered Data'!A386</f>
        <v>0</v>
      </c>
      <c r="B387">
        <f>'Filtered Data'!B386</f>
        <v>0</v>
      </c>
      <c r="C387" t="s">
        <v>2</v>
      </c>
      <c r="D387" t="e">
        <f>VLOOKUP('Filtered Data'!Z386,'Data Mapping'!$A$4:$B$7,2,0)</f>
        <v>#N/A</v>
      </c>
      <c r="E387" t="e">
        <f>VLOOKUP('Filtered Data'!C386,'Data Mapping'!$E$3:$F$97,2,0)</f>
        <v>#N/A</v>
      </c>
      <c r="F387">
        <f>'Filtered Data'!D386</f>
        <v>0</v>
      </c>
      <c r="G387" t="e">
        <f>VLOOKUP('Filtered Data'!E386,'Data Mapping'!$J$3:$K$11,2,0)</f>
        <v>#N/A</v>
      </c>
      <c r="H387">
        <f>'Filtered Data'!F386</f>
        <v>0</v>
      </c>
      <c r="I387" t="s">
        <v>5668</v>
      </c>
      <c r="J387" t="s">
        <v>1609</v>
      </c>
      <c r="K387" t="e">
        <f>VLOOKUP('Filtered Data'!A386,'Input 1 CMDB'!A:I,9,0)</f>
        <v>#N/A</v>
      </c>
      <c r="L387">
        <f>'Filtered Data'!K386</f>
        <v>0</v>
      </c>
      <c r="M387" t="e">
        <f t="shared" si="13"/>
        <v>#VALUE!</v>
      </c>
      <c r="N387">
        <f>'Filtered Data'!P386</f>
        <v>0</v>
      </c>
      <c r="O387">
        <f>'Filtered Data'!N386</f>
        <v>0</v>
      </c>
      <c r="P387" t="s">
        <v>5669</v>
      </c>
      <c r="Q387" t="str">
        <f>IF('Filtered Data'!W386,"ITHybridCloudEngineeringOperationsMgmt@Marathonpetroleum.com","mark.newman2@dxc.com")</f>
        <v>mark.newman2@dxc.com</v>
      </c>
      <c r="R387">
        <f t="shared" si="14"/>
        <v>0</v>
      </c>
      <c r="S387" s="31" t="s">
        <v>5738</v>
      </c>
      <c r="T387" t="s">
        <v>1381</v>
      </c>
      <c r="U387">
        <f>'Filtered Data'!V386</f>
        <v>0</v>
      </c>
      <c r="V387" t="str">
        <f>IF('Filtered Data'!W386,"yes","no")</f>
        <v>no</v>
      </c>
      <c r="W387" t="s">
        <v>15</v>
      </c>
      <c r="X387">
        <f>'Filtered Data'!X386</f>
        <v>0</v>
      </c>
    </row>
    <row r="388" spans="1:24" x14ac:dyDescent="0.35">
      <c r="A388">
        <f>'Filtered Data'!A387</f>
        <v>0</v>
      </c>
      <c r="B388">
        <f>'Filtered Data'!B387</f>
        <v>0</v>
      </c>
      <c r="C388" t="s">
        <v>2</v>
      </c>
      <c r="D388" t="e">
        <f>VLOOKUP('Filtered Data'!Z387,'Data Mapping'!$A$4:$B$7,2,0)</f>
        <v>#N/A</v>
      </c>
      <c r="E388" t="e">
        <f>VLOOKUP('Filtered Data'!C387,'Data Mapping'!$E$3:$F$97,2,0)</f>
        <v>#N/A</v>
      </c>
      <c r="F388">
        <f>'Filtered Data'!D387</f>
        <v>0</v>
      </c>
      <c r="G388" t="e">
        <f>VLOOKUP('Filtered Data'!E387,'Data Mapping'!$J$3:$K$11,2,0)</f>
        <v>#N/A</v>
      </c>
      <c r="H388">
        <f>'Filtered Data'!F387</f>
        <v>0</v>
      </c>
      <c r="I388" t="s">
        <v>5668</v>
      </c>
      <c r="J388" t="s">
        <v>1609</v>
      </c>
      <c r="K388" t="e">
        <f>VLOOKUP('Filtered Data'!A387,'Input 1 CMDB'!A:I,9,0)</f>
        <v>#N/A</v>
      </c>
      <c r="L388">
        <f>'Filtered Data'!K387</f>
        <v>0</v>
      </c>
      <c r="M388" t="e">
        <f t="shared" si="13"/>
        <v>#VALUE!</v>
      </c>
      <c r="N388">
        <f>'Filtered Data'!P387</f>
        <v>0</v>
      </c>
      <c r="O388">
        <f>'Filtered Data'!N387</f>
        <v>0</v>
      </c>
      <c r="P388" t="s">
        <v>5669</v>
      </c>
      <c r="Q388" t="str">
        <f>IF('Filtered Data'!W387,"ITHybridCloudEngineeringOperationsMgmt@Marathonpetroleum.com","mark.newman2@dxc.com")</f>
        <v>mark.newman2@dxc.com</v>
      </c>
      <c r="R388">
        <f t="shared" si="14"/>
        <v>0</v>
      </c>
      <c r="S388" s="31" t="s">
        <v>5738</v>
      </c>
      <c r="T388" t="s">
        <v>1381</v>
      </c>
      <c r="U388">
        <f>'Filtered Data'!V387</f>
        <v>0</v>
      </c>
      <c r="V388" t="str">
        <f>IF('Filtered Data'!W387,"yes","no")</f>
        <v>no</v>
      </c>
      <c r="W388" t="s">
        <v>15</v>
      </c>
      <c r="X388">
        <f>'Filtered Data'!X387</f>
        <v>0</v>
      </c>
    </row>
    <row r="389" spans="1:24" x14ac:dyDescent="0.35">
      <c r="A389">
        <f>'Filtered Data'!A388</f>
        <v>0</v>
      </c>
      <c r="B389">
        <f>'Filtered Data'!B388</f>
        <v>0</v>
      </c>
      <c r="C389" t="s">
        <v>2</v>
      </c>
      <c r="D389" t="e">
        <f>VLOOKUP('Filtered Data'!Z388,'Data Mapping'!$A$4:$B$7,2,0)</f>
        <v>#N/A</v>
      </c>
      <c r="E389" t="e">
        <f>VLOOKUP('Filtered Data'!C388,'Data Mapping'!$E$3:$F$97,2,0)</f>
        <v>#N/A</v>
      </c>
      <c r="F389">
        <f>'Filtered Data'!D388</f>
        <v>0</v>
      </c>
      <c r="G389" t="e">
        <f>VLOOKUP('Filtered Data'!E388,'Data Mapping'!$J$3:$K$11,2,0)</f>
        <v>#N/A</v>
      </c>
      <c r="H389">
        <f>'Filtered Data'!F388</f>
        <v>0</v>
      </c>
      <c r="I389" t="s">
        <v>5668</v>
      </c>
      <c r="J389" t="s">
        <v>1609</v>
      </c>
      <c r="K389" t="e">
        <f>VLOOKUP('Filtered Data'!A388,'Input 1 CMDB'!A:I,9,0)</f>
        <v>#N/A</v>
      </c>
      <c r="L389">
        <f>'Filtered Data'!K388</f>
        <v>0</v>
      </c>
      <c r="M389" t="e">
        <f t="shared" si="13"/>
        <v>#VALUE!</v>
      </c>
      <c r="N389">
        <f>'Filtered Data'!P388</f>
        <v>0</v>
      </c>
      <c r="O389">
        <f>'Filtered Data'!N388</f>
        <v>0</v>
      </c>
      <c r="P389" t="s">
        <v>5669</v>
      </c>
      <c r="Q389" t="str">
        <f>IF('Filtered Data'!W388,"ITHybridCloudEngineeringOperationsMgmt@Marathonpetroleum.com","mark.newman2@dxc.com")</f>
        <v>mark.newman2@dxc.com</v>
      </c>
      <c r="R389">
        <f t="shared" si="14"/>
        <v>0</v>
      </c>
      <c r="S389" s="31" t="s">
        <v>5738</v>
      </c>
      <c r="T389" t="s">
        <v>1381</v>
      </c>
      <c r="U389">
        <f>'Filtered Data'!V388</f>
        <v>0</v>
      </c>
      <c r="V389" t="str">
        <f>IF('Filtered Data'!W388,"yes","no")</f>
        <v>no</v>
      </c>
      <c r="W389" t="s">
        <v>15</v>
      </c>
      <c r="X389">
        <f>'Filtered Data'!X388</f>
        <v>0</v>
      </c>
    </row>
    <row r="390" spans="1:24" x14ac:dyDescent="0.35">
      <c r="A390">
        <f>'Filtered Data'!A389</f>
        <v>0</v>
      </c>
      <c r="B390">
        <f>'Filtered Data'!B389</f>
        <v>0</v>
      </c>
      <c r="C390" t="s">
        <v>2</v>
      </c>
      <c r="D390" t="e">
        <f>VLOOKUP('Filtered Data'!Z389,'Data Mapping'!$A$4:$B$7,2,0)</f>
        <v>#N/A</v>
      </c>
      <c r="E390" t="e">
        <f>VLOOKUP('Filtered Data'!C389,'Data Mapping'!$E$3:$F$97,2,0)</f>
        <v>#N/A</v>
      </c>
      <c r="F390">
        <f>'Filtered Data'!D389</f>
        <v>0</v>
      </c>
      <c r="G390" t="e">
        <f>VLOOKUP('Filtered Data'!E389,'Data Mapping'!$J$3:$K$11,2,0)</f>
        <v>#N/A</v>
      </c>
      <c r="H390">
        <f>'Filtered Data'!F389</f>
        <v>0</v>
      </c>
      <c r="I390" t="s">
        <v>5668</v>
      </c>
      <c r="J390" t="s">
        <v>1609</v>
      </c>
      <c r="K390" t="e">
        <f>VLOOKUP('Filtered Data'!A389,'Input 1 CMDB'!A:I,9,0)</f>
        <v>#N/A</v>
      </c>
      <c r="L390">
        <f>'Filtered Data'!K389</f>
        <v>0</v>
      </c>
      <c r="M390" t="e">
        <f t="shared" si="13"/>
        <v>#VALUE!</v>
      </c>
      <c r="N390">
        <f>'Filtered Data'!P389</f>
        <v>0</v>
      </c>
      <c r="O390">
        <f>'Filtered Data'!N389</f>
        <v>0</v>
      </c>
      <c r="P390" t="s">
        <v>5669</v>
      </c>
      <c r="Q390" t="str">
        <f>IF('Filtered Data'!W389,"ITHybridCloudEngineeringOperationsMgmt@Marathonpetroleum.com","mark.newman2@dxc.com")</f>
        <v>mark.newman2@dxc.com</v>
      </c>
      <c r="R390">
        <f t="shared" si="14"/>
        <v>0</v>
      </c>
      <c r="S390" s="31" t="s">
        <v>5738</v>
      </c>
      <c r="T390" t="s">
        <v>1381</v>
      </c>
      <c r="U390">
        <f>'Filtered Data'!V389</f>
        <v>0</v>
      </c>
      <c r="V390" t="str">
        <f>IF('Filtered Data'!W389,"yes","no")</f>
        <v>no</v>
      </c>
      <c r="W390" t="s">
        <v>15</v>
      </c>
      <c r="X390">
        <f>'Filtered Data'!X389</f>
        <v>0</v>
      </c>
    </row>
    <row r="391" spans="1:24" x14ac:dyDescent="0.35">
      <c r="A391">
        <f>'Filtered Data'!A390</f>
        <v>0</v>
      </c>
      <c r="B391">
        <f>'Filtered Data'!B390</f>
        <v>0</v>
      </c>
      <c r="C391" t="s">
        <v>2</v>
      </c>
      <c r="D391" t="e">
        <f>VLOOKUP('Filtered Data'!Z390,'Data Mapping'!$A$4:$B$7,2,0)</f>
        <v>#N/A</v>
      </c>
      <c r="E391" t="e">
        <f>VLOOKUP('Filtered Data'!C390,'Data Mapping'!$E$3:$F$97,2,0)</f>
        <v>#N/A</v>
      </c>
      <c r="F391">
        <f>'Filtered Data'!D390</f>
        <v>0</v>
      </c>
      <c r="G391" t="e">
        <f>VLOOKUP('Filtered Data'!E390,'Data Mapping'!$J$3:$K$11,2,0)</f>
        <v>#N/A</v>
      </c>
      <c r="H391">
        <f>'Filtered Data'!F390</f>
        <v>0</v>
      </c>
      <c r="I391" t="s">
        <v>5668</v>
      </c>
      <c r="J391" t="s">
        <v>1609</v>
      </c>
      <c r="K391" t="e">
        <f>VLOOKUP('Filtered Data'!A390,'Input 1 CMDB'!A:I,9,0)</f>
        <v>#N/A</v>
      </c>
      <c r="L391">
        <f>'Filtered Data'!K390</f>
        <v>0</v>
      </c>
      <c r="M391" t="e">
        <f t="shared" si="13"/>
        <v>#VALUE!</v>
      </c>
      <c r="N391">
        <f>'Filtered Data'!P390</f>
        <v>0</v>
      </c>
      <c r="O391">
        <f>'Filtered Data'!N390</f>
        <v>0</v>
      </c>
      <c r="P391" t="s">
        <v>5669</v>
      </c>
      <c r="Q391" t="str">
        <f>IF('Filtered Data'!W390,"ITHybridCloudEngineeringOperationsMgmt@Marathonpetroleum.com","mark.newman2@dxc.com")</f>
        <v>mark.newman2@dxc.com</v>
      </c>
      <c r="R391">
        <f t="shared" si="14"/>
        <v>0</v>
      </c>
      <c r="S391" s="31" t="s">
        <v>5738</v>
      </c>
      <c r="T391" t="s">
        <v>1381</v>
      </c>
      <c r="U391">
        <f>'Filtered Data'!V390</f>
        <v>0</v>
      </c>
      <c r="V391" t="str">
        <f>IF('Filtered Data'!W390,"yes","no")</f>
        <v>no</v>
      </c>
      <c r="W391" t="s">
        <v>15</v>
      </c>
      <c r="X391">
        <f>'Filtered Data'!X390</f>
        <v>0</v>
      </c>
    </row>
    <row r="392" spans="1:24" x14ac:dyDescent="0.35">
      <c r="A392">
        <f>'Filtered Data'!A391</f>
        <v>0</v>
      </c>
      <c r="B392">
        <f>'Filtered Data'!B391</f>
        <v>0</v>
      </c>
      <c r="C392" t="s">
        <v>2</v>
      </c>
      <c r="D392" t="e">
        <f>VLOOKUP('Filtered Data'!Z391,'Data Mapping'!$A$4:$B$7,2,0)</f>
        <v>#N/A</v>
      </c>
      <c r="E392" t="e">
        <f>VLOOKUP('Filtered Data'!C391,'Data Mapping'!$E$3:$F$97,2,0)</f>
        <v>#N/A</v>
      </c>
      <c r="F392">
        <f>'Filtered Data'!D391</f>
        <v>0</v>
      </c>
      <c r="G392" t="e">
        <f>VLOOKUP('Filtered Data'!E391,'Data Mapping'!$J$3:$K$11,2,0)</f>
        <v>#N/A</v>
      </c>
      <c r="H392">
        <f>'Filtered Data'!F391</f>
        <v>0</v>
      </c>
      <c r="I392" t="s">
        <v>5668</v>
      </c>
      <c r="J392" t="s">
        <v>1609</v>
      </c>
      <c r="K392" t="e">
        <f>VLOOKUP('Filtered Data'!A391,'Input 1 CMDB'!A:I,9,0)</f>
        <v>#N/A</v>
      </c>
      <c r="L392">
        <f>'Filtered Data'!K391</f>
        <v>0</v>
      </c>
      <c r="M392" t="e">
        <f t="shared" si="13"/>
        <v>#VALUE!</v>
      </c>
      <c r="N392">
        <f>'Filtered Data'!P391</f>
        <v>0</v>
      </c>
      <c r="O392">
        <f>'Filtered Data'!N391</f>
        <v>0</v>
      </c>
      <c r="P392" t="s">
        <v>5669</v>
      </c>
      <c r="Q392" t="str">
        <f>IF('Filtered Data'!W391,"ITHybridCloudEngineeringOperationsMgmt@Marathonpetroleum.com","mark.newman2@dxc.com")</f>
        <v>mark.newman2@dxc.com</v>
      </c>
      <c r="R392">
        <f t="shared" si="14"/>
        <v>0</v>
      </c>
      <c r="S392" s="31" t="s">
        <v>5738</v>
      </c>
      <c r="T392" t="s">
        <v>1381</v>
      </c>
      <c r="U392">
        <f>'Filtered Data'!V391</f>
        <v>0</v>
      </c>
      <c r="V392" t="str">
        <f>IF('Filtered Data'!W391,"yes","no")</f>
        <v>no</v>
      </c>
      <c r="W392" t="s">
        <v>15</v>
      </c>
      <c r="X392">
        <f>'Filtered Data'!X391</f>
        <v>0</v>
      </c>
    </row>
    <row r="393" spans="1:24" x14ac:dyDescent="0.35">
      <c r="A393">
        <f>'Filtered Data'!A392</f>
        <v>0</v>
      </c>
      <c r="B393">
        <f>'Filtered Data'!B392</f>
        <v>0</v>
      </c>
      <c r="C393" t="s">
        <v>2</v>
      </c>
      <c r="D393" t="e">
        <f>VLOOKUP('Filtered Data'!Z392,'Data Mapping'!$A$4:$B$7,2,0)</f>
        <v>#N/A</v>
      </c>
      <c r="E393" t="e">
        <f>VLOOKUP('Filtered Data'!C392,'Data Mapping'!$E$3:$F$97,2,0)</f>
        <v>#N/A</v>
      </c>
      <c r="F393">
        <f>'Filtered Data'!D392</f>
        <v>0</v>
      </c>
      <c r="G393" t="e">
        <f>VLOOKUP('Filtered Data'!E392,'Data Mapping'!$J$3:$K$11,2,0)</f>
        <v>#N/A</v>
      </c>
      <c r="H393">
        <f>'Filtered Data'!F392</f>
        <v>0</v>
      </c>
      <c r="I393" t="s">
        <v>5668</v>
      </c>
      <c r="J393" t="s">
        <v>1609</v>
      </c>
      <c r="K393" t="e">
        <f>VLOOKUP('Filtered Data'!A392,'Input 1 CMDB'!A:I,9,0)</f>
        <v>#N/A</v>
      </c>
      <c r="L393">
        <f>'Filtered Data'!K392</f>
        <v>0</v>
      </c>
      <c r="M393" t="e">
        <f t="shared" si="13"/>
        <v>#VALUE!</v>
      </c>
      <c r="N393">
        <f>'Filtered Data'!P392</f>
        <v>0</v>
      </c>
      <c r="O393">
        <f>'Filtered Data'!N392</f>
        <v>0</v>
      </c>
      <c r="P393" t="s">
        <v>5669</v>
      </c>
      <c r="Q393" t="str">
        <f>IF('Filtered Data'!W392,"ITHybridCloudEngineeringOperationsMgmt@Marathonpetroleum.com","mark.newman2@dxc.com")</f>
        <v>mark.newman2@dxc.com</v>
      </c>
      <c r="R393">
        <f t="shared" si="14"/>
        <v>0</v>
      </c>
      <c r="S393" s="31" t="s">
        <v>5738</v>
      </c>
      <c r="T393" t="s">
        <v>1381</v>
      </c>
      <c r="U393">
        <f>'Filtered Data'!V392</f>
        <v>0</v>
      </c>
      <c r="V393" t="str">
        <f>IF('Filtered Data'!W392,"yes","no")</f>
        <v>no</v>
      </c>
      <c r="W393" t="s">
        <v>15</v>
      </c>
      <c r="X393">
        <f>'Filtered Data'!X392</f>
        <v>0</v>
      </c>
    </row>
    <row r="394" spans="1:24" x14ac:dyDescent="0.35">
      <c r="A394">
        <f>'Filtered Data'!A393</f>
        <v>0</v>
      </c>
      <c r="B394">
        <f>'Filtered Data'!B393</f>
        <v>0</v>
      </c>
      <c r="C394" t="s">
        <v>2</v>
      </c>
      <c r="D394" t="e">
        <f>VLOOKUP('Filtered Data'!Z393,'Data Mapping'!$A$4:$B$7,2,0)</f>
        <v>#N/A</v>
      </c>
      <c r="E394" t="e">
        <f>VLOOKUP('Filtered Data'!C393,'Data Mapping'!$E$3:$F$97,2,0)</f>
        <v>#N/A</v>
      </c>
      <c r="F394">
        <f>'Filtered Data'!D393</f>
        <v>0</v>
      </c>
      <c r="G394" t="e">
        <f>VLOOKUP('Filtered Data'!E393,'Data Mapping'!$J$3:$K$11,2,0)</f>
        <v>#N/A</v>
      </c>
      <c r="H394">
        <f>'Filtered Data'!F393</f>
        <v>0</v>
      </c>
      <c r="I394" t="s">
        <v>5668</v>
      </c>
      <c r="J394" t="s">
        <v>1609</v>
      </c>
      <c r="K394" t="e">
        <f>VLOOKUP('Filtered Data'!A393,'Input 1 CMDB'!A:I,9,0)</f>
        <v>#N/A</v>
      </c>
      <c r="L394">
        <f>'Filtered Data'!K393</f>
        <v>0</v>
      </c>
      <c r="M394" t="e">
        <f t="shared" si="13"/>
        <v>#VALUE!</v>
      </c>
      <c r="N394">
        <f>'Filtered Data'!P393</f>
        <v>0</v>
      </c>
      <c r="O394">
        <f>'Filtered Data'!N393</f>
        <v>0</v>
      </c>
      <c r="P394" t="s">
        <v>5669</v>
      </c>
      <c r="Q394" t="str">
        <f>IF('Filtered Data'!W393,"ITHybridCloudEngineeringOperationsMgmt@Marathonpetroleum.com","mark.newman2@dxc.com")</f>
        <v>mark.newman2@dxc.com</v>
      </c>
      <c r="R394">
        <f t="shared" si="14"/>
        <v>0</v>
      </c>
      <c r="S394" s="31" t="s">
        <v>5738</v>
      </c>
      <c r="T394" t="s">
        <v>1381</v>
      </c>
      <c r="U394">
        <f>'Filtered Data'!V393</f>
        <v>0</v>
      </c>
      <c r="V394" t="str">
        <f>IF('Filtered Data'!W393,"yes","no")</f>
        <v>no</v>
      </c>
      <c r="W394" t="s">
        <v>15</v>
      </c>
      <c r="X394">
        <f>'Filtered Data'!X393</f>
        <v>0</v>
      </c>
    </row>
    <row r="395" spans="1:24" x14ac:dyDescent="0.35">
      <c r="A395">
        <f>'Filtered Data'!A394</f>
        <v>0</v>
      </c>
      <c r="B395">
        <f>'Filtered Data'!B394</f>
        <v>0</v>
      </c>
      <c r="C395" t="s">
        <v>2</v>
      </c>
      <c r="D395" t="e">
        <f>VLOOKUP('Filtered Data'!Z394,'Data Mapping'!$A$4:$B$7,2,0)</f>
        <v>#N/A</v>
      </c>
      <c r="E395" t="e">
        <f>VLOOKUP('Filtered Data'!C394,'Data Mapping'!$E$3:$F$97,2,0)</f>
        <v>#N/A</v>
      </c>
      <c r="F395">
        <f>'Filtered Data'!D394</f>
        <v>0</v>
      </c>
      <c r="G395" t="e">
        <f>VLOOKUP('Filtered Data'!E394,'Data Mapping'!$J$3:$K$11,2,0)</f>
        <v>#N/A</v>
      </c>
      <c r="H395">
        <f>'Filtered Data'!F394</f>
        <v>0</v>
      </c>
      <c r="I395" t="s">
        <v>5668</v>
      </c>
      <c r="J395" t="s">
        <v>1609</v>
      </c>
      <c r="K395" t="e">
        <f>VLOOKUP('Filtered Data'!A394,'Input 1 CMDB'!A:I,9,0)</f>
        <v>#N/A</v>
      </c>
      <c r="L395">
        <f>'Filtered Data'!K394</f>
        <v>0</v>
      </c>
      <c r="M395" t="e">
        <f t="shared" si="13"/>
        <v>#VALUE!</v>
      </c>
      <c r="N395">
        <f>'Filtered Data'!P394</f>
        <v>0</v>
      </c>
      <c r="O395">
        <f>'Filtered Data'!N394</f>
        <v>0</v>
      </c>
      <c r="P395" t="s">
        <v>5669</v>
      </c>
      <c r="Q395" t="str">
        <f>IF('Filtered Data'!W394,"ITHybridCloudEngineeringOperationsMgmt@Marathonpetroleum.com","mark.newman2@dxc.com")</f>
        <v>mark.newman2@dxc.com</v>
      </c>
      <c r="R395">
        <f t="shared" si="14"/>
        <v>0</v>
      </c>
      <c r="S395" s="31" t="s">
        <v>5738</v>
      </c>
      <c r="T395" t="s">
        <v>1381</v>
      </c>
      <c r="U395">
        <f>'Filtered Data'!V394</f>
        <v>0</v>
      </c>
      <c r="V395" t="str">
        <f>IF('Filtered Data'!W394,"yes","no")</f>
        <v>no</v>
      </c>
      <c r="W395" t="s">
        <v>15</v>
      </c>
      <c r="X395">
        <f>'Filtered Data'!X394</f>
        <v>0</v>
      </c>
    </row>
    <row r="396" spans="1:24" x14ac:dyDescent="0.35">
      <c r="A396">
        <f>'Filtered Data'!A395</f>
        <v>0</v>
      </c>
      <c r="B396">
        <f>'Filtered Data'!B395</f>
        <v>0</v>
      </c>
      <c r="C396" t="s">
        <v>2</v>
      </c>
      <c r="D396" t="e">
        <f>VLOOKUP('Filtered Data'!Z395,'Data Mapping'!$A$4:$B$7,2,0)</f>
        <v>#N/A</v>
      </c>
      <c r="E396" t="e">
        <f>VLOOKUP('Filtered Data'!C395,'Data Mapping'!$E$3:$F$97,2,0)</f>
        <v>#N/A</v>
      </c>
      <c r="F396">
        <f>'Filtered Data'!D395</f>
        <v>0</v>
      </c>
      <c r="G396" t="e">
        <f>VLOOKUP('Filtered Data'!E395,'Data Mapping'!$J$3:$K$11,2,0)</f>
        <v>#N/A</v>
      </c>
      <c r="H396">
        <f>'Filtered Data'!F395</f>
        <v>0</v>
      </c>
      <c r="I396" t="s">
        <v>5668</v>
      </c>
      <c r="J396" t="s">
        <v>1609</v>
      </c>
      <c r="K396" t="e">
        <f>VLOOKUP('Filtered Data'!A395,'Input 1 CMDB'!A:I,9,0)</f>
        <v>#N/A</v>
      </c>
      <c r="L396">
        <f>'Filtered Data'!K395</f>
        <v>0</v>
      </c>
      <c r="M396" t="e">
        <f t="shared" si="13"/>
        <v>#VALUE!</v>
      </c>
      <c r="N396">
        <f>'Filtered Data'!P395</f>
        <v>0</v>
      </c>
      <c r="O396">
        <f>'Filtered Data'!N395</f>
        <v>0</v>
      </c>
      <c r="P396" t="s">
        <v>5669</v>
      </c>
      <c r="Q396" t="str">
        <f>IF('Filtered Data'!W395,"ITHybridCloudEngineeringOperationsMgmt@Marathonpetroleum.com","mark.newman2@dxc.com")</f>
        <v>mark.newman2@dxc.com</v>
      </c>
      <c r="R396">
        <f t="shared" si="14"/>
        <v>0</v>
      </c>
      <c r="S396" s="31" t="s">
        <v>5738</v>
      </c>
      <c r="T396" t="s">
        <v>1381</v>
      </c>
      <c r="U396">
        <f>'Filtered Data'!V395</f>
        <v>0</v>
      </c>
      <c r="V396" t="str">
        <f>IF('Filtered Data'!W395,"yes","no")</f>
        <v>no</v>
      </c>
      <c r="W396" t="s">
        <v>15</v>
      </c>
      <c r="X396">
        <f>'Filtered Data'!X395</f>
        <v>0</v>
      </c>
    </row>
    <row r="397" spans="1:24" x14ac:dyDescent="0.35">
      <c r="A397">
        <f>'Filtered Data'!A396</f>
        <v>0</v>
      </c>
      <c r="B397">
        <f>'Filtered Data'!B396</f>
        <v>0</v>
      </c>
      <c r="C397" t="s">
        <v>2</v>
      </c>
      <c r="D397" t="e">
        <f>VLOOKUP('Filtered Data'!Z396,'Data Mapping'!$A$4:$B$7,2,0)</f>
        <v>#N/A</v>
      </c>
      <c r="E397" t="e">
        <f>VLOOKUP('Filtered Data'!C396,'Data Mapping'!$E$3:$F$97,2,0)</f>
        <v>#N/A</v>
      </c>
      <c r="F397">
        <f>'Filtered Data'!D396</f>
        <v>0</v>
      </c>
      <c r="G397" t="e">
        <f>VLOOKUP('Filtered Data'!E396,'Data Mapping'!$J$3:$K$11,2,0)</f>
        <v>#N/A</v>
      </c>
      <c r="H397">
        <f>'Filtered Data'!F396</f>
        <v>0</v>
      </c>
      <c r="I397" t="s">
        <v>5668</v>
      </c>
      <c r="J397" t="s">
        <v>1609</v>
      </c>
      <c r="K397" t="e">
        <f>VLOOKUP('Filtered Data'!A396,'Input 1 CMDB'!A:I,9,0)</f>
        <v>#N/A</v>
      </c>
      <c r="L397">
        <f>'Filtered Data'!K396</f>
        <v>0</v>
      </c>
      <c r="M397" t="e">
        <f t="shared" si="13"/>
        <v>#VALUE!</v>
      </c>
      <c r="N397">
        <f>'Filtered Data'!P396</f>
        <v>0</v>
      </c>
      <c r="O397">
        <f>'Filtered Data'!N396</f>
        <v>0</v>
      </c>
      <c r="P397" t="s">
        <v>5669</v>
      </c>
      <c r="Q397" t="str">
        <f>IF('Filtered Data'!W396,"ITHybridCloudEngineeringOperationsMgmt@Marathonpetroleum.com","mark.newman2@dxc.com")</f>
        <v>mark.newman2@dxc.com</v>
      </c>
      <c r="R397">
        <f t="shared" si="14"/>
        <v>0</v>
      </c>
      <c r="S397" s="31" t="s">
        <v>5738</v>
      </c>
      <c r="T397" t="s">
        <v>1381</v>
      </c>
      <c r="U397">
        <f>'Filtered Data'!V396</f>
        <v>0</v>
      </c>
      <c r="V397" t="str">
        <f>IF('Filtered Data'!W396,"yes","no")</f>
        <v>no</v>
      </c>
      <c r="W397" t="s">
        <v>15</v>
      </c>
      <c r="X397">
        <f>'Filtered Data'!X396</f>
        <v>0</v>
      </c>
    </row>
    <row r="398" spans="1:24" x14ac:dyDescent="0.35">
      <c r="A398">
        <f>'Filtered Data'!A397</f>
        <v>0</v>
      </c>
      <c r="B398">
        <f>'Filtered Data'!B397</f>
        <v>0</v>
      </c>
      <c r="C398" t="s">
        <v>2</v>
      </c>
      <c r="D398" t="e">
        <f>VLOOKUP('Filtered Data'!Z397,'Data Mapping'!$A$4:$B$7,2,0)</f>
        <v>#N/A</v>
      </c>
      <c r="E398" t="e">
        <f>VLOOKUP('Filtered Data'!C397,'Data Mapping'!$E$3:$F$97,2,0)</f>
        <v>#N/A</v>
      </c>
      <c r="F398">
        <f>'Filtered Data'!D397</f>
        <v>0</v>
      </c>
      <c r="G398" t="e">
        <f>VLOOKUP('Filtered Data'!E397,'Data Mapping'!$J$3:$K$11,2,0)</f>
        <v>#N/A</v>
      </c>
      <c r="H398">
        <f>'Filtered Data'!F397</f>
        <v>0</v>
      </c>
      <c r="I398" t="s">
        <v>5668</v>
      </c>
      <c r="J398" t="s">
        <v>1609</v>
      </c>
      <c r="K398" t="e">
        <f>VLOOKUP('Filtered Data'!A397,'Input 1 CMDB'!A:I,9,0)</f>
        <v>#N/A</v>
      </c>
      <c r="L398">
        <f>'Filtered Data'!K397</f>
        <v>0</v>
      </c>
      <c r="M398" t="e">
        <f t="shared" si="13"/>
        <v>#VALUE!</v>
      </c>
      <c r="N398">
        <f>'Filtered Data'!P397</f>
        <v>0</v>
      </c>
      <c r="O398">
        <f>'Filtered Data'!N397</f>
        <v>0</v>
      </c>
      <c r="P398" t="s">
        <v>5669</v>
      </c>
      <c r="Q398" t="str">
        <f>IF('Filtered Data'!W397,"ITHybridCloudEngineeringOperationsMgmt@Marathonpetroleum.com","mark.newman2@dxc.com")</f>
        <v>mark.newman2@dxc.com</v>
      </c>
      <c r="R398">
        <f t="shared" si="14"/>
        <v>0</v>
      </c>
      <c r="S398" s="31" t="s">
        <v>5738</v>
      </c>
      <c r="T398" t="s">
        <v>1381</v>
      </c>
      <c r="U398">
        <f>'Filtered Data'!V397</f>
        <v>0</v>
      </c>
      <c r="V398" t="str">
        <f>IF('Filtered Data'!W397,"yes","no")</f>
        <v>no</v>
      </c>
      <c r="W398" t="s">
        <v>15</v>
      </c>
      <c r="X398">
        <f>'Filtered Data'!X397</f>
        <v>0</v>
      </c>
    </row>
    <row r="399" spans="1:24" x14ac:dyDescent="0.35">
      <c r="A399">
        <f>'Filtered Data'!A398</f>
        <v>0</v>
      </c>
      <c r="B399">
        <f>'Filtered Data'!B398</f>
        <v>0</v>
      </c>
      <c r="C399" t="s">
        <v>2</v>
      </c>
      <c r="D399" t="e">
        <f>VLOOKUP('Filtered Data'!Z398,'Data Mapping'!$A$4:$B$7,2,0)</f>
        <v>#N/A</v>
      </c>
      <c r="E399" t="e">
        <f>VLOOKUP('Filtered Data'!C398,'Data Mapping'!$E$3:$F$97,2,0)</f>
        <v>#N/A</v>
      </c>
      <c r="F399">
        <f>'Filtered Data'!D398</f>
        <v>0</v>
      </c>
      <c r="G399" t="e">
        <f>VLOOKUP('Filtered Data'!E398,'Data Mapping'!$J$3:$K$11,2,0)</f>
        <v>#N/A</v>
      </c>
      <c r="H399">
        <f>'Filtered Data'!F398</f>
        <v>0</v>
      </c>
      <c r="I399" t="s">
        <v>5668</v>
      </c>
      <c r="J399" t="s">
        <v>1609</v>
      </c>
      <c r="K399" t="e">
        <f>VLOOKUP('Filtered Data'!A398,'Input 1 CMDB'!A:I,9,0)</f>
        <v>#N/A</v>
      </c>
      <c r="L399">
        <f>'Filtered Data'!K398</f>
        <v>0</v>
      </c>
      <c r="M399" t="e">
        <f t="shared" si="13"/>
        <v>#VALUE!</v>
      </c>
      <c r="N399">
        <f>'Filtered Data'!P398</f>
        <v>0</v>
      </c>
      <c r="O399">
        <f>'Filtered Data'!N398</f>
        <v>0</v>
      </c>
      <c r="P399" t="s">
        <v>5669</v>
      </c>
      <c r="Q399" t="str">
        <f>IF('Filtered Data'!W398,"ITHybridCloudEngineeringOperationsMgmt@Marathonpetroleum.com","mark.newman2@dxc.com")</f>
        <v>mark.newman2@dxc.com</v>
      </c>
      <c r="R399">
        <f t="shared" si="14"/>
        <v>0</v>
      </c>
      <c r="S399" s="31" t="s">
        <v>5738</v>
      </c>
      <c r="T399" t="s">
        <v>1381</v>
      </c>
      <c r="U399">
        <f>'Filtered Data'!V398</f>
        <v>0</v>
      </c>
      <c r="V399" t="str">
        <f>IF('Filtered Data'!W398,"yes","no")</f>
        <v>no</v>
      </c>
      <c r="W399" t="s">
        <v>15</v>
      </c>
      <c r="X399">
        <f>'Filtered Data'!X398</f>
        <v>0</v>
      </c>
    </row>
    <row r="400" spans="1:24" x14ac:dyDescent="0.35">
      <c r="A400">
        <f>'Filtered Data'!A399</f>
        <v>0</v>
      </c>
      <c r="B400">
        <f>'Filtered Data'!B399</f>
        <v>0</v>
      </c>
      <c r="C400" t="s">
        <v>2</v>
      </c>
      <c r="D400" t="e">
        <f>VLOOKUP('Filtered Data'!Z399,'Data Mapping'!$A$4:$B$7,2,0)</f>
        <v>#N/A</v>
      </c>
      <c r="E400" t="e">
        <f>VLOOKUP('Filtered Data'!C399,'Data Mapping'!$E$3:$F$97,2,0)</f>
        <v>#N/A</v>
      </c>
      <c r="F400">
        <f>'Filtered Data'!D399</f>
        <v>0</v>
      </c>
      <c r="G400" t="e">
        <f>VLOOKUP('Filtered Data'!E399,'Data Mapping'!$J$3:$K$11,2,0)</f>
        <v>#N/A</v>
      </c>
      <c r="H400">
        <f>'Filtered Data'!F399</f>
        <v>0</v>
      </c>
      <c r="I400" t="s">
        <v>5668</v>
      </c>
      <c r="J400" t="s">
        <v>1609</v>
      </c>
      <c r="K400" t="e">
        <f>VLOOKUP('Filtered Data'!A399,'Input 1 CMDB'!A:I,9,0)</f>
        <v>#N/A</v>
      </c>
      <c r="L400">
        <f>'Filtered Data'!K399</f>
        <v>0</v>
      </c>
      <c r="M400" t="e">
        <f t="shared" si="13"/>
        <v>#VALUE!</v>
      </c>
      <c r="N400">
        <f>'Filtered Data'!P399</f>
        <v>0</v>
      </c>
      <c r="O400">
        <f>'Filtered Data'!N399</f>
        <v>0</v>
      </c>
      <c r="P400" t="s">
        <v>5669</v>
      </c>
      <c r="Q400" t="str">
        <f>IF('Filtered Data'!W399,"ITHybridCloudEngineeringOperationsMgmt@Marathonpetroleum.com","mark.newman2@dxc.com")</f>
        <v>mark.newman2@dxc.com</v>
      </c>
      <c r="R400">
        <f t="shared" si="14"/>
        <v>0</v>
      </c>
      <c r="S400" s="31" t="s">
        <v>5738</v>
      </c>
      <c r="T400" t="s">
        <v>1381</v>
      </c>
      <c r="U400">
        <f>'Filtered Data'!V399</f>
        <v>0</v>
      </c>
      <c r="V400" t="str">
        <f>IF('Filtered Data'!W399,"yes","no")</f>
        <v>no</v>
      </c>
      <c r="W400" t="s">
        <v>15</v>
      </c>
      <c r="X400">
        <f>'Filtered Data'!X399</f>
        <v>0</v>
      </c>
    </row>
    <row r="401" spans="1:24" x14ac:dyDescent="0.35">
      <c r="A401">
        <f>'Filtered Data'!A400</f>
        <v>0</v>
      </c>
      <c r="B401">
        <f>'Filtered Data'!B400</f>
        <v>0</v>
      </c>
      <c r="C401" t="s">
        <v>2</v>
      </c>
      <c r="D401" t="e">
        <f>VLOOKUP('Filtered Data'!Z400,'Data Mapping'!$A$4:$B$7,2,0)</f>
        <v>#N/A</v>
      </c>
      <c r="E401" t="e">
        <f>VLOOKUP('Filtered Data'!C400,'Data Mapping'!$E$3:$F$97,2,0)</f>
        <v>#N/A</v>
      </c>
      <c r="F401">
        <f>'Filtered Data'!D400</f>
        <v>0</v>
      </c>
      <c r="G401" t="e">
        <f>VLOOKUP('Filtered Data'!E400,'Data Mapping'!$J$3:$K$11,2,0)</f>
        <v>#N/A</v>
      </c>
      <c r="H401">
        <f>'Filtered Data'!F400</f>
        <v>0</v>
      </c>
      <c r="I401" t="s">
        <v>5668</v>
      </c>
      <c r="J401" t="s">
        <v>1609</v>
      </c>
      <c r="K401" t="e">
        <f>VLOOKUP('Filtered Data'!A400,'Input 1 CMDB'!A:I,9,0)</f>
        <v>#N/A</v>
      </c>
      <c r="L401">
        <f>'Filtered Data'!K400</f>
        <v>0</v>
      </c>
      <c r="M401" t="e">
        <f t="shared" si="13"/>
        <v>#VALUE!</v>
      </c>
      <c r="N401">
        <f>'Filtered Data'!P400</f>
        <v>0</v>
      </c>
      <c r="O401">
        <f>'Filtered Data'!N400</f>
        <v>0</v>
      </c>
      <c r="P401" t="s">
        <v>5669</v>
      </c>
      <c r="Q401" t="str">
        <f>IF('Filtered Data'!W400,"ITHybridCloudEngineeringOperationsMgmt@Marathonpetroleum.com","mark.newman2@dxc.com")</f>
        <v>mark.newman2@dxc.com</v>
      </c>
      <c r="R401">
        <f t="shared" si="14"/>
        <v>0</v>
      </c>
      <c r="S401" s="31" t="s">
        <v>5738</v>
      </c>
      <c r="T401" t="s">
        <v>1381</v>
      </c>
      <c r="U401">
        <f>'Filtered Data'!V400</f>
        <v>0</v>
      </c>
      <c r="V401" t="str">
        <f>IF('Filtered Data'!W400,"yes","no")</f>
        <v>no</v>
      </c>
      <c r="W401" t="s">
        <v>15</v>
      </c>
      <c r="X401">
        <f>'Filtered Data'!X400</f>
        <v>0</v>
      </c>
    </row>
    <row r="402" spans="1:24" x14ac:dyDescent="0.35">
      <c r="A402">
        <f>'Filtered Data'!A401</f>
        <v>0</v>
      </c>
      <c r="B402">
        <f>'Filtered Data'!B401</f>
        <v>0</v>
      </c>
      <c r="C402" t="s">
        <v>2</v>
      </c>
      <c r="D402" t="e">
        <f>VLOOKUP('Filtered Data'!Z401,'Data Mapping'!$A$4:$B$7,2,0)</f>
        <v>#N/A</v>
      </c>
      <c r="E402" t="e">
        <f>VLOOKUP('Filtered Data'!C401,'Data Mapping'!$E$3:$F$97,2,0)</f>
        <v>#N/A</v>
      </c>
      <c r="F402">
        <f>'Filtered Data'!D401</f>
        <v>0</v>
      </c>
      <c r="G402" t="e">
        <f>VLOOKUP('Filtered Data'!E401,'Data Mapping'!$J$3:$K$11,2,0)</f>
        <v>#N/A</v>
      </c>
      <c r="H402">
        <f>'Filtered Data'!F401</f>
        <v>0</v>
      </c>
      <c r="I402" t="s">
        <v>5668</v>
      </c>
      <c r="J402" t="s">
        <v>1609</v>
      </c>
      <c r="K402" t="e">
        <f>VLOOKUP('Filtered Data'!A401,'Input 1 CMDB'!A:I,9,0)</f>
        <v>#N/A</v>
      </c>
      <c r="L402">
        <f>'Filtered Data'!K401</f>
        <v>0</v>
      </c>
      <c r="M402" t="e">
        <f t="shared" si="13"/>
        <v>#VALUE!</v>
      </c>
      <c r="N402">
        <f>'Filtered Data'!P401</f>
        <v>0</v>
      </c>
      <c r="O402">
        <f>'Filtered Data'!N401</f>
        <v>0</v>
      </c>
      <c r="P402" t="s">
        <v>5669</v>
      </c>
      <c r="Q402" t="str">
        <f>IF('Filtered Data'!W401,"ITHybridCloudEngineeringOperationsMgmt@Marathonpetroleum.com","mark.newman2@dxc.com")</f>
        <v>mark.newman2@dxc.com</v>
      </c>
      <c r="R402">
        <f t="shared" si="14"/>
        <v>0</v>
      </c>
      <c r="S402" s="31" t="s">
        <v>5738</v>
      </c>
      <c r="T402" t="s">
        <v>1381</v>
      </c>
      <c r="U402">
        <f>'Filtered Data'!V401</f>
        <v>0</v>
      </c>
      <c r="V402" t="str">
        <f>IF('Filtered Data'!W401,"yes","no")</f>
        <v>no</v>
      </c>
      <c r="W402" t="s">
        <v>15</v>
      </c>
      <c r="X402">
        <f>'Filtered Data'!X401</f>
        <v>0</v>
      </c>
    </row>
    <row r="403" spans="1:24" x14ac:dyDescent="0.35">
      <c r="A403">
        <f>'Filtered Data'!A402</f>
        <v>0</v>
      </c>
      <c r="B403">
        <f>'Filtered Data'!B402</f>
        <v>0</v>
      </c>
      <c r="C403" t="s">
        <v>2</v>
      </c>
      <c r="D403" t="e">
        <f>VLOOKUP('Filtered Data'!Z402,'Data Mapping'!$A$4:$B$7,2,0)</f>
        <v>#N/A</v>
      </c>
      <c r="E403" t="e">
        <f>VLOOKUP('Filtered Data'!C402,'Data Mapping'!$E$3:$F$97,2,0)</f>
        <v>#N/A</v>
      </c>
      <c r="F403">
        <f>'Filtered Data'!D402</f>
        <v>0</v>
      </c>
      <c r="G403" t="e">
        <f>VLOOKUP('Filtered Data'!E402,'Data Mapping'!$J$3:$K$11,2,0)</f>
        <v>#N/A</v>
      </c>
      <c r="H403">
        <f>'Filtered Data'!F402</f>
        <v>0</v>
      </c>
      <c r="I403" t="s">
        <v>5668</v>
      </c>
      <c r="J403" t="s">
        <v>1609</v>
      </c>
      <c r="K403" t="e">
        <f>VLOOKUP('Filtered Data'!A402,'Input 1 CMDB'!A:I,9,0)</f>
        <v>#N/A</v>
      </c>
      <c r="L403">
        <f>'Filtered Data'!K402</f>
        <v>0</v>
      </c>
      <c r="M403" t="e">
        <f t="shared" si="13"/>
        <v>#VALUE!</v>
      </c>
      <c r="N403">
        <f>'Filtered Data'!P402</f>
        <v>0</v>
      </c>
      <c r="O403">
        <f>'Filtered Data'!N402</f>
        <v>0</v>
      </c>
      <c r="P403" t="s">
        <v>5669</v>
      </c>
      <c r="Q403" t="str">
        <f>IF('Filtered Data'!W402,"ITHybridCloudEngineeringOperationsMgmt@Marathonpetroleum.com","mark.newman2@dxc.com")</f>
        <v>mark.newman2@dxc.com</v>
      </c>
      <c r="R403">
        <f t="shared" si="14"/>
        <v>0</v>
      </c>
      <c r="S403" s="31" t="s">
        <v>5738</v>
      </c>
      <c r="T403" t="s">
        <v>1381</v>
      </c>
      <c r="U403">
        <f>'Filtered Data'!V402</f>
        <v>0</v>
      </c>
      <c r="V403" t="str">
        <f>IF('Filtered Data'!W402,"yes","no")</f>
        <v>no</v>
      </c>
      <c r="W403" t="s">
        <v>15</v>
      </c>
      <c r="X403">
        <f>'Filtered Data'!X402</f>
        <v>0</v>
      </c>
    </row>
    <row r="404" spans="1:24" x14ac:dyDescent="0.35">
      <c r="A404">
        <f>'Filtered Data'!A403</f>
        <v>0</v>
      </c>
      <c r="B404">
        <f>'Filtered Data'!B403</f>
        <v>0</v>
      </c>
      <c r="C404" t="s">
        <v>2</v>
      </c>
      <c r="D404" t="e">
        <f>VLOOKUP('Filtered Data'!Z403,'Data Mapping'!$A$4:$B$7,2,0)</f>
        <v>#N/A</v>
      </c>
      <c r="E404" t="e">
        <f>VLOOKUP('Filtered Data'!C403,'Data Mapping'!$E$3:$F$97,2,0)</f>
        <v>#N/A</v>
      </c>
      <c r="F404">
        <f>'Filtered Data'!D403</f>
        <v>0</v>
      </c>
      <c r="G404" t="e">
        <f>VLOOKUP('Filtered Data'!E403,'Data Mapping'!$J$3:$K$11,2,0)</f>
        <v>#N/A</v>
      </c>
      <c r="H404">
        <f>'Filtered Data'!F403</f>
        <v>0</v>
      </c>
      <c r="I404" t="s">
        <v>5668</v>
      </c>
      <c r="J404" t="s">
        <v>1609</v>
      </c>
      <c r="K404" t="e">
        <f>VLOOKUP('Filtered Data'!A403,'Input 1 CMDB'!A:I,9,0)</f>
        <v>#N/A</v>
      </c>
      <c r="L404">
        <f>'Filtered Data'!K403</f>
        <v>0</v>
      </c>
      <c r="M404" t="e">
        <f t="shared" si="13"/>
        <v>#VALUE!</v>
      </c>
      <c r="N404">
        <f>'Filtered Data'!P403</f>
        <v>0</v>
      </c>
      <c r="O404">
        <f>'Filtered Data'!N403</f>
        <v>0</v>
      </c>
      <c r="P404" t="s">
        <v>5669</v>
      </c>
      <c r="Q404" t="str">
        <f>IF('Filtered Data'!W403,"ITHybridCloudEngineeringOperationsMgmt@Marathonpetroleum.com","mark.newman2@dxc.com")</f>
        <v>mark.newman2@dxc.com</v>
      </c>
      <c r="R404">
        <f t="shared" si="14"/>
        <v>0</v>
      </c>
      <c r="S404" s="31" t="s">
        <v>5738</v>
      </c>
      <c r="T404" t="s">
        <v>1381</v>
      </c>
      <c r="U404">
        <f>'Filtered Data'!V403</f>
        <v>0</v>
      </c>
      <c r="V404" t="str">
        <f>IF('Filtered Data'!W403,"yes","no")</f>
        <v>no</v>
      </c>
      <c r="W404" t="s">
        <v>15</v>
      </c>
      <c r="X404">
        <f>'Filtered Data'!X403</f>
        <v>0</v>
      </c>
    </row>
    <row r="405" spans="1:24" x14ac:dyDescent="0.35">
      <c r="A405">
        <f>'Filtered Data'!A404</f>
        <v>0</v>
      </c>
      <c r="B405">
        <f>'Filtered Data'!B404</f>
        <v>0</v>
      </c>
      <c r="C405" t="s">
        <v>2</v>
      </c>
      <c r="D405" t="e">
        <f>VLOOKUP('Filtered Data'!Z404,'Data Mapping'!$A$4:$B$7,2,0)</f>
        <v>#N/A</v>
      </c>
      <c r="E405" t="e">
        <f>VLOOKUP('Filtered Data'!C404,'Data Mapping'!$E$3:$F$97,2,0)</f>
        <v>#N/A</v>
      </c>
      <c r="F405">
        <f>'Filtered Data'!D404</f>
        <v>0</v>
      </c>
      <c r="G405" t="e">
        <f>VLOOKUP('Filtered Data'!E404,'Data Mapping'!$J$3:$K$11,2,0)</f>
        <v>#N/A</v>
      </c>
      <c r="H405">
        <f>'Filtered Data'!F404</f>
        <v>0</v>
      </c>
      <c r="I405" t="s">
        <v>5668</v>
      </c>
      <c r="J405" t="s">
        <v>1609</v>
      </c>
      <c r="K405" t="e">
        <f>VLOOKUP('Filtered Data'!A404,'Input 1 CMDB'!A:I,9,0)</f>
        <v>#N/A</v>
      </c>
      <c r="L405">
        <f>'Filtered Data'!K404</f>
        <v>0</v>
      </c>
      <c r="M405" t="e">
        <f t="shared" si="13"/>
        <v>#VALUE!</v>
      </c>
      <c r="N405">
        <f>'Filtered Data'!P404</f>
        <v>0</v>
      </c>
      <c r="O405">
        <f>'Filtered Data'!N404</f>
        <v>0</v>
      </c>
      <c r="P405" t="s">
        <v>5669</v>
      </c>
      <c r="Q405" t="str">
        <f>IF('Filtered Data'!W404,"ITHybridCloudEngineeringOperationsMgmt@Marathonpetroleum.com","mark.newman2@dxc.com")</f>
        <v>mark.newman2@dxc.com</v>
      </c>
      <c r="R405">
        <f t="shared" si="14"/>
        <v>0</v>
      </c>
      <c r="S405" s="31" t="s">
        <v>5738</v>
      </c>
      <c r="T405" t="s">
        <v>1381</v>
      </c>
      <c r="U405">
        <f>'Filtered Data'!V404</f>
        <v>0</v>
      </c>
      <c r="V405" t="str">
        <f>IF('Filtered Data'!W404,"yes","no")</f>
        <v>no</v>
      </c>
      <c r="W405" t="s">
        <v>15</v>
      </c>
      <c r="X405">
        <f>'Filtered Data'!X404</f>
        <v>0</v>
      </c>
    </row>
    <row r="406" spans="1:24" x14ac:dyDescent="0.35">
      <c r="A406">
        <f>'Filtered Data'!A405</f>
        <v>0</v>
      </c>
      <c r="B406">
        <f>'Filtered Data'!B405</f>
        <v>0</v>
      </c>
      <c r="C406" t="s">
        <v>2</v>
      </c>
      <c r="D406" t="e">
        <f>VLOOKUP('Filtered Data'!Z405,'Data Mapping'!$A$4:$B$7,2,0)</f>
        <v>#N/A</v>
      </c>
      <c r="E406" t="e">
        <f>VLOOKUP('Filtered Data'!C405,'Data Mapping'!$E$3:$F$97,2,0)</f>
        <v>#N/A</v>
      </c>
      <c r="F406">
        <f>'Filtered Data'!D405</f>
        <v>0</v>
      </c>
      <c r="G406" t="e">
        <f>VLOOKUP('Filtered Data'!E405,'Data Mapping'!$J$3:$K$11,2,0)</f>
        <v>#N/A</v>
      </c>
      <c r="H406">
        <f>'Filtered Data'!F405</f>
        <v>0</v>
      </c>
      <c r="I406" t="s">
        <v>5668</v>
      </c>
      <c r="J406" t="s">
        <v>1609</v>
      </c>
      <c r="K406" t="e">
        <f>VLOOKUP('Filtered Data'!A405,'Input 1 CMDB'!A:I,9,0)</f>
        <v>#N/A</v>
      </c>
      <c r="L406">
        <f>'Filtered Data'!K405</f>
        <v>0</v>
      </c>
      <c r="M406" t="e">
        <f t="shared" si="13"/>
        <v>#VALUE!</v>
      </c>
      <c r="N406">
        <f>'Filtered Data'!P405</f>
        <v>0</v>
      </c>
      <c r="O406">
        <f>'Filtered Data'!N405</f>
        <v>0</v>
      </c>
      <c r="P406" t="s">
        <v>5669</v>
      </c>
      <c r="Q406" t="str">
        <f>IF('Filtered Data'!W405,"ITHybridCloudEngineeringOperationsMgmt@Marathonpetroleum.com","mark.newman2@dxc.com")</f>
        <v>mark.newman2@dxc.com</v>
      </c>
      <c r="R406">
        <f t="shared" si="14"/>
        <v>0</v>
      </c>
      <c r="S406" s="31" t="s">
        <v>5738</v>
      </c>
      <c r="T406" t="s">
        <v>1381</v>
      </c>
      <c r="U406">
        <f>'Filtered Data'!V405</f>
        <v>0</v>
      </c>
      <c r="V406" t="str">
        <f>IF('Filtered Data'!W405,"yes","no")</f>
        <v>no</v>
      </c>
      <c r="W406" t="s">
        <v>15</v>
      </c>
      <c r="X406">
        <f>'Filtered Data'!X405</f>
        <v>0</v>
      </c>
    </row>
    <row r="407" spans="1:24" x14ac:dyDescent="0.35">
      <c r="A407">
        <f>'Filtered Data'!A406</f>
        <v>0</v>
      </c>
      <c r="B407">
        <f>'Filtered Data'!B406</f>
        <v>0</v>
      </c>
      <c r="C407" t="s">
        <v>2</v>
      </c>
      <c r="D407" t="e">
        <f>VLOOKUP('Filtered Data'!Z406,'Data Mapping'!$A$4:$B$7,2,0)</f>
        <v>#N/A</v>
      </c>
      <c r="E407" t="e">
        <f>VLOOKUP('Filtered Data'!C406,'Data Mapping'!$E$3:$F$97,2,0)</f>
        <v>#N/A</v>
      </c>
      <c r="F407">
        <f>'Filtered Data'!D406</f>
        <v>0</v>
      </c>
      <c r="G407" t="e">
        <f>VLOOKUP('Filtered Data'!E406,'Data Mapping'!$J$3:$K$11,2,0)</f>
        <v>#N/A</v>
      </c>
      <c r="H407">
        <f>'Filtered Data'!F406</f>
        <v>0</v>
      </c>
      <c r="I407" t="s">
        <v>5668</v>
      </c>
      <c r="J407" t="s">
        <v>1609</v>
      </c>
      <c r="K407" t="e">
        <f>VLOOKUP('Filtered Data'!A406,'Input 1 CMDB'!A:I,9,0)</f>
        <v>#N/A</v>
      </c>
      <c r="L407">
        <f>'Filtered Data'!K406</f>
        <v>0</v>
      </c>
      <c r="M407" t="e">
        <f t="shared" si="13"/>
        <v>#VALUE!</v>
      </c>
      <c r="N407">
        <f>'Filtered Data'!P406</f>
        <v>0</v>
      </c>
      <c r="O407">
        <f>'Filtered Data'!N406</f>
        <v>0</v>
      </c>
      <c r="P407" t="s">
        <v>5669</v>
      </c>
      <c r="Q407" t="str">
        <f>IF('Filtered Data'!W406,"ITHybridCloudEngineeringOperationsMgmt@Marathonpetroleum.com","mark.newman2@dxc.com")</f>
        <v>mark.newman2@dxc.com</v>
      </c>
      <c r="R407">
        <f t="shared" si="14"/>
        <v>0</v>
      </c>
      <c r="S407" s="31" t="s">
        <v>5738</v>
      </c>
      <c r="T407" t="s">
        <v>1381</v>
      </c>
      <c r="U407">
        <f>'Filtered Data'!V406</f>
        <v>0</v>
      </c>
      <c r="V407" t="str">
        <f>IF('Filtered Data'!W406,"yes","no")</f>
        <v>no</v>
      </c>
      <c r="W407" t="s">
        <v>15</v>
      </c>
      <c r="X407">
        <f>'Filtered Data'!X406</f>
        <v>0</v>
      </c>
    </row>
    <row r="408" spans="1:24" x14ac:dyDescent="0.35">
      <c r="A408">
        <f>'Filtered Data'!A407</f>
        <v>0</v>
      </c>
      <c r="B408">
        <f>'Filtered Data'!B407</f>
        <v>0</v>
      </c>
      <c r="C408" t="s">
        <v>2</v>
      </c>
      <c r="D408" t="e">
        <f>VLOOKUP('Filtered Data'!Z407,'Data Mapping'!$A$4:$B$7,2,0)</f>
        <v>#N/A</v>
      </c>
      <c r="E408" t="e">
        <f>VLOOKUP('Filtered Data'!C407,'Data Mapping'!$E$3:$F$97,2,0)</f>
        <v>#N/A</v>
      </c>
      <c r="F408">
        <f>'Filtered Data'!D407</f>
        <v>0</v>
      </c>
      <c r="G408" t="e">
        <f>VLOOKUP('Filtered Data'!E407,'Data Mapping'!$J$3:$K$11,2,0)</f>
        <v>#N/A</v>
      </c>
      <c r="H408">
        <f>'Filtered Data'!F407</f>
        <v>0</v>
      </c>
      <c r="I408" t="s">
        <v>5668</v>
      </c>
      <c r="J408" t="s">
        <v>1609</v>
      </c>
      <c r="K408" t="e">
        <f>VLOOKUP('Filtered Data'!A407,'Input 1 CMDB'!A:I,9,0)</f>
        <v>#N/A</v>
      </c>
      <c r="L408">
        <f>'Filtered Data'!K407</f>
        <v>0</v>
      </c>
      <c r="M408" t="e">
        <f t="shared" si="13"/>
        <v>#VALUE!</v>
      </c>
      <c r="N408">
        <f>'Filtered Data'!P407</f>
        <v>0</v>
      </c>
      <c r="O408">
        <f>'Filtered Data'!N407</f>
        <v>0</v>
      </c>
      <c r="P408" t="s">
        <v>5669</v>
      </c>
      <c r="Q408" t="str">
        <f>IF('Filtered Data'!W407,"ITHybridCloudEngineeringOperationsMgmt@Marathonpetroleum.com","mark.newman2@dxc.com")</f>
        <v>mark.newman2@dxc.com</v>
      </c>
      <c r="R408">
        <f t="shared" si="14"/>
        <v>0</v>
      </c>
      <c r="S408" s="31" t="s">
        <v>5738</v>
      </c>
      <c r="T408" t="s">
        <v>1381</v>
      </c>
      <c r="U408">
        <f>'Filtered Data'!V407</f>
        <v>0</v>
      </c>
      <c r="V408" t="str">
        <f>IF('Filtered Data'!W407,"yes","no")</f>
        <v>no</v>
      </c>
      <c r="W408" t="s">
        <v>15</v>
      </c>
      <c r="X408">
        <f>'Filtered Data'!X407</f>
        <v>0</v>
      </c>
    </row>
    <row r="409" spans="1:24" x14ac:dyDescent="0.35">
      <c r="A409">
        <f>'Filtered Data'!A408</f>
        <v>0</v>
      </c>
      <c r="B409">
        <f>'Filtered Data'!B408</f>
        <v>0</v>
      </c>
      <c r="C409" t="s">
        <v>2</v>
      </c>
      <c r="D409" t="e">
        <f>VLOOKUP('Filtered Data'!Z408,'Data Mapping'!$A$4:$B$7,2,0)</f>
        <v>#N/A</v>
      </c>
      <c r="E409" t="e">
        <f>VLOOKUP('Filtered Data'!C408,'Data Mapping'!$E$3:$F$97,2,0)</f>
        <v>#N/A</v>
      </c>
      <c r="F409">
        <f>'Filtered Data'!D408</f>
        <v>0</v>
      </c>
      <c r="G409" t="e">
        <f>VLOOKUP('Filtered Data'!E408,'Data Mapping'!$J$3:$K$11,2,0)</f>
        <v>#N/A</v>
      </c>
      <c r="H409">
        <f>'Filtered Data'!F408</f>
        <v>0</v>
      </c>
      <c r="I409" t="s">
        <v>5668</v>
      </c>
      <c r="J409" t="s">
        <v>1609</v>
      </c>
      <c r="K409" t="e">
        <f>VLOOKUP('Filtered Data'!A408,'Input 1 CMDB'!A:I,9,0)</f>
        <v>#N/A</v>
      </c>
      <c r="L409">
        <f>'Filtered Data'!K408</f>
        <v>0</v>
      </c>
      <c r="M409" t="e">
        <f t="shared" si="13"/>
        <v>#VALUE!</v>
      </c>
      <c r="N409">
        <f>'Filtered Data'!P408</f>
        <v>0</v>
      </c>
      <c r="O409">
        <f>'Filtered Data'!N408</f>
        <v>0</v>
      </c>
      <c r="P409" t="s">
        <v>5669</v>
      </c>
      <c r="Q409" t="str">
        <f>IF('Filtered Data'!W408,"ITHybridCloudEngineeringOperationsMgmt@Marathonpetroleum.com","mark.newman2@dxc.com")</f>
        <v>mark.newman2@dxc.com</v>
      </c>
      <c r="R409">
        <f t="shared" si="14"/>
        <v>0</v>
      </c>
      <c r="S409" s="31" t="s">
        <v>5738</v>
      </c>
      <c r="T409" t="s">
        <v>1381</v>
      </c>
      <c r="U409">
        <f>'Filtered Data'!V408</f>
        <v>0</v>
      </c>
      <c r="V409" t="str">
        <f>IF('Filtered Data'!W408,"yes","no")</f>
        <v>no</v>
      </c>
      <c r="W409" t="s">
        <v>15</v>
      </c>
      <c r="X409">
        <f>'Filtered Data'!X408</f>
        <v>0</v>
      </c>
    </row>
    <row r="410" spans="1:24" x14ac:dyDescent="0.35">
      <c r="A410">
        <f>'Filtered Data'!A409</f>
        <v>0</v>
      </c>
      <c r="B410">
        <f>'Filtered Data'!B409</f>
        <v>0</v>
      </c>
      <c r="C410" t="s">
        <v>2</v>
      </c>
      <c r="D410" t="e">
        <f>VLOOKUP('Filtered Data'!Z409,'Data Mapping'!$A$4:$B$7,2,0)</f>
        <v>#N/A</v>
      </c>
      <c r="E410" t="e">
        <f>VLOOKUP('Filtered Data'!C409,'Data Mapping'!$E$3:$F$97,2,0)</f>
        <v>#N/A</v>
      </c>
      <c r="F410">
        <f>'Filtered Data'!D409</f>
        <v>0</v>
      </c>
      <c r="G410" t="e">
        <f>VLOOKUP('Filtered Data'!E409,'Data Mapping'!$J$3:$K$11,2,0)</f>
        <v>#N/A</v>
      </c>
      <c r="H410">
        <f>'Filtered Data'!F409</f>
        <v>0</v>
      </c>
      <c r="I410" t="s">
        <v>5668</v>
      </c>
      <c r="J410" t="s">
        <v>1609</v>
      </c>
      <c r="K410" t="e">
        <f>VLOOKUP('Filtered Data'!A409,'Input 1 CMDB'!A:I,9,0)</f>
        <v>#N/A</v>
      </c>
      <c r="L410">
        <f>'Filtered Data'!K409</f>
        <v>0</v>
      </c>
      <c r="M410" t="e">
        <f t="shared" si="13"/>
        <v>#VALUE!</v>
      </c>
      <c r="N410">
        <f>'Filtered Data'!P409</f>
        <v>0</v>
      </c>
      <c r="O410">
        <f>'Filtered Data'!N409</f>
        <v>0</v>
      </c>
      <c r="P410" t="s">
        <v>5669</v>
      </c>
      <c r="Q410" t="str">
        <f>IF('Filtered Data'!W409,"ITHybridCloudEngineeringOperationsMgmt@Marathonpetroleum.com","mark.newman2@dxc.com")</f>
        <v>mark.newman2@dxc.com</v>
      </c>
      <c r="R410">
        <f t="shared" si="14"/>
        <v>0</v>
      </c>
      <c r="S410" s="31" t="s">
        <v>5738</v>
      </c>
      <c r="T410" t="s">
        <v>1381</v>
      </c>
      <c r="U410">
        <f>'Filtered Data'!V409</f>
        <v>0</v>
      </c>
      <c r="V410" t="str">
        <f>IF('Filtered Data'!W409,"yes","no")</f>
        <v>no</v>
      </c>
      <c r="W410" t="s">
        <v>15</v>
      </c>
      <c r="X410">
        <f>'Filtered Data'!X409</f>
        <v>0</v>
      </c>
    </row>
    <row r="411" spans="1:24" x14ac:dyDescent="0.35">
      <c r="A411">
        <f>'Filtered Data'!A410</f>
        <v>0</v>
      </c>
      <c r="B411">
        <f>'Filtered Data'!B410</f>
        <v>0</v>
      </c>
      <c r="C411" t="s">
        <v>2</v>
      </c>
      <c r="D411" t="e">
        <f>VLOOKUP('Filtered Data'!Z410,'Data Mapping'!$A$4:$B$7,2,0)</f>
        <v>#N/A</v>
      </c>
      <c r="E411" t="e">
        <f>VLOOKUP('Filtered Data'!C410,'Data Mapping'!$E$3:$F$97,2,0)</f>
        <v>#N/A</v>
      </c>
      <c r="F411">
        <f>'Filtered Data'!D410</f>
        <v>0</v>
      </c>
      <c r="G411" t="e">
        <f>VLOOKUP('Filtered Data'!E410,'Data Mapping'!$J$3:$K$11,2,0)</f>
        <v>#N/A</v>
      </c>
      <c r="H411">
        <f>'Filtered Data'!F410</f>
        <v>0</v>
      </c>
      <c r="I411" t="s">
        <v>5668</v>
      </c>
      <c r="J411" t="s">
        <v>1609</v>
      </c>
      <c r="K411" t="e">
        <f>VLOOKUP('Filtered Data'!A410,'Input 1 CMDB'!A:I,9,0)</f>
        <v>#N/A</v>
      </c>
      <c r="L411">
        <f>'Filtered Data'!K410</f>
        <v>0</v>
      </c>
      <c r="M411" t="e">
        <f t="shared" si="13"/>
        <v>#VALUE!</v>
      </c>
      <c r="N411">
        <f>'Filtered Data'!P410</f>
        <v>0</v>
      </c>
      <c r="O411">
        <f>'Filtered Data'!N410</f>
        <v>0</v>
      </c>
      <c r="P411" t="s">
        <v>5669</v>
      </c>
      <c r="Q411" t="str">
        <f>IF('Filtered Data'!W410,"ITHybridCloudEngineeringOperationsMgmt@Marathonpetroleum.com","mark.newman2@dxc.com")</f>
        <v>mark.newman2@dxc.com</v>
      </c>
      <c r="R411">
        <f t="shared" si="14"/>
        <v>0</v>
      </c>
      <c r="S411" s="31" t="s">
        <v>5738</v>
      </c>
      <c r="T411" t="s">
        <v>1381</v>
      </c>
      <c r="U411">
        <f>'Filtered Data'!V410</f>
        <v>0</v>
      </c>
      <c r="V411" t="str">
        <f>IF('Filtered Data'!W410,"yes","no")</f>
        <v>no</v>
      </c>
      <c r="W411" t="s">
        <v>15</v>
      </c>
      <c r="X411">
        <f>'Filtered Data'!X410</f>
        <v>0</v>
      </c>
    </row>
    <row r="412" spans="1:24" x14ac:dyDescent="0.35">
      <c r="A412">
        <f>'Filtered Data'!A411</f>
        <v>0</v>
      </c>
      <c r="B412">
        <f>'Filtered Data'!B411</f>
        <v>0</v>
      </c>
      <c r="C412" t="s">
        <v>2</v>
      </c>
      <c r="D412" t="e">
        <f>VLOOKUP('Filtered Data'!Z411,'Data Mapping'!$A$4:$B$7,2,0)</f>
        <v>#N/A</v>
      </c>
      <c r="E412" t="e">
        <f>VLOOKUP('Filtered Data'!C411,'Data Mapping'!$E$3:$F$97,2,0)</f>
        <v>#N/A</v>
      </c>
      <c r="F412">
        <f>'Filtered Data'!D411</f>
        <v>0</v>
      </c>
      <c r="G412" t="e">
        <f>VLOOKUP('Filtered Data'!E411,'Data Mapping'!$J$3:$K$11,2,0)</f>
        <v>#N/A</v>
      </c>
      <c r="H412">
        <f>'Filtered Data'!F411</f>
        <v>0</v>
      </c>
      <c r="I412" t="s">
        <v>5668</v>
      </c>
      <c r="J412" t="s">
        <v>1609</v>
      </c>
      <c r="K412" t="e">
        <f>VLOOKUP('Filtered Data'!A411,'Input 1 CMDB'!A:I,9,0)</f>
        <v>#N/A</v>
      </c>
      <c r="L412">
        <f>'Filtered Data'!K411</f>
        <v>0</v>
      </c>
      <c r="M412" t="e">
        <f t="shared" si="13"/>
        <v>#VALUE!</v>
      </c>
      <c r="N412">
        <f>'Filtered Data'!P411</f>
        <v>0</v>
      </c>
      <c r="O412">
        <f>'Filtered Data'!N411</f>
        <v>0</v>
      </c>
      <c r="P412" t="s">
        <v>5669</v>
      </c>
      <c r="Q412" t="str">
        <f>IF('Filtered Data'!W411,"ITHybridCloudEngineeringOperationsMgmt@Marathonpetroleum.com","mark.newman2@dxc.com")</f>
        <v>mark.newman2@dxc.com</v>
      </c>
      <c r="R412">
        <f t="shared" si="14"/>
        <v>0</v>
      </c>
      <c r="S412" s="31" t="s">
        <v>5738</v>
      </c>
      <c r="T412" t="s">
        <v>1381</v>
      </c>
      <c r="U412">
        <f>'Filtered Data'!V411</f>
        <v>0</v>
      </c>
      <c r="V412" t="str">
        <f>IF('Filtered Data'!W411,"yes","no")</f>
        <v>no</v>
      </c>
      <c r="W412" t="s">
        <v>15</v>
      </c>
      <c r="X412">
        <f>'Filtered Data'!X411</f>
        <v>0</v>
      </c>
    </row>
    <row r="413" spans="1:24" x14ac:dyDescent="0.35">
      <c r="A413">
        <f>'Filtered Data'!A412</f>
        <v>0</v>
      </c>
      <c r="B413">
        <f>'Filtered Data'!B412</f>
        <v>0</v>
      </c>
      <c r="C413" t="s">
        <v>2</v>
      </c>
      <c r="D413" t="e">
        <f>VLOOKUP('Filtered Data'!Z412,'Data Mapping'!$A$4:$B$7,2,0)</f>
        <v>#N/A</v>
      </c>
      <c r="E413" t="e">
        <f>VLOOKUP('Filtered Data'!C412,'Data Mapping'!$E$3:$F$97,2,0)</f>
        <v>#N/A</v>
      </c>
      <c r="F413">
        <f>'Filtered Data'!D412</f>
        <v>0</v>
      </c>
      <c r="G413" t="e">
        <f>VLOOKUP('Filtered Data'!E412,'Data Mapping'!$J$3:$K$11,2,0)</f>
        <v>#N/A</v>
      </c>
      <c r="H413">
        <f>'Filtered Data'!F412</f>
        <v>0</v>
      </c>
      <c r="I413" t="s">
        <v>5668</v>
      </c>
      <c r="J413" t="s">
        <v>1609</v>
      </c>
      <c r="K413" t="e">
        <f>VLOOKUP('Filtered Data'!A412,'Input 1 CMDB'!A:I,9,0)</f>
        <v>#N/A</v>
      </c>
      <c r="L413">
        <f>'Filtered Data'!K412</f>
        <v>0</v>
      </c>
      <c r="M413" t="e">
        <f t="shared" si="13"/>
        <v>#VALUE!</v>
      </c>
      <c r="N413">
        <f>'Filtered Data'!P412</f>
        <v>0</v>
      </c>
      <c r="O413">
        <f>'Filtered Data'!N412</f>
        <v>0</v>
      </c>
      <c r="P413" t="s">
        <v>5669</v>
      </c>
      <c r="Q413" t="str">
        <f>IF('Filtered Data'!W412,"ITHybridCloudEngineeringOperationsMgmt@Marathonpetroleum.com","mark.newman2@dxc.com")</f>
        <v>mark.newman2@dxc.com</v>
      </c>
      <c r="R413">
        <f t="shared" si="14"/>
        <v>0</v>
      </c>
      <c r="S413" s="31" t="s">
        <v>5738</v>
      </c>
      <c r="T413" t="s">
        <v>1381</v>
      </c>
      <c r="U413">
        <f>'Filtered Data'!V412</f>
        <v>0</v>
      </c>
      <c r="V413" t="str">
        <f>IF('Filtered Data'!W412,"yes","no")</f>
        <v>no</v>
      </c>
      <c r="W413" t="s">
        <v>15</v>
      </c>
      <c r="X413">
        <f>'Filtered Data'!X412</f>
        <v>0</v>
      </c>
    </row>
    <row r="414" spans="1:24" x14ac:dyDescent="0.35">
      <c r="A414">
        <f>'Filtered Data'!A413</f>
        <v>0</v>
      </c>
      <c r="B414">
        <f>'Filtered Data'!B413</f>
        <v>0</v>
      </c>
      <c r="C414" t="s">
        <v>2</v>
      </c>
      <c r="D414" t="e">
        <f>VLOOKUP('Filtered Data'!Z413,'Data Mapping'!$A$4:$B$7,2,0)</f>
        <v>#N/A</v>
      </c>
      <c r="E414" t="e">
        <f>VLOOKUP('Filtered Data'!C413,'Data Mapping'!$E$3:$F$97,2,0)</f>
        <v>#N/A</v>
      </c>
      <c r="F414">
        <f>'Filtered Data'!D413</f>
        <v>0</v>
      </c>
      <c r="G414" t="e">
        <f>VLOOKUP('Filtered Data'!E413,'Data Mapping'!$J$3:$K$11,2,0)</f>
        <v>#N/A</v>
      </c>
      <c r="H414">
        <f>'Filtered Data'!F413</f>
        <v>0</v>
      </c>
      <c r="I414" t="s">
        <v>5668</v>
      </c>
      <c r="J414" t="s">
        <v>1609</v>
      </c>
      <c r="K414" t="e">
        <f>VLOOKUP('Filtered Data'!A413,'Input 1 CMDB'!A:I,9,0)</f>
        <v>#N/A</v>
      </c>
      <c r="L414">
        <f>'Filtered Data'!K413</f>
        <v>0</v>
      </c>
      <c r="M414" t="e">
        <f t="shared" si="13"/>
        <v>#VALUE!</v>
      </c>
      <c r="N414">
        <f>'Filtered Data'!P413</f>
        <v>0</v>
      </c>
      <c r="O414">
        <f>'Filtered Data'!N413</f>
        <v>0</v>
      </c>
      <c r="P414" t="s">
        <v>5669</v>
      </c>
      <c r="Q414" t="str">
        <f>IF('Filtered Data'!W413,"ITHybridCloudEngineeringOperationsMgmt@Marathonpetroleum.com","mark.newman2@dxc.com")</f>
        <v>mark.newman2@dxc.com</v>
      </c>
      <c r="R414">
        <f t="shared" si="14"/>
        <v>0</v>
      </c>
      <c r="S414" s="31" t="s">
        <v>5738</v>
      </c>
      <c r="T414" t="s">
        <v>1381</v>
      </c>
      <c r="U414">
        <f>'Filtered Data'!V413</f>
        <v>0</v>
      </c>
      <c r="V414" t="str">
        <f>IF('Filtered Data'!W413,"yes","no")</f>
        <v>no</v>
      </c>
      <c r="W414" t="s">
        <v>15</v>
      </c>
      <c r="X414">
        <f>'Filtered Data'!X413</f>
        <v>0</v>
      </c>
    </row>
    <row r="415" spans="1:24" x14ac:dyDescent="0.35">
      <c r="A415">
        <f>'Filtered Data'!A414</f>
        <v>0</v>
      </c>
      <c r="B415">
        <f>'Filtered Data'!B414</f>
        <v>0</v>
      </c>
      <c r="C415" t="s">
        <v>2</v>
      </c>
      <c r="D415" t="e">
        <f>VLOOKUP('Filtered Data'!Z414,'Data Mapping'!$A$4:$B$7,2,0)</f>
        <v>#N/A</v>
      </c>
      <c r="E415" t="e">
        <f>VLOOKUP('Filtered Data'!C414,'Data Mapping'!$E$3:$F$97,2,0)</f>
        <v>#N/A</v>
      </c>
      <c r="F415">
        <f>'Filtered Data'!D414</f>
        <v>0</v>
      </c>
      <c r="G415" t="e">
        <f>VLOOKUP('Filtered Data'!E414,'Data Mapping'!$J$3:$K$11,2,0)</f>
        <v>#N/A</v>
      </c>
      <c r="H415">
        <f>'Filtered Data'!F414</f>
        <v>0</v>
      </c>
      <c r="I415" t="s">
        <v>5668</v>
      </c>
      <c r="J415" t="s">
        <v>1609</v>
      </c>
      <c r="K415" t="e">
        <f>VLOOKUP('Filtered Data'!A414,'Input 1 CMDB'!A:I,9,0)</f>
        <v>#N/A</v>
      </c>
      <c r="L415">
        <f>'Filtered Data'!K414</f>
        <v>0</v>
      </c>
      <c r="M415" t="e">
        <f t="shared" si="13"/>
        <v>#VALUE!</v>
      </c>
      <c r="N415">
        <f>'Filtered Data'!P414</f>
        <v>0</v>
      </c>
      <c r="O415">
        <f>'Filtered Data'!N414</f>
        <v>0</v>
      </c>
      <c r="P415" t="s">
        <v>5669</v>
      </c>
      <c r="Q415" t="str">
        <f>IF('Filtered Data'!W414,"ITHybridCloudEngineeringOperationsMgmt@Marathonpetroleum.com","mark.newman2@dxc.com")</f>
        <v>mark.newman2@dxc.com</v>
      </c>
      <c r="R415">
        <f t="shared" si="14"/>
        <v>0</v>
      </c>
      <c r="S415" s="31" t="s">
        <v>5738</v>
      </c>
      <c r="T415" t="s">
        <v>1381</v>
      </c>
      <c r="U415">
        <f>'Filtered Data'!V414</f>
        <v>0</v>
      </c>
      <c r="V415" t="str">
        <f>IF('Filtered Data'!W414,"yes","no")</f>
        <v>no</v>
      </c>
      <c r="W415" t="s">
        <v>15</v>
      </c>
      <c r="X415">
        <f>'Filtered Data'!X414</f>
        <v>0</v>
      </c>
    </row>
    <row r="416" spans="1:24" x14ac:dyDescent="0.35">
      <c r="A416">
        <f>'Filtered Data'!A415</f>
        <v>0</v>
      </c>
      <c r="B416">
        <f>'Filtered Data'!B415</f>
        <v>0</v>
      </c>
      <c r="C416" t="s">
        <v>2</v>
      </c>
      <c r="D416" t="e">
        <f>VLOOKUP('Filtered Data'!Z415,'Data Mapping'!$A$4:$B$7,2,0)</f>
        <v>#N/A</v>
      </c>
      <c r="E416" t="e">
        <f>VLOOKUP('Filtered Data'!C415,'Data Mapping'!$E$3:$F$97,2,0)</f>
        <v>#N/A</v>
      </c>
      <c r="F416">
        <f>'Filtered Data'!D415</f>
        <v>0</v>
      </c>
      <c r="G416" t="e">
        <f>VLOOKUP('Filtered Data'!E415,'Data Mapping'!$J$3:$K$11,2,0)</f>
        <v>#N/A</v>
      </c>
      <c r="H416">
        <f>'Filtered Data'!F415</f>
        <v>0</v>
      </c>
      <c r="I416" t="s">
        <v>5668</v>
      </c>
      <c r="J416" t="s">
        <v>1609</v>
      </c>
      <c r="K416" t="e">
        <f>VLOOKUP('Filtered Data'!A415,'Input 1 CMDB'!A:I,9,0)</f>
        <v>#N/A</v>
      </c>
      <c r="L416">
        <f>'Filtered Data'!K415</f>
        <v>0</v>
      </c>
      <c r="M416" t="e">
        <f t="shared" si="13"/>
        <v>#VALUE!</v>
      </c>
      <c r="N416">
        <f>'Filtered Data'!P415</f>
        <v>0</v>
      </c>
      <c r="O416">
        <f>'Filtered Data'!N415</f>
        <v>0</v>
      </c>
      <c r="P416" t="s">
        <v>5669</v>
      </c>
      <c r="Q416" t="str">
        <f>IF('Filtered Data'!W415,"ITHybridCloudEngineeringOperationsMgmt@Marathonpetroleum.com","mark.newman2@dxc.com")</f>
        <v>mark.newman2@dxc.com</v>
      </c>
      <c r="R416">
        <f t="shared" si="14"/>
        <v>0</v>
      </c>
      <c r="S416" s="31" t="s">
        <v>5738</v>
      </c>
      <c r="T416" t="s">
        <v>1381</v>
      </c>
      <c r="U416">
        <f>'Filtered Data'!V415</f>
        <v>0</v>
      </c>
      <c r="V416" t="str">
        <f>IF('Filtered Data'!W415,"yes","no")</f>
        <v>no</v>
      </c>
      <c r="W416" t="s">
        <v>15</v>
      </c>
      <c r="X416">
        <f>'Filtered Data'!X415</f>
        <v>0</v>
      </c>
    </row>
    <row r="417" spans="1:24" x14ac:dyDescent="0.35">
      <c r="A417">
        <f>'Filtered Data'!A416</f>
        <v>0</v>
      </c>
      <c r="B417">
        <f>'Filtered Data'!B416</f>
        <v>0</v>
      </c>
      <c r="C417" t="s">
        <v>2</v>
      </c>
      <c r="D417" t="e">
        <f>VLOOKUP('Filtered Data'!Z416,'Data Mapping'!$A$4:$B$7,2,0)</f>
        <v>#N/A</v>
      </c>
      <c r="E417" t="e">
        <f>VLOOKUP('Filtered Data'!C416,'Data Mapping'!$E$3:$F$97,2,0)</f>
        <v>#N/A</v>
      </c>
      <c r="F417">
        <f>'Filtered Data'!D416</f>
        <v>0</v>
      </c>
      <c r="G417" t="e">
        <f>VLOOKUP('Filtered Data'!E416,'Data Mapping'!$J$3:$K$11,2,0)</f>
        <v>#N/A</v>
      </c>
      <c r="H417">
        <f>'Filtered Data'!F416</f>
        <v>0</v>
      </c>
      <c r="I417" t="s">
        <v>5668</v>
      </c>
      <c r="J417" t="s">
        <v>1609</v>
      </c>
      <c r="K417" t="e">
        <f>VLOOKUP('Filtered Data'!A416,'Input 1 CMDB'!A:I,9,0)</f>
        <v>#N/A</v>
      </c>
      <c r="L417">
        <f>'Filtered Data'!K416</f>
        <v>0</v>
      </c>
      <c r="M417" t="e">
        <f t="shared" si="13"/>
        <v>#VALUE!</v>
      </c>
      <c r="N417">
        <f>'Filtered Data'!P416</f>
        <v>0</v>
      </c>
      <c r="O417">
        <f>'Filtered Data'!N416</f>
        <v>0</v>
      </c>
      <c r="P417" t="s">
        <v>5669</v>
      </c>
      <c r="Q417" t="str">
        <f>IF('Filtered Data'!W416,"ITHybridCloudEngineeringOperationsMgmt@Marathonpetroleum.com","mark.newman2@dxc.com")</f>
        <v>mark.newman2@dxc.com</v>
      </c>
      <c r="R417">
        <f t="shared" si="14"/>
        <v>0</v>
      </c>
      <c r="S417" s="31" t="s">
        <v>5738</v>
      </c>
      <c r="T417" t="s">
        <v>1381</v>
      </c>
      <c r="U417">
        <f>'Filtered Data'!V416</f>
        <v>0</v>
      </c>
      <c r="V417" t="str">
        <f>IF('Filtered Data'!W416,"yes","no")</f>
        <v>no</v>
      </c>
      <c r="W417" t="s">
        <v>15</v>
      </c>
      <c r="X417">
        <f>'Filtered Data'!X416</f>
        <v>0</v>
      </c>
    </row>
    <row r="418" spans="1:24" x14ac:dyDescent="0.35">
      <c r="A418">
        <f>'Filtered Data'!A417</f>
        <v>0</v>
      </c>
      <c r="B418">
        <f>'Filtered Data'!B417</f>
        <v>0</v>
      </c>
      <c r="C418" t="s">
        <v>2</v>
      </c>
      <c r="D418" t="e">
        <f>VLOOKUP('Filtered Data'!Z417,'Data Mapping'!$A$4:$B$7,2,0)</f>
        <v>#N/A</v>
      </c>
      <c r="E418" t="e">
        <f>VLOOKUP('Filtered Data'!C417,'Data Mapping'!$E$3:$F$97,2,0)</f>
        <v>#N/A</v>
      </c>
      <c r="F418">
        <f>'Filtered Data'!D417</f>
        <v>0</v>
      </c>
      <c r="G418" t="e">
        <f>VLOOKUP('Filtered Data'!E417,'Data Mapping'!$J$3:$K$11,2,0)</f>
        <v>#N/A</v>
      </c>
      <c r="H418">
        <f>'Filtered Data'!F417</f>
        <v>0</v>
      </c>
      <c r="I418" t="s">
        <v>5668</v>
      </c>
      <c r="J418" t="s">
        <v>1609</v>
      </c>
      <c r="K418" t="e">
        <f>VLOOKUP('Filtered Data'!A417,'Input 1 CMDB'!A:I,9,0)</f>
        <v>#N/A</v>
      </c>
      <c r="L418">
        <f>'Filtered Data'!K417</f>
        <v>0</v>
      </c>
      <c r="M418" t="e">
        <f t="shared" si="13"/>
        <v>#VALUE!</v>
      </c>
      <c r="N418">
        <f>'Filtered Data'!P417</f>
        <v>0</v>
      </c>
      <c r="O418">
        <f>'Filtered Data'!N417</f>
        <v>0</v>
      </c>
      <c r="P418" t="s">
        <v>5669</v>
      </c>
      <c r="Q418" t="str">
        <f>IF('Filtered Data'!W417,"ITHybridCloudEngineeringOperationsMgmt@Marathonpetroleum.com","mark.newman2@dxc.com")</f>
        <v>mark.newman2@dxc.com</v>
      </c>
      <c r="R418">
        <f t="shared" si="14"/>
        <v>0</v>
      </c>
      <c r="S418" s="31" t="s">
        <v>5738</v>
      </c>
      <c r="T418" t="s">
        <v>1381</v>
      </c>
      <c r="U418">
        <f>'Filtered Data'!V417</f>
        <v>0</v>
      </c>
      <c r="V418" t="str">
        <f>IF('Filtered Data'!W417,"yes","no")</f>
        <v>no</v>
      </c>
      <c r="W418" t="s">
        <v>15</v>
      </c>
      <c r="X418">
        <f>'Filtered Data'!X417</f>
        <v>0</v>
      </c>
    </row>
    <row r="419" spans="1:24" x14ac:dyDescent="0.35">
      <c r="A419">
        <f>'Filtered Data'!A418</f>
        <v>0</v>
      </c>
      <c r="B419">
        <f>'Filtered Data'!B418</f>
        <v>0</v>
      </c>
      <c r="C419" t="s">
        <v>2</v>
      </c>
      <c r="D419" t="e">
        <f>VLOOKUP('Filtered Data'!Z418,'Data Mapping'!$A$4:$B$7,2,0)</f>
        <v>#N/A</v>
      </c>
      <c r="E419" t="e">
        <f>VLOOKUP('Filtered Data'!C418,'Data Mapping'!$E$3:$F$97,2,0)</f>
        <v>#N/A</v>
      </c>
      <c r="F419">
        <f>'Filtered Data'!D418</f>
        <v>0</v>
      </c>
      <c r="G419" t="e">
        <f>VLOOKUP('Filtered Data'!E418,'Data Mapping'!$J$3:$K$11,2,0)</f>
        <v>#N/A</v>
      </c>
      <c r="H419">
        <f>'Filtered Data'!F418</f>
        <v>0</v>
      </c>
      <c r="I419" t="s">
        <v>5668</v>
      </c>
      <c r="J419" t="s">
        <v>1609</v>
      </c>
      <c r="K419" t="e">
        <f>VLOOKUP('Filtered Data'!A418,'Input 1 CMDB'!A:I,9,0)</f>
        <v>#N/A</v>
      </c>
      <c r="L419">
        <f>'Filtered Data'!K418</f>
        <v>0</v>
      </c>
      <c r="M419" t="e">
        <f t="shared" si="13"/>
        <v>#VALUE!</v>
      </c>
      <c r="N419">
        <f>'Filtered Data'!P418</f>
        <v>0</v>
      </c>
      <c r="O419">
        <f>'Filtered Data'!N418</f>
        <v>0</v>
      </c>
      <c r="P419" t="s">
        <v>5669</v>
      </c>
      <c r="Q419" t="str">
        <f>IF('Filtered Data'!W418,"ITHybridCloudEngineeringOperationsMgmt@Marathonpetroleum.com","mark.newman2@dxc.com")</f>
        <v>mark.newman2@dxc.com</v>
      </c>
      <c r="R419">
        <f t="shared" si="14"/>
        <v>0</v>
      </c>
      <c r="S419" s="31" t="s">
        <v>5738</v>
      </c>
      <c r="T419" t="s">
        <v>1381</v>
      </c>
      <c r="U419">
        <f>'Filtered Data'!V418</f>
        <v>0</v>
      </c>
      <c r="V419" t="str">
        <f>IF('Filtered Data'!W418,"yes","no")</f>
        <v>no</v>
      </c>
      <c r="W419" t="s">
        <v>15</v>
      </c>
      <c r="X419">
        <f>'Filtered Data'!X418</f>
        <v>0</v>
      </c>
    </row>
    <row r="420" spans="1:24" x14ac:dyDescent="0.35">
      <c r="A420">
        <f>'Filtered Data'!A419</f>
        <v>0</v>
      </c>
      <c r="B420">
        <f>'Filtered Data'!B419</f>
        <v>0</v>
      </c>
      <c r="C420" t="s">
        <v>2</v>
      </c>
      <c r="D420" t="e">
        <f>VLOOKUP('Filtered Data'!Z419,'Data Mapping'!$A$4:$B$7,2,0)</f>
        <v>#N/A</v>
      </c>
      <c r="E420" t="e">
        <f>VLOOKUP('Filtered Data'!C419,'Data Mapping'!$E$3:$F$97,2,0)</f>
        <v>#N/A</v>
      </c>
      <c r="F420">
        <f>'Filtered Data'!D419</f>
        <v>0</v>
      </c>
      <c r="G420" t="e">
        <f>VLOOKUP('Filtered Data'!E419,'Data Mapping'!$J$3:$K$11,2,0)</f>
        <v>#N/A</v>
      </c>
      <c r="H420">
        <f>'Filtered Data'!F419</f>
        <v>0</v>
      </c>
      <c r="I420" t="s">
        <v>5668</v>
      </c>
      <c r="J420" t="s">
        <v>1609</v>
      </c>
      <c r="K420" t="e">
        <f>VLOOKUP('Filtered Data'!A419,'Input 1 CMDB'!A:I,9,0)</f>
        <v>#N/A</v>
      </c>
      <c r="L420">
        <f>'Filtered Data'!K419</f>
        <v>0</v>
      </c>
      <c r="M420" t="e">
        <f t="shared" si="13"/>
        <v>#VALUE!</v>
      </c>
      <c r="N420">
        <f>'Filtered Data'!P419</f>
        <v>0</v>
      </c>
      <c r="O420">
        <f>'Filtered Data'!N419</f>
        <v>0</v>
      </c>
      <c r="P420" t="s">
        <v>5669</v>
      </c>
      <c r="Q420" t="str">
        <f>IF('Filtered Data'!W419,"ITHybridCloudEngineeringOperationsMgmt@Marathonpetroleum.com","mark.newman2@dxc.com")</f>
        <v>mark.newman2@dxc.com</v>
      </c>
      <c r="R420">
        <f t="shared" si="14"/>
        <v>0</v>
      </c>
      <c r="S420" s="31" t="s">
        <v>5738</v>
      </c>
      <c r="T420" t="s">
        <v>1381</v>
      </c>
      <c r="U420">
        <f>'Filtered Data'!V419</f>
        <v>0</v>
      </c>
      <c r="V420" t="str">
        <f>IF('Filtered Data'!W419,"yes","no")</f>
        <v>no</v>
      </c>
      <c r="W420" t="s">
        <v>15</v>
      </c>
      <c r="X420">
        <f>'Filtered Data'!X419</f>
        <v>0</v>
      </c>
    </row>
    <row r="421" spans="1:24" x14ac:dyDescent="0.35">
      <c r="A421">
        <f>'Filtered Data'!A420</f>
        <v>0</v>
      </c>
      <c r="B421">
        <f>'Filtered Data'!B420</f>
        <v>0</v>
      </c>
      <c r="C421" t="s">
        <v>2</v>
      </c>
      <c r="D421" t="e">
        <f>VLOOKUP('Filtered Data'!Z420,'Data Mapping'!$A$4:$B$7,2,0)</f>
        <v>#N/A</v>
      </c>
      <c r="E421" t="e">
        <f>VLOOKUP('Filtered Data'!C420,'Data Mapping'!$E$3:$F$97,2,0)</f>
        <v>#N/A</v>
      </c>
      <c r="F421">
        <f>'Filtered Data'!D420</f>
        <v>0</v>
      </c>
      <c r="G421" t="e">
        <f>VLOOKUP('Filtered Data'!E420,'Data Mapping'!$J$3:$K$11,2,0)</f>
        <v>#N/A</v>
      </c>
      <c r="H421">
        <f>'Filtered Data'!F420</f>
        <v>0</v>
      </c>
      <c r="I421" t="s">
        <v>5668</v>
      </c>
      <c r="J421" t="s">
        <v>1609</v>
      </c>
      <c r="K421" t="e">
        <f>VLOOKUP('Filtered Data'!A420,'Input 1 CMDB'!A:I,9,0)</f>
        <v>#N/A</v>
      </c>
      <c r="L421">
        <f>'Filtered Data'!K420</f>
        <v>0</v>
      </c>
      <c r="M421" t="e">
        <f t="shared" si="13"/>
        <v>#VALUE!</v>
      </c>
      <c r="N421">
        <f>'Filtered Data'!P420</f>
        <v>0</v>
      </c>
      <c r="O421">
        <f>'Filtered Data'!N420</f>
        <v>0</v>
      </c>
      <c r="P421" t="s">
        <v>5669</v>
      </c>
      <c r="Q421" t="str">
        <f>IF('Filtered Data'!W420,"ITHybridCloudEngineeringOperationsMgmt@Marathonpetroleum.com","mark.newman2@dxc.com")</f>
        <v>mark.newman2@dxc.com</v>
      </c>
      <c r="R421">
        <f t="shared" si="14"/>
        <v>0</v>
      </c>
      <c r="S421" s="31" t="s">
        <v>5738</v>
      </c>
      <c r="T421" t="s">
        <v>1381</v>
      </c>
      <c r="U421">
        <f>'Filtered Data'!V420</f>
        <v>0</v>
      </c>
      <c r="V421" t="str">
        <f>IF('Filtered Data'!W420,"yes","no")</f>
        <v>no</v>
      </c>
      <c r="W421" t="s">
        <v>15</v>
      </c>
      <c r="X421">
        <f>'Filtered Data'!X420</f>
        <v>0</v>
      </c>
    </row>
    <row r="422" spans="1:24" x14ac:dyDescent="0.35">
      <c r="A422">
        <f>'Filtered Data'!A421</f>
        <v>0</v>
      </c>
      <c r="B422">
        <f>'Filtered Data'!B421</f>
        <v>0</v>
      </c>
      <c r="C422" t="s">
        <v>2</v>
      </c>
      <c r="D422" t="e">
        <f>VLOOKUP('Filtered Data'!Z421,'Data Mapping'!$A$4:$B$7,2,0)</f>
        <v>#N/A</v>
      </c>
      <c r="E422" t="e">
        <f>VLOOKUP('Filtered Data'!C421,'Data Mapping'!$E$3:$F$97,2,0)</f>
        <v>#N/A</v>
      </c>
      <c r="F422">
        <f>'Filtered Data'!D421</f>
        <v>0</v>
      </c>
      <c r="G422" t="e">
        <f>VLOOKUP('Filtered Data'!E421,'Data Mapping'!$J$3:$K$11,2,0)</f>
        <v>#N/A</v>
      </c>
      <c r="H422">
        <f>'Filtered Data'!F421</f>
        <v>0</v>
      </c>
      <c r="I422" t="s">
        <v>5668</v>
      </c>
      <c r="J422" t="s">
        <v>1609</v>
      </c>
      <c r="K422" t="e">
        <f>VLOOKUP('Filtered Data'!A421,'Input 1 CMDB'!A:I,9,0)</f>
        <v>#N/A</v>
      </c>
      <c r="L422">
        <f>'Filtered Data'!K421</f>
        <v>0</v>
      </c>
      <c r="M422" t="e">
        <f t="shared" si="13"/>
        <v>#VALUE!</v>
      </c>
      <c r="N422">
        <f>'Filtered Data'!P421</f>
        <v>0</v>
      </c>
      <c r="O422">
        <f>'Filtered Data'!N421</f>
        <v>0</v>
      </c>
      <c r="P422" t="s">
        <v>5669</v>
      </c>
      <c r="Q422" t="str">
        <f>IF('Filtered Data'!W421,"ITHybridCloudEngineeringOperationsMgmt@Marathonpetroleum.com","mark.newman2@dxc.com")</f>
        <v>mark.newman2@dxc.com</v>
      </c>
      <c r="R422">
        <f t="shared" si="14"/>
        <v>0</v>
      </c>
      <c r="S422" s="31" t="s">
        <v>5738</v>
      </c>
      <c r="T422" t="s">
        <v>1381</v>
      </c>
      <c r="U422">
        <f>'Filtered Data'!V421</f>
        <v>0</v>
      </c>
      <c r="V422" t="str">
        <f>IF('Filtered Data'!W421,"yes","no")</f>
        <v>no</v>
      </c>
      <c r="W422" t="s">
        <v>15</v>
      </c>
      <c r="X422">
        <f>'Filtered Data'!X421</f>
        <v>0</v>
      </c>
    </row>
    <row r="423" spans="1:24" x14ac:dyDescent="0.35">
      <c r="A423">
        <f>'Filtered Data'!A422</f>
        <v>0</v>
      </c>
      <c r="B423">
        <f>'Filtered Data'!B422</f>
        <v>0</v>
      </c>
      <c r="C423" t="s">
        <v>2</v>
      </c>
      <c r="D423" t="e">
        <f>VLOOKUP('Filtered Data'!Z422,'Data Mapping'!$A$4:$B$7,2,0)</f>
        <v>#N/A</v>
      </c>
      <c r="E423" t="e">
        <f>VLOOKUP('Filtered Data'!C422,'Data Mapping'!$E$3:$F$97,2,0)</f>
        <v>#N/A</v>
      </c>
      <c r="F423">
        <f>'Filtered Data'!D422</f>
        <v>0</v>
      </c>
      <c r="G423" t="e">
        <f>VLOOKUP('Filtered Data'!E422,'Data Mapping'!$J$3:$K$11,2,0)</f>
        <v>#N/A</v>
      </c>
      <c r="H423">
        <f>'Filtered Data'!F422</f>
        <v>0</v>
      </c>
      <c r="I423" t="s">
        <v>5668</v>
      </c>
      <c r="J423" t="s">
        <v>1609</v>
      </c>
      <c r="K423" t="e">
        <f>VLOOKUP('Filtered Data'!A422,'Input 1 CMDB'!A:I,9,0)</f>
        <v>#N/A</v>
      </c>
      <c r="L423">
        <f>'Filtered Data'!K422</f>
        <v>0</v>
      </c>
      <c r="M423" t="e">
        <f t="shared" ref="M423:M486" si="15">MID(B423,FIND(".",B423)+1,(LEN(B423)-FIND(".",B423)))</f>
        <v>#VALUE!</v>
      </c>
      <c r="N423">
        <f>'Filtered Data'!P422</f>
        <v>0</v>
      </c>
      <c r="O423">
        <f>'Filtered Data'!N422</f>
        <v>0</v>
      </c>
      <c r="P423" t="s">
        <v>5669</v>
      </c>
      <c r="Q423" t="str">
        <f>IF('Filtered Data'!W422,"ITHybridCloudEngineeringOperationsMgmt@Marathonpetroleum.com","mark.newman2@dxc.com")</f>
        <v>mark.newman2@dxc.com</v>
      </c>
      <c r="R423">
        <f t="shared" ref="R423:R486" si="16">N423</f>
        <v>0</v>
      </c>
      <c r="S423" s="31" t="s">
        <v>5738</v>
      </c>
      <c r="T423" t="s">
        <v>1381</v>
      </c>
      <c r="U423">
        <f>'Filtered Data'!V422</f>
        <v>0</v>
      </c>
      <c r="V423" t="str">
        <f>IF('Filtered Data'!W422,"yes","no")</f>
        <v>no</v>
      </c>
      <c r="W423" t="s">
        <v>15</v>
      </c>
      <c r="X423">
        <f>'Filtered Data'!X422</f>
        <v>0</v>
      </c>
    </row>
    <row r="424" spans="1:24" x14ac:dyDescent="0.35">
      <c r="A424">
        <f>'Filtered Data'!A423</f>
        <v>0</v>
      </c>
      <c r="B424">
        <f>'Filtered Data'!B423</f>
        <v>0</v>
      </c>
      <c r="C424" t="s">
        <v>2</v>
      </c>
      <c r="D424" t="e">
        <f>VLOOKUP('Filtered Data'!Z423,'Data Mapping'!$A$4:$B$7,2,0)</f>
        <v>#N/A</v>
      </c>
      <c r="E424" t="e">
        <f>VLOOKUP('Filtered Data'!C423,'Data Mapping'!$E$3:$F$97,2,0)</f>
        <v>#N/A</v>
      </c>
      <c r="F424">
        <f>'Filtered Data'!D423</f>
        <v>0</v>
      </c>
      <c r="G424" t="e">
        <f>VLOOKUP('Filtered Data'!E423,'Data Mapping'!$J$3:$K$11,2,0)</f>
        <v>#N/A</v>
      </c>
      <c r="H424">
        <f>'Filtered Data'!F423</f>
        <v>0</v>
      </c>
      <c r="I424" t="s">
        <v>5668</v>
      </c>
      <c r="J424" t="s">
        <v>1609</v>
      </c>
      <c r="K424" t="e">
        <f>VLOOKUP('Filtered Data'!A423,'Input 1 CMDB'!A:I,9,0)</f>
        <v>#N/A</v>
      </c>
      <c r="L424">
        <f>'Filtered Data'!K423</f>
        <v>0</v>
      </c>
      <c r="M424" t="e">
        <f t="shared" si="15"/>
        <v>#VALUE!</v>
      </c>
      <c r="N424">
        <f>'Filtered Data'!P423</f>
        <v>0</v>
      </c>
      <c r="O424">
        <f>'Filtered Data'!N423</f>
        <v>0</v>
      </c>
      <c r="P424" t="s">
        <v>5669</v>
      </c>
      <c r="Q424" t="str">
        <f>IF('Filtered Data'!W423,"ITHybridCloudEngineeringOperationsMgmt@Marathonpetroleum.com","mark.newman2@dxc.com")</f>
        <v>mark.newman2@dxc.com</v>
      </c>
      <c r="R424">
        <f t="shared" si="16"/>
        <v>0</v>
      </c>
      <c r="S424" s="31" t="s">
        <v>5738</v>
      </c>
      <c r="T424" t="s">
        <v>1381</v>
      </c>
      <c r="U424">
        <f>'Filtered Data'!V423</f>
        <v>0</v>
      </c>
      <c r="V424" t="str">
        <f>IF('Filtered Data'!W423,"yes","no")</f>
        <v>no</v>
      </c>
      <c r="W424" t="s">
        <v>15</v>
      </c>
      <c r="X424">
        <f>'Filtered Data'!X423</f>
        <v>0</v>
      </c>
    </row>
    <row r="425" spans="1:24" x14ac:dyDescent="0.35">
      <c r="A425">
        <f>'Filtered Data'!A424</f>
        <v>0</v>
      </c>
      <c r="B425">
        <f>'Filtered Data'!B424</f>
        <v>0</v>
      </c>
      <c r="C425" t="s">
        <v>2</v>
      </c>
      <c r="D425" t="e">
        <f>VLOOKUP('Filtered Data'!Z424,'Data Mapping'!$A$4:$B$7,2,0)</f>
        <v>#N/A</v>
      </c>
      <c r="E425" t="e">
        <f>VLOOKUP('Filtered Data'!C424,'Data Mapping'!$E$3:$F$97,2,0)</f>
        <v>#N/A</v>
      </c>
      <c r="F425">
        <f>'Filtered Data'!D424</f>
        <v>0</v>
      </c>
      <c r="G425" t="e">
        <f>VLOOKUP('Filtered Data'!E424,'Data Mapping'!$J$3:$K$11,2,0)</f>
        <v>#N/A</v>
      </c>
      <c r="H425">
        <f>'Filtered Data'!F424</f>
        <v>0</v>
      </c>
      <c r="I425" t="s">
        <v>5668</v>
      </c>
      <c r="J425" t="s">
        <v>1609</v>
      </c>
      <c r="K425" t="e">
        <f>VLOOKUP('Filtered Data'!A424,'Input 1 CMDB'!A:I,9,0)</f>
        <v>#N/A</v>
      </c>
      <c r="L425">
        <f>'Filtered Data'!K424</f>
        <v>0</v>
      </c>
      <c r="M425" t="e">
        <f t="shared" si="15"/>
        <v>#VALUE!</v>
      </c>
      <c r="N425">
        <f>'Filtered Data'!P424</f>
        <v>0</v>
      </c>
      <c r="O425">
        <f>'Filtered Data'!N424</f>
        <v>0</v>
      </c>
      <c r="P425" t="s">
        <v>5669</v>
      </c>
      <c r="Q425" t="str">
        <f>IF('Filtered Data'!W424,"ITHybridCloudEngineeringOperationsMgmt@Marathonpetroleum.com","mark.newman2@dxc.com")</f>
        <v>mark.newman2@dxc.com</v>
      </c>
      <c r="R425">
        <f t="shared" si="16"/>
        <v>0</v>
      </c>
      <c r="S425" s="31" t="s">
        <v>5738</v>
      </c>
      <c r="T425" t="s">
        <v>1381</v>
      </c>
      <c r="U425">
        <f>'Filtered Data'!V424</f>
        <v>0</v>
      </c>
      <c r="V425" t="str">
        <f>IF('Filtered Data'!W424,"yes","no")</f>
        <v>no</v>
      </c>
      <c r="W425" t="s">
        <v>15</v>
      </c>
      <c r="X425">
        <f>'Filtered Data'!X424</f>
        <v>0</v>
      </c>
    </row>
    <row r="426" spans="1:24" x14ac:dyDescent="0.35">
      <c r="A426">
        <f>'Filtered Data'!A425</f>
        <v>0</v>
      </c>
      <c r="B426">
        <f>'Filtered Data'!B425</f>
        <v>0</v>
      </c>
      <c r="C426" t="s">
        <v>2</v>
      </c>
      <c r="D426" t="e">
        <f>VLOOKUP('Filtered Data'!Z425,'Data Mapping'!$A$4:$B$7,2,0)</f>
        <v>#N/A</v>
      </c>
      <c r="E426" t="e">
        <f>VLOOKUP('Filtered Data'!C425,'Data Mapping'!$E$3:$F$97,2,0)</f>
        <v>#N/A</v>
      </c>
      <c r="F426">
        <f>'Filtered Data'!D425</f>
        <v>0</v>
      </c>
      <c r="G426" t="e">
        <f>VLOOKUP('Filtered Data'!E425,'Data Mapping'!$J$3:$K$11,2,0)</f>
        <v>#N/A</v>
      </c>
      <c r="H426">
        <f>'Filtered Data'!F425</f>
        <v>0</v>
      </c>
      <c r="I426" t="s">
        <v>5668</v>
      </c>
      <c r="J426" t="s">
        <v>1609</v>
      </c>
      <c r="K426" t="e">
        <f>VLOOKUP('Filtered Data'!A425,'Input 1 CMDB'!A:I,9,0)</f>
        <v>#N/A</v>
      </c>
      <c r="L426">
        <f>'Filtered Data'!K425</f>
        <v>0</v>
      </c>
      <c r="M426" t="e">
        <f t="shared" si="15"/>
        <v>#VALUE!</v>
      </c>
      <c r="N426">
        <f>'Filtered Data'!P425</f>
        <v>0</v>
      </c>
      <c r="O426">
        <f>'Filtered Data'!N425</f>
        <v>0</v>
      </c>
      <c r="P426" t="s">
        <v>5669</v>
      </c>
      <c r="Q426" t="str">
        <f>IF('Filtered Data'!W425,"ITHybridCloudEngineeringOperationsMgmt@Marathonpetroleum.com","mark.newman2@dxc.com")</f>
        <v>mark.newman2@dxc.com</v>
      </c>
      <c r="R426">
        <f t="shared" si="16"/>
        <v>0</v>
      </c>
      <c r="S426" s="31" t="s">
        <v>5738</v>
      </c>
      <c r="T426" t="s">
        <v>1381</v>
      </c>
      <c r="U426">
        <f>'Filtered Data'!V425</f>
        <v>0</v>
      </c>
      <c r="V426" t="str">
        <f>IF('Filtered Data'!W425,"yes","no")</f>
        <v>no</v>
      </c>
      <c r="W426" t="s">
        <v>15</v>
      </c>
      <c r="X426">
        <f>'Filtered Data'!X425</f>
        <v>0</v>
      </c>
    </row>
    <row r="427" spans="1:24" x14ac:dyDescent="0.35">
      <c r="A427">
        <f>'Filtered Data'!A426</f>
        <v>0</v>
      </c>
      <c r="B427">
        <f>'Filtered Data'!B426</f>
        <v>0</v>
      </c>
      <c r="C427" t="s">
        <v>2</v>
      </c>
      <c r="D427" t="e">
        <f>VLOOKUP('Filtered Data'!Z426,'Data Mapping'!$A$4:$B$7,2,0)</f>
        <v>#N/A</v>
      </c>
      <c r="E427" t="e">
        <f>VLOOKUP('Filtered Data'!C426,'Data Mapping'!$E$3:$F$97,2,0)</f>
        <v>#N/A</v>
      </c>
      <c r="F427">
        <f>'Filtered Data'!D426</f>
        <v>0</v>
      </c>
      <c r="G427" t="e">
        <f>VLOOKUP('Filtered Data'!E426,'Data Mapping'!$J$3:$K$11,2,0)</f>
        <v>#N/A</v>
      </c>
      <c r="H427">
        <f>'Filtered Data'!F426</f>
        <v>0</v>
      </c>
      <c r="I427" t="s">
        <v>5668</v>
      </c>
      <c r="J427" t="s">
        <v>1609</v>
      </c>
      <c r="K427" t="e">
        <f>VLOOKUP('Filtered Data'!A426,'Input 1 CMDB'!A:I,9,0)</f>
        <v>#N/A</v>
      </c>
      <c r="L427">
        <f>'Filtered Data'!K426</f>
        <v>0</v>
      </c>
      <c r="M427" t="e">
        <f t="shared" si="15"/>
        <v>#VALUE!</v>
      </c>
      <c r="N427">
        <f>'Filtered Data'!P426</f>
        <v>0</v>
      </c>
      <c r="O427">
        <f>'Filtered Data'!N426</f>
        <v>0</v>
      </c>
      <c r="P427" t="s">
        <v>5669</v>
      </c>
      <c r="Q427" t="str">
        <f>IF('Filtered Data'!W426,"ITHybridCloudEngineeringOperationsMgmt@Marathonpetroleum.com","mark.newman2@dxc.com")</f>
        <v>mark.newman2@dxc.com</v>
      </c>
      <c r="R427">
        <f t="shared" si="16"/>
        <v>0</v>
      </c>
      <c r="S427" s="31" t="s">
        <v>5738</v>
      </c>
      <c r="T427" t="s">
        <v>1381</v>
      </c>
      <c r="U427">
        <f>'Filtered Data'!V426</f>
        <v>0</v>
      </c>
      <c r="V427" t="str">
        <f>IF('Filtered Data'!W426,"yes","no")</f>
        <v>no</v>
      </c>
      <c r="W427" t="s">
        <v>15</v>
      </c>
      <c r="X427">
        <f>'Filtered Data'!X426</f>
        <v>0</v>
      </c>
    </row>
    <row r="428" spans="1:24" x14ac:dyDescent="0.35">
      <c r="A428">
        <f>'Filtered Data'!A427</f>
        <v>0</v>
      </c>
      <c r="B428">
        <f>'Filtered Data'!B427</f>
        <v>0</v>
      </c>
      <c r="C428" t="s">
        <v>2</v>
      </c>
      <c r="D428" t="e">
        <f>VLOOKUP('Filtered Data'!Z427,'Data Mapping'!$A$4:$B$7,2,0)</f>
        <v>#N/A</v>
      </c>
      <c r="E428" t="e">
        <f>VLOOKUP('Filtered Data'!C427,'Data Mapping'!$E$3:$F$97,2,0)</f>
        <v>#N/A</v>
      </c>
      <c r="F428">
        <f>'Filtered Data'!D427</f>
        <v>0</v>
      </c>
      <c r="G428" t="e">
        <f>VLOOKUP('Filtered Data'!E427,'Data Mapping'!$J$3:$K$11,2,0)</f>
        <v>#N/A</v>
      </c>
      <c r="H428">
        <f>'Filtered Data'!F427</f>
        <v>0</v>
      </c>
      <c r="I428" t="s">
        <v>5668</v>
      </c>
      <c r="J428" t="s">
        <v>1609</v>
      </c>
      <c r="K428" t="e">
        <f>VLOOKUP('Filtered Data'!A427,'Input 1 CMDB'!A:I,9,0)</f>
        <v>#N/A</v>
      </c>
      <c r="L428">
        <f>'Filtered Data'!K427</f>
        <v>0</v>
      </c>
      <c r="M428" t="e">
        <f t="shared" si="15"/>
        <v>#VALUE!</v>
      </c>
      <c r="N428">
        <f>'Filtered Data'!P427</f>
        <v>0</v>
      </c>
      <c r="O428">
        <f>'Filtered Data'!N427</f>
        <v>0</v>
      </c>
      <c r="P428" t="s">
        <v>5669</v>
      </c>
      <c r="Q428" t="str">
        <f>IF('Filtered Data'!W427,"ITHybridCloudEngineeringOperationsMgmt@Marathonpetroleum.com","mark.newman2@dxc.com")</f>
        <v>mark.newman2@dxc.com</v>
      </c>
      <c r="R428">
        <f t="shared" si="16"/>
        <v>0</v>
      </c>
      <c r="S428" s="31" t="s">
        <v>5738</v>
      </c>
      <c r="T428" t="s">
        <v>1381</v>
      </c>
      <c r="U428">
        <f>'Filtered Data'!V427</f>
        <v>0</v>
      </c>
      <c r="V428" t="str">
        <f>IF('Filtered Data'!W427,"yes","no")</f>
        <v>no</v>
      </c>
      <c r="W428" t="s">
        <v>15</v>
      </c>
      <c r="X428">
        <f>'Filtered Data'!X427</f>
        <v>0</v>
      </c>
    </row>
    <row r="429" spans="1:24" x14ac:dyDescent="0.35">
      <c r="A429">
        <f>'Filtered Data'!A428</f>
        <v>0</v>
      </c>
      <c r="B429">
        <f>'Filtered Data'!B428</f>
        <v>0</v>
      </c>
      <c r="C429" t="s">
        <v>2</v>
      </c>
      <c r="D429" t="e">
        <f>VLOOKUP('Filtered Data'!Z428,'Data Mapping'!$A$4:$B$7,2,0)</f>
        <v>#N/A</v>
      </c>
      <c r="E429" t="e">
        <f>VLOOKUP('Filtered Data'!C428,'Data Mapping'!$E$3:$F$97,2,0)</f>
        <v>#N/A</v>
      </c>
      <c r="F429">
        <f>'Filtered Data'!D428</f>
        <v>0</v>
      </c>
      <c r="G429" t="e">
        <f>VLOOKUP('Filtered Data'!E428,'Data Mapping'!$J$3:$K$11,2,0)</f>
        <v>#N/A</v>
      </c>
      <c r="H429">
        <f>'Filtered Data'!F428</f>
        <v>0</v>
      </c>
      <c r="I429" t="s">
        <v>5668</v>
      </c>
      <c r="J429" t="s">
        <v>1609</v>
      </c>
      <c r="K429" t="e">
        <f>VLOOKUP('Filtered Data'!A428,'Input 1 CMDB'!A:I,9,0)</f>
        <v>#N/A</v>
      </c>
      <c r="L429">
        <f>'Filtered Data'!K428</f>
        <v>0</v>
      </c>
      <c r="M429" t="e">
        <f t="shared" si="15"/>
        <v>#VALUE!</v>
      </c>
      <c r="N429">
        <f>'Filtered Data'!P428</f>
        <v>0</v>
      </c>
      <c r="O429">
        <f>'Filtered Data'!N428</f>
        <v>0</v>
      </c>
      <c r="P429" t="s">
        <v>5669</v>
      </c>
      <c r="Q429" t="str">
        <f>IF('Filtered Data'!W428,"ITHybridCloudEngineeringOperationsMgmt@Marathonpetroleum.com","mark.newman2@dxc.com")</f>
        <v>mark.newman2@dxc.com</v>
      </c>
      <c r="R429">
        <f t="shared" si="16"/>
        <v>0</v>
      </c>
      <c r="S429" s="31" t="s">
        <v>5738</v>
      </c>
      <c r="T429" t="s">
        <v>1381</v>
      </c>
      <c r="U429">
        <f>'Filtered Data'!V428</f>
        <v>0</v>
      </c>
      <c r="V429" t="str">
        <f>IF('Filtered Data'!W428,"yes","no")</f>
        <v>no</v>
      </c>
      <c r="W429" t="s">
        <v>15</v>
      </c>
      <c r="X429">
        <f>'Filtered Data'!X428</f>
        <v>0</v>
      </c>
    </row>
    <row r="430" spans="1:24" x14ac:dyDescent="0.35">
      <c r="A430">
        <f>'Filtered Data'!A429</f>
        <v>0</v>
      </c>
      <c r="B430">
        <f>'Filtered Data'!B429</f>
        <v>0</v>
      </c>
      <c r="C430" t="s">
        <v>2</v>
      </c>
      <c r="D430" t="e">
        <f>VLOOKUP('Filtered Data'!Z429,'Data Mapping'!$A$4:$B$7,2,0)</f>
        <v>#N/A</v>
      </c>
      <c r="E430" t="e">
        <f>VLOOKUP('Filtered Data'!C429,'Data Mapping'!$E$3:$F$97,2,0)</f>
        <v>#N/A</v>
      </c>
      <c r="F430">
        <f>'Filtered Data'!D429</f>
        <v>0</v>
      </c>
      <c r="G430" t="e">
        <f>VLOOKUP('Filtered Data'!E429,'Data Mapping'!$J$3:$K$11,2,0)</f>
        <v>#N/A</v>
      </c>
      <c r="H430">
        <f>'Filtered Data'!F429</f>
        <v>0</v>
      </c>
      <c r="I430" t="s">
        <v>5668</v>
      </c>
      <c r="J430" t="s">
        <v>1609</v>
      </c>
      <c r="K430" t="e">
        <f>VLOOKUP('Filtered Data'!A429,'Input 1 CMDB'!A:I,9,0)</f>
        <v>#N/A</v>
      </c>
      <c r="L430">
        <f>'Filtered Data'!K429</f>
        <v>0</v>
      </c>
      <c r="M430" t="e">
        <f t="shared" si="15"/>
        <v>#VALUE!</v>
      </c>
      <c r="N430">
        <f>'Filtered Data'!P429</f>
        <v>0</v>
      </c>
      <c r="O430">
        <f>'Filtered Data'!N429</f>
        <v>0</v>
      </c>
      <c r="P430" t="s">
        <v>5669</v>
      </c>
      <c r="Q430" t="str">
        <f>IF('Filtered Data'!W429,"ITHybridCloudEngineeringOperationsMgmt@Marathonpetroleum.com","mark.newman2@dxc.com")</f>
        <v>mark.newman2@dxc.com</v>
      </c>
      <c r="R430">
        <f t="shared" si="16"/>
        <v>0</v>
      </c>
      <c r="S430" s="31" t="s">
        <v>5738</v>
      </c>
      <c r="T430" t="s">
        <v>1381</v>
      </c>
      <c r="U430">
        <f>'Filtered Data'!V429</f>
        <v>0</v>
      </c>
      <c r="V430" t="str">
        <f>IF('Filtered Data'!W429,"yes","no")</f>
        <v>no</v>
      </c>
      <c r="W430" t="s">
        <v>15</v>
      </c>
      <c r="X430">
        <f>'Filtered Data'!X429</f>
        <v>0</v>
      </c>
    </row>
    <row r="431" spans="1:24" x14ac:dyDescent="0.35">
      <c r="A431">
        <f>'Filtered Data'!A430</f>
        <v>0</v>
      </c>
      <c r="B431">
        <f>'Filtered Data'!B430</f>
        <v>0</v>
      </c>
      <c r="C431" t="s">
        <v>2</v>
      </c>
      <c r="D431" t="e">
        <f>VLOOKUP('Filtered Data'!Z430,'Data Mapping'!$A$4:$B$7,2,0)</f>
        <v>#N/A</v>
      </c>
      <c r="E431" t="e">
        <f>VLOOKUP('Filtered Data'!C430,'Data Mapping'!$E$3:$F$97,2,0)</f>
        <v>#N/A</v>
      </c>
      <c r="F431">
        <f>'Filtered Data'!D430</f>
        <v>0</v>
      </c>
      <c r="G431" t="e">
        <f>VLOOKUP('Filtered Data'!E430,'Data Mapping'!$J$3:$K$11,2,0)</f>
        <v>#N/A</v>
      </c>
      <c r="H431">
        <f>'Filtered Data'!F430</f>
        <v>0</v>
      </c>
      <c r="I431" t="s">
        <v>5668</v>
      </c>
      <c r="J431" t="s">
        <v>1609</v>
      </c>
      <c r="K431" t="e">
        <f>VLOOKUP('Filtered Data'!A430,'Input 1 CMDB'!A:I,9,0)</f>
        <v>#N/A</v>
      </c>
      <c r="L431">
        <f>'Filtered Data'!K430</f>
        <v>0</v>
      </c>
      <c r="M431" t="e">
        <f t="shared" si="15"/>
        <v>#VALUE!</v>
      </c>
      <c r="N431">
        <f>'Filtered Data'!P430</f>
        <v>0</v>
      </c>
      <c r="O431">
        <f>'Filtered Data'!N430</f>
        <v>0</v>
      </c>
      <c r="P431" t="s">
        <v>5669</v>
      </c>
      <c r="Q431" t="str">
        <f>IF('Filtered Data'!W430,"ITHybridCloudEngineeringOperationsMgmt@Marathonpetroleum.com","mark.newman2@dxc.com")</f>
        <v>mark.newman2@dxc.com</v>
      </c>
      <c r="R431">
        <f t="shared" si="16"/>
        <v>0</v>
      </c>
      <c r="S431" s="31" t="s">
        <v>5738</v>
      </c>
      <c r="T431" t="s">
        <v>1381</v>
      </c>
      <c r="U431">
        <f>'Filtered Data'!V430</f>
        <v>0</v>
      </c>
      <c r="V431" t="str">
        <f>IF('Filtered Data'!W430,"yes","no")</f>
        <v>no</v>
      </c>
      <c r="W431" t="s">
        <v>15</v>
      </c>
      <c r="X431">
        <f>'Filtered Data'!X430</f>
        <v>0</v>
      </c>
    </row>
    <row r="432" spans="1:24" x14ac:dyDescent="0.35">
      <c r="A432">
        <f>'Filtered Data'!A431</f>
        <v>0</v>
      </c>
      <c r="B432">
        <f>'Filtered Data'!B431</f>
        <v>0</v>
      </c>
      <c r="C432" t="s">
        <v>2</v>
      </c>
      <c r="D432" t="e">
        <f>VLOOKUP('Filtered Data'!Z431,'Data Mapping'!$A$4:$B$7,2,0)</f>
        <v>#N/A</v>
      </c>
      <c r="E432" t="e">
        <f>VLOOKUP('Filtered Data'!C431,'Data Mapping'!$E$3:$F$97,2,0)</f>
        <v>#N/A</v>
      </c>
      <c r="F432">
        <f>'Filtered Data'!D431</f>
        <v>0</v>
      </c>
      <c r="G432" t="e">
        <f>VLOOKUP('Filtered Data'!E431,'Data Mapping'!$J$3:$K$11,2,0)</f>
        <v>#N/A</v>
      </c>
      <c r="H432">
        <f>'Filtered Data'!F431</f>
        <v>0</v>
      </c>
      <c r="I432" t="s">
        <v>5668</v>
      </c>
      <c r="J432" t="s">
        <v>1609</v>
      </c>
      <c r="K432" t="e">
        <f>VLOOKUP('Filtered Data'!A431,'Input 1 CMDB'!A:I,9,0)</f>
        <v>#N/A</v>
      </c>
      <c r="L432">
        <f>'Filtered Data'!K431</f>
        <v>0</v>
      </c>
      <c r="M432" t="e">
        <f t="shared" si="15"/>
        <v>#VALUE!</v>
      </c>
      <c r="N432">
        <f>'Filtered Data'!P431</f>
        <v>0</v>
      </c>
      <c r="O432">
        <f>'Filtered Data'!N431</f>
        <v>0</v>
      </c>
      <c r="P432" t="s">
        <v>5669</v>
      </c>
      <c r="Q432" t="str">
        <f>IF('Filtered Data'!W431,"ITHybridCloudEngineeringOperationsMgmt@Marathonpetroleum.com","mark.newman2@dxc.com")</f>
        <v>mark.newman2@dxc.com</v>
      </c>
      <c r="R432">
        <f t="shared" si="16"/>
        <v>0</v>
      </c>
      <c r="S432" s="31" t="s">
        <v>5738</v>
      </c>
      <c r="T432" t="s">
        <v>1381</v>
      </c>
      <c r="U432">
        <f>'Filtered Data'!V431</f>
        <v>0</v>
      </c>
      <c r="V432" t="str">
        <f>IF('Filtered Data'!W431,"yes","no")</f>
        <v>no</v>
      </c>
      <c r="W432" t="s">
        <v>15</v>
      </c>
      <c r="X432">
        <f>'Filtered Data'!X431</f>
        <v>0</v>
      </c>
    </row>
    <row r="433" spans="1:24" x14ac:dyDescent="0.35">
      <c r="A433">
        <f>'Filtered Data'!A432</f>
        <v>0</v>
      </c>
      <c r="B433">
        <f>'Filtered Data'!B432</f>
        <v>0</v>
      </c>
      <c r="C433" t="s">
        <v>2</v>
      </c>
      <c r="D433" t="e">
        <f>VLOOKUP('Filtered Data'!Z432,'Data Mapping'!$A$4:$B$7,2,0)</f>
        <v>#N/A</v>
      </c>
      <c r="E433" t="e">
        <f>VLOOKUP('Filtered Data'!C432,'Data Mapping'!$E$3:$F$97,2,0)</f>
        <v>#N/A</v>
      </c>
      <c r="F433">
        <f>'Filtered Data'!D432</f>
        <v>0</v>
      </c>
      <c r="G433" t="e">
        <f>VLOOKUP('Filtered Data'!E432,'Data Mapping'!$J$3:$K$11,2,0)</f>
        <v>#N/A</v>
      </c>
      <c r="H433">
        <f>'Filtered Data'!F432</f>
        <v>0</v>
      </c>
      <c r="I433" t="s">
        <v>5668</v>
      </c>
      <c r="J433" t="s">
        <v>1609</v>
      </c>
      <c r="K433" t="e">
        <f>VLOOKUP('Filtered Data'!A432,'Input 1 CMDB'!A:I,9,0)</f>
        <v>#N/A</v>
      </c>
      <c r="L433">
        <f>'Filtered Data'!K432</f>
        <v>0</v>
      </c>
      <c r="M433" t="e">
        <f t="shared" si="15"/>
        <v>#VALUE!</v>
      </c>
      <c r="N433">
        <f>'Filtered Data'!P432</f>
        <v>0</v>
      </c>
      <c r="O433">
        <f>'Filtered Data'!N432</f>
        <v>0</v>
      </c>
      <c r="P433" t="s">
        <v>5669</v>
      </c>
      <c r="Q433" t="str">
        <f>IF('Filtered Data'!W432,"ITHybridCloudEngineeringOperationsMgmt@Marathonpetroleum.com","mark.newman2@dxc.com")</f>
        <v>mark.newman2@dxc.com</v>
      </c>
      <c r="R433">
        <f t="shared" si="16"/>
        <v>0</v>
      </c>
      <c r="S433" s="31" t="s">
        <v>5738</v>
      </c>
      <c r="T433" t="s">
        <v>1381</v>
      </c>
      <c r="U433">
        <f>'Filtered Data'!V432</f>
        <v>0</v>
      </c>
      <c r="V433" t="str">
        <f>IF('Filtered Data'!W432,"yes","no")</f>
        <v>no</v>
      </c>
      <c r="W433" t="s">
        <v>15</v>
      </c>
      <c r="X433">
        <f>'Filtered Data'!X432</f>
        <v>0</v>
      </c>
    </row>
    <row r="434" spans="1:24" x14ac:dyDescent="0.35">
      <c r="A434">
        <f>'Filtered Data'!A433</f>
        <v>0</v>
      </c>
      <c r="B434">
        <f>'Filtered Data'!B433</f>
        <v>0</v>
      </c>
      <c r="C434" t="s">
        <v>2</v>
      </c>
      <c r="D434" t="e">
        <f>VLOOKUP('Filtered Data'!Z433,'Data Mapping'!$A$4:$B$7,2,0)</f>
        <v>#N/A</v>
      </c>
      <c r="E434" t="e">
        <f>VLOOKUP('Filtered Data'!C433,'Data Mapping'!$E$3:$F$97,2,0)</f>
        <v>#N/A</v>
      </c>
      <c r="F434">
        <f>'Filtered Data'!D433</f>
        <v>0</v>
      </c>
      <c r="G434" t="e">
        <f>VLOOKUP('Filtered Data'!E433,'Data Mapping'!$J$3:$K$11,2,0)</f>
        <v>#N/A</v>
      </c>
      <c r="H434">
        <f>'Filtered Data'!F433</f>
        <v>0</v>
      </c>
      <c r="I434" t="s">
        <v>5668</v>
      </c>
      <c r="J434" t="s">
        <v>1609</v>
      </c>
      <c r="K434" t="e">
        <f>VLOOKUP('Filtered Data'!A433,'Input 1 CMDB'!A:I,9,0)</f>
        <v>#N/A</v>
      </c>
      <c r="L434">
        <f>'Filtered Data'!K433</f>
        <v>0</v>
      </c>
      <c r="M434" t="e">
        <f t="shared" si="15"/>
        <v>#VALUE!</v>
      </c>
      <c r="N434">
        <f>'Filtered Data'!P433</f>
        <v>0</v>
      </c>
      <c r="O434">
        <f>'Filtered Data'!N433</f>
        <v>0</v>
      </c>
      <c r="P434" t="s">
        <v>5669</v>
      </c>
      <c r="Q434" t="str">
        <f>IF('Filtered Data'!W433,"ITHybridCloudEngineeringOperationsMgmt@Marathonpetroleum.com","mark.newman2@dxc.com")</f>
        <v>mark.newman2@dxc.com</v>
      </c>
      <c r="R434">
        <f t="shared" si="16"/>
        <v>0</v>
      </c>
      <c r="S434" s="31" t="s">
        <v>5738</v>
      </c>
      <c r="T434" t="s">
        <v>1381</v>
      </c>
      <c r="U434">
        <f>'Filtered Data'!V433</f>
        <v>0</v>
      </c>
      <c r="V434" t="str">
        <f>IF('Filtered Data'!W433,"yes","no")</f>
        <v>no</v>
      </c>
      <c r="W434" t="s">
        <v>15</v>
      </c>
      <c r="X434">
        <f>'Filtered Data'!X433</f>
        <v>0</v>
      </c>
    </row>
    <row r="435" spans="1:24" x14ac:dyDescent="0.35">
      <c r="A435">
        <f>'Filtered Data'!A434</f>
        <v>0</v>
      </c>
      <c r="B435">
        <f>'Filtered Data'!B434</f>
        <v>0</v>
      </c>
      <c r="C435" t="s">
        <v>2</v>
      </c>
      <c r="D435" t="e">
        <f>VLOOKUP('Filtered Data'!Z434,'Data Mapping'!$A$4:$B$7,2,0)</f>
        <v>#N/A</v>
      </c>
      <c r="E435" t="e">
        <f>VLOOKUP('Filtered Data'!C434,'Data Mapping'!$E$3:$F$97,2,0)</f>
        <v>#N/A</v>
      </c>
      <c r="F435">
        <f>'Filtered Data'!D434</f>
        <v>0</v>
      </c>
      <c r="G435" t="e">
        <f>VLOOKUP('Filtered Data'!E434,'Data Mapping'!$J$3:$K$11,2,0)</f>
        <v>#N/A</v>
      </c>
      <c r="H435">
        <f>'Filtered Data'!F434</f>
        <v>0</v>
      </c>
      <c r="I435" t="s">
        <v>5668</v>
      </c>
      <c r="J435" t="s">
        <v>1609</v>
      </c>
      <c r="K435" t="e">
        <f>VLOOKUP('Filtered Data'!A434,'Input 1 CMDB'!A:I,9,0)</f>
        <v>#N/A</v>
      </c>
      <c r="L435">
        <f>'Filtered Data'!K434</f>
        <v>0</v>
      </c>
      <c r="M435" t="e">
        <f t="shared" si="15"/>
        <v>#VALUE!</v>
      </c>
      <c r="N435">
        <f>'Filtered Data'!P434</f>
        <v>0</v>
      </c>
      <c r="O435">
        <f>'Filtered Data'!N434</f>
        <v>0</v>
      </c>
      <c r="P435" t="s">
        <v>5669</v>
      </c>
      <c r="Q435" t="str">
        <f>IF('Filtered Data'!W434,"ITHybridCloudEngineeringOperationsMgmt@Marathonpetroleum.com","mark.newman2@dxc.com")</f>
        <v>mark.newman2@dxc.com</v>
      </c>
      <c r="R435">
        <f t="shared" si="16"/>
        <v>0</v>
      </c>
      <c r="S435" s="31" t="s">
        <v>5738</v>
      </c>
      <c r="T435" t="s">
        <v>1381</v>
      </c>
      <c r="U435">
        <f>'Filtered Data'!V434</f>
        <v>0</v>
      </c>
      <c r="V435" t="str">
        <f>IF('Filtered Data'!W434,"yes","no")</f>
        <v>no</v>
      </c>
      <c r="W435" t="s">
        <v>15</v>
      </c>
      <c r="X435">
        <f>'Filtered Data'!X434</f>
        <v>0</v>
      </c>
    </row>
    <row r="436" spans="1:24" x14ac:dyDescent="0.35">
      <c r="A436">
        <f>'Filtered Data'!A435</f>
        <v>0</v>
      </c>
      <c r="B436">
        <f>'Filtered Data'!B435</f>
        <v>0</v>
      </c>
      <c r="C436" t="s">
        <v>2</v>
      </c>
      <c r="D436" t="e">
        <f>VLOOKUP('Filtered Data'!Z435,'Data Mapping'!$A$4:$B$7,2,0)</f>
        <v>#N/A</v>
      </c>
      <c r="E436" t="e">
        <f>VLOOKUP('Filtered Data'!C435,'Data Mapping'!$E$3:$F$97,2,0)</f>
        <v>#N/A</v>
      </c>
      <c r="F436">
        <f>'Filtered Data'!D435</f>
        <v>0</v>
      </c>
      <c r="G436" t="e">
        <f>VLOOKUP('Filtered Data'!E435,'Data Mapping'!$J$3:$K$11,2,0)</f>
        <v>#N/A</v>
      </c>
      <c r="H436">
        <f>'Filtered Data'!F435</f>
        <v>0</v>
      </c>
      <c r="I436" t="s">
        <v>5668</v>
      </c>
      <c r="J436" t="s">
        <v>1609</v>
      </c>
      <c r="K436" t="e">
        <f>VLOOKUP('Filtered Data'!A435,'Input 1 CMDB'!A:I,9,0)</f>
        <v>#N/A</v>
      </c>
      <c r="L436">
        <f>'Filtered Data'!K435</f>
        <v>0</v>
      </c>
      <c r="M436" t="e">
        <f t="shared" si="15"/>
        <v>#VALUE!</v>
      </c>
      <c r="N436">
        <f>'Filtered Data'!P435</f>
        <v>0</v>
      </c>
      <c r="O436">
        <f>'Filtered Data'!N435</f>
        <v>0</v>
      </c>
      <c r="P436" t="s">
        <v>5669</v>
      </c>
      <c r="Q436" t="str">
        <f>IF('Filtered Data'!W435,"ITHybridCloudEngineeringOperationsMgmt@Marathonpetroleum.com","mark.newman2@dxc.com")</f>
        <v>mark.newman2@dxc.com</v>
      </c>
      <c r="R436">
        <f t="shared" si="16"/>
        <v>0</v>
      </c>
      <c r="S436" s="31" t="s">
        <v>5738</v>
      </c>
      <c r="T436" t="s">
        <v>1381</v>
      </c>
      <c r="U436">
        <f>'Filtered Data'!V435</f>
        <v>0</v>
      </c>
      <c r="V436" t="str">
        <f>IF('Filtered Data'!W435,"yes","no")</f>
        <v>no</v>
      </c>
      <c r="W436" t="s">
        <v>15</v>
      </c>
      <c r="X436">
        <f>'Filtered Data'!X435</f>
        <v>0</v>
      </c>
    </row>
    <row r="437" spans="1:24" x14ac:dyDescent="0.35">
      <c r="A437">
        <f>'Filtered Data'!A436</f>
        <v>0</v>
      </c>
      <c r="B437">
        <f>'Filtered Data'!B436</f>
        <v>0</v>
      </c>
      <c r="C437" t="s">
        <v>2</v>
      </c>
      <c r="D437" t="e">
        <f>VLOOKUP('Filtered Data'!Z436,'Data Mapping'!$A$4:$B$7,2,0)</f>
        <v>#N/A</v>
      </c>
      <c r="E437" t="e">
        <f>VLOOKUP('Filtered Data'!C436,'Data Mapping'!$E$3:$F$97,2,0)</f>
        <v>#N/A</v>
      </c>
      <c r="F437">
        <f>'Filtered Data'!D436</f>
        <v>0</v>
      </c>
      <c r="G437" t="e">
        <f>VLOOKUP('Filtered Data'!E436,'Data Mapping'!$J$3:$K$11,2,0)</f>
        <v>#N/A</v>
      </c>
      <c r="H437">
        <f>'Filtered Data'!F436</f>
        <v>0</v>
      </c>
      <c r="I437" t="s">
        <v>5668</v>
      </c>
      <c r="J437" t="s">
        <v>1609</v>
      </c>
      <c r="K437" t="e">
        <f>VLOOKUP('Filtered Data'!A436,'Input 1 CMDB'!A:I,9,0)</f>
        <v>#N/A</v>
      </c>
      <c r="L437">
        <f>'Filtered Data'!K436</f>
        <v>0</v>
      </c>
      <c r="M437" t="e">
        <f t="shared" si="15"/>
        <v>#VALUE!</v>
      </c>
      <c r="N437">
        <f>'Filtered Data'!P436</f>
        <v>0</v>
      </c>
      <c r="O437">
        <f>'Filtered Data'!N436</f>
        <v>0</v>
      </c>
      <c r="P437" t="s">
        <v>5669</v>
      </c>
      <c r="Q437" t="str">
        <f>IF('Filtered Data'!W436,"ITHybridCloudEngineeringOperationsMgmt@Marathonpetroleum.com","mark.newman2@dxc.com")</f>
        <v>mark.newman2@dxc.com</v>
      </c>
      <c r="R437">
        <f t="shared" si="16"/>
        <v>0</v>
      </c>
      <c r="S437" s="31" t="s">
        <v>5738</v>
      </c>
      <c r="T437" t="s">
        <v>1381</v>
      </c>
      <c r="U437">
        <f>'Filtered Data'!V436</f>
        <v>0</v>
      </c>
      <c r="V437" t="str">
        <f>IF('Filtered Data'!W436,"yes","no")</f>
        <v>no</v>
      </c>
      <c r="W437" t="s">
        <v>15</v>
      </c>
      <c r="X437">
        <f>'Filtered Data'!X436</f>
        <v>0</v>
      </c>
    </row>
    <row r="438" spans="1:24" x14ac:dyDescent="0.35">
      <c r="A438">
        <f>'Filtered Data'!A437</f>
        <v>0</v>
      </c>
      <c r="B438">
        <f>'Filtered Data'!B437</f>
        <v>0</v>
      </c>
      <c r="C438" t="s">
        <v>2</v>
      </c>
      <c r="D438" t="e">
        <f>VLOOKUP('Filtered Data'!Z437,'Data Mapping'!$A$4:$B$7,2,0)</f>
        <v>#N/A</v>
      </c>
      <c r="E438" t="e">
        <f>VLOOKUP('Filtered Data'!C437,'Data Mapping'!$E$3:$F$97,2,0)</f>
        <v>#N/A</v>
      </c>
      <c r="F438">
        <f>'Filtered Data'!D437</f>
        <v>0</v>
      </c>
      <c r="G438" t="e">
        <f>VLOOKUP('Filtered Data'!E437,'Data Mapping'!$J$3:$K$11,2,0)</f>
        <v>#N/A</v>
      </c>
      <c r="H438">
        <f>'Filtered Data'!F437</f>
        <v>0</v>
      </c>
      <c r="I438" t="s">
        <v>5668</v>
      </c>
      <c r="J438" t="s">
        <v>1609</v>
      </c>
      <c r="K438" t="e">
        <f>VLOOKUP('Filtered Data'!A437,'Input 1 CMDB'!A:I,9,0)</f>
        <v>#N/A</v>
      </c>
      <c r="L438">
        <f>'Filtered Data'!K437</f>
        <v>0</v>
      </c>
      <c r="M438" t="e">
        <f t="shared" si="15"/>
        <v>#VALUE!</v>
      </c>
      <c r="N438">
        <f>'Filtered Data'!P437</f>
        <v>0</v>
      </c>
      <c r="O438">
        <f>'Filtered Data'!N437</f>
        <v>0</v>
      </c>
      <c r="P438" t="s">
        <v>5669</v>
      </c>
      <c r="Q438" t="str">
        <f>IF('Filtered Data'!W437,"ITHybridCloudEngineeringOperationsMgmt@Marathonpetroleum.com","mark.newman2@dxc.com")</f>
        <v>mark.newman2@dxc.com</v>
      </c>
      <c r="R438">
        <f t="shared" si="16"/>
        <v>0</v>
      </c>
      <c r="S438" s="31" t="s">
        <v>5738</v>
      </c>
      <c r="T438" t="s">
        <v>1381</v>
      </c>
      <c r="U438">
        <f>'Filtered Data'!V437</f>
        <v>0</v>
      </c>
      <c r="V438" t="str">
        <f>IF('Filtered Data'!W437,"yes","no")</f>
        <v>no</v>
      </c>
      <c r="W438" t="s">
        <v>15</v>
      </c>
      <c r="X438">
        <f>'Filtered Data'!X437</f>
        <v>0</v>
      </c>
    </row>
    <row r="439" spans="1:24" x14ac:dyDescent="0.35">
      <c r="A439">
        <f>'Filtered Data'!A438</f>
        <v>0</v>
      </c>
      <c r="B439">
        <f>'Filtered Data'!B438</f>
        <v>0</v>
      </c>
      <c r="C439" t="s">
        <v>2</v>
      </c>
      <c r="D439" t="e">
        <f>VLOOKUP('Filtered Data'!Z438,'Data Mapping'!$A$4:$B$7,2,0)</f>
        <v>#N/A</v>
      </c>
      <c r="E439" t="e">
        <f>VLOOKUP('Filtered Data'!C438,'Data Mapping'!$E$3:$F$97,2,0)</f>
        <v>#N/A</v>
      </c>
      <c r="F439">
        <f>'Filtered Data'!D438</f>
        <v>0</v>
      </c>
      <c r="G439" t="e">
        <f>VLOOKUP('Filtered Data'!E438,'Data Mapping'!$J$3:$K$11,2,0)</f>
        <v>#N/A</v>
      </c>
      <c r="H439">
        <f>'Filtered Data'!F438</f>
        <v>0</v>
      </c>
      <c r="I439" t="s">
        <v>5668</v>
      </c>
      <c r="J439" t="s">
        <v>1609</v>
      </c>
      <c r="K439" t="e">
        <f>VLOOKUP('Filtered Data'!A438,'Input 1 CMDB'!A:I,9,0)</f>
        <v>#N/A</v>
      </c>
      <c r="L439">
        <f>'Filtered Data'!K438</f>
        <v>0</v>
      </c>
      <c r="M439" t="e">
        <f t="shared" si="15"/>
        <v>#VALUE!</v>
      </c>
      <c r="N439">
        <f>'Filtered Data'!P438</f>
        <v>0</v>
      </c>
      <c r="O439">
        <f>'Filtered Data'!N438</f>
        <v>0</v>
      </c>
      <c r="P439" t="s">
        <v>5669</v>
      </c>
      <c r="Q439" t="str">
        <f>IF('Filtered Data'!W438,"ITHybridCloudEngineeringOperationsMgmt@Marathonpetroleum.com","mark.newman2@dxc.com")</f>
        <v>mark.newman2@dxc.com</v>
      </c>
      <c r="R439">
        <f t="shared" si="16"/>
        <v>0</v>
      </c>
      <c r="S439" s="31" t="s">
        <v>5738</v>
      </c>
      <c r="T439" t="s">
        <v>1381</v>
      </c>
      <c r="U439">
        <f>'Filtered Data'!V438</f>
        <v>0</v>
      </c>
      <c r="V439" t="str">
        <f>IF('Filtered Data'!W438,"yes","no")</f>
        <v>no</v>
      </c>
      <c r="W439" t="s">
        <v>15</v>
      </c>
      <c r="X439">
        <f>'Filtered Data'!X438</f>
        <v>0</v>
      </c>
    </row>
    <row r="440" spans="1:24" x14ac:dyDescent="0.35">
      <c r="A440">
        <f>'Filtered Data'!A439</f>
        <v>0</v>
      </c>
      <c r="B440">
        <f>'Filtered Data'!B439</f>
        <v>0</v>
      </c>
      <c r="C440" t="s">
        <v>2</v>
      </c>
      <c r="D440" t="e">
        <f>VLOOKUP('Filtered Data'!Z439,'Data Mapping'!$A$4:$B$7,2,0)</f>
        <v>#N/A</v>
      </c>
      <c r="E440" t="e">
        <f>VLOOKUP('Filtered Data'!C439,'Data Mapping'!$E$3:$F$97,2,0)</f>
        <v>#N/A</v>
      </c>
      <c r="F440">
        <f>'Filtered Data'!D439</f>
        <v>0</v>
      </c>
      <c r="G440" t="e">
        <f>VLOOKUP('Filtered Data'!E439,'Data Mapping'!$J$3:$K$11,2,0)</f>
        <v>#N/A</v>
      </c>
      <c r="H440">
        <f>'Filtered Data'!F439</f>
        <v>0</v>
      </c>
      <c r="I440" t="s">
        <v>5668</v>
      </c>
      <c r="J440" t="s">
        <v>1609</v>
      </c>
      <c r="K440" t="e">
        <f>VLOOKUP('Filtered Data'!A439,'Input 1 CMDB'!A:I,9,0)</f>
        <v>#N/A</v>
      </c>
      <c r="L440">
        <f>'Filtered Data'!K439</f>
        <v>0</v>
      </c>
      <c r="M440" t="e">
        <f t="shared" si="15"/>
        <v>#VALUE!</v>
      </c>
      <c r="N440">
        <f>'Filtered Data'!P439</f>
        <v>0</v>
      </c>
      <c r="O440">
        <f>'Filtered Data'!N439</f>
        <v>0</v>
      </c>
      <c r="P440" t="s">
        <v>5669</v>
      </c>
      <c r="Q440" t="str">
        <f>IF('Filtered Data'!W439,"ITHybridCloudEngineeringOperationsMgmt@Marathonpetroleum.com","mark.newman2@dxc.com")</f>
        <v>mark.newman2@dxc.com</v>
      </c>
      <c r="R440">
        <f t="shared" si="16"/>
        <v>0</v>
      </c>
      <c r="S440" s="31" t="s">
        <v>5738</v>
      </c>
      <c r="T440" t="s">
        <v>1381</v>
      </c>
      <c r="U440">
        <f>'Filtered Data'!V439</f>
        <v>0</v>
      </c>
      <c r="V440" t="str">
        <f>IF('Filtered Data'!W439,"yes","no")</f>
        <v>no</v>
      </c>
      <c r="W440" t="s">
        <v>15</v>
      </c>
      <c r="X440">
        <f>'Filtered Data'!X439</f>
        <v>0</v>
      </c>
    </row>
    <row r="441" spans="1:24" x14ac:dyDescent="0.35">
      <c r="A441">
        <f>'Filtered Data'!A440</f>
        <v>0</v>
      </c>
      <c r="B441">
        <f>'Filtered Data'!B440</f>
        <v>0</v>
      </c>
      <c r="C441" t="s">
        <v>2</v>
      </c>
      <c r="D441" t="e">
        <f>VLOOKUP('Filtered Data'!Z440,'Data Mapping'!$A$4:$B$7,2,0)</f>
        <v>#N/A</v>
      </c>
      <c r="E441" t="e">
        <f>VLOOKUP('Filtered Data'!C440,'Data Mapping'!$E$3:$F$97,2,0)</f>
        <v>#N/A</v>
      </c>
      <c r="F441">
        <f>'Filtered Data'!D440</f>
        <v>0</v>
      </c>
      <c r="G441" t="e">
        <f>VLOOKUP('Filtered Data'!E440,'Data Mapping'!$J$3:$K$11,2,0)</f>
        <v>#N/A</v>
      </c>
      <c r="H441">
        <f>'Filtered Data'!F440</f>
        <v>0</v>
      </c>
      <c r="I441" t="s">
        <v>5668</v>
      </c>
      <c r="J441" t="s">
        <v>1609</v>
      </c>
      <c r="K441" t="e">
        <f>VLOOKUP('Filtered Data'!A440,'Input 1 CMDB'!A:I,9,0)</f>
        <v>#N/A</v>
      </c>
      <c r="L441">
        <f>'Filtered Data'!K440</f>
        <v>0</v>
      </c>
      <c r="M441" t="e">
        <f t="shared" si="15"/>
        <v>#VALUE!</v>
      </c>
      <c r="N441">
        <f>'Filtered Data'!P440</f>
        <v>0</v>
      </c>
      <c r="O441">
        <f>'Filtered Data'!N440</f>
        <v>0</v>
      </c>
      <c r="P441" t="s">
        <v>5669</v>
      </c>
      <c r="Q441" t="str">
        <f>IF('Filtered Data'!W440,"ITHybridCloudEngineeringOperationsMgmt@Marathonpetroleum.com","mark.newman2@dxc.com")</f>
        <v>mark.newman2@dxc.com</v>
      </c>
      <c r="R441">
        <f t="shared" si="16"/>
        <v>0</v>
      </c>
      <c r="S441" s="31" t="s">
        <v>5738</v>
      </c>
      <c r="T441" t="s">
        <v>1381</v>
      </c>
      <c r="U441">
        <f>'Filtered Data'!V440</f>
        <v>0</v>
      </c>
      <c r="V441" t="str">
        <f>IF('Filtered Data'!W440,"yes","no")</f>
        <v>no</v>
      </c>
      <c r="W441" t="s">
        <v>15</v>
      </c>
      <c r="X441">
        <f>'Filtered Data'!X440</f>
        <v>0</v>
      </c>
    </row>
    <row r="442" spans="1:24" x14ac:dyDescent="0.35">
      <c r="A442">
        <f>'Filtered Data'!A441</f>
        <v>0</v>
      </c>
      <c r="B442">
        <f>'Filtered Data'!B441</f>
        <v>0</v>
      </c>
      <c r="C442" t="s">
        <v>2</v>
      </c>
      <c r="D442" t="e">
        <f>VLOOKUP('Filtered Data'!Z441,'Data Mapping'!$A$4:$B$7,2,0)</f>
        <v>#N/A</v>
      </c>
      <c r="E442" t="e">
        <f>VLOOKUP('Filtered Data'!C441,'Data Mapping'!$E$3:$F$97,2,0)</f>
        <v>#N/A</v>
      </c>
      <c r="F442">
        <f>'Filtered Data'!D441</f>
        <v>0</v>
      </c>
      <c r="G442" t="e">
        <f>VLOOKUP('Filtered Data'!E441,'Data Mapping'!$J$3:$K$11,2,0)</f>
        <v>#N/A</v>
      </c>
      <c r="H442">
        <f>'Filtered Data'!F441</f>
        <v>0</v>
      </c>
      <c r="I442" t="s">
        <v>5668</v>
      </c>
      <c r="J442" t="s">
        <v>1609</v>
      </c>
      <c r="K442" t="e">
        <f>VLOOKUP('Filtered Data'!A441,'Input 1 CMDB'!A:I,9,0)</f>
        <v>#N/A</v>
      </c>
      <c r="L442">
        <f>'Filtered Data'!K441</f>
        <v>0</v>
      </c>
      <c r="M442" t="e">
        <f t="shared" si="15"/>
        <v>#VALUE!</v>
      </c>
      <c r="N442">
        <f>'Filtered Data'!P441</f>
        <v>0</v>
      </c>
      <c r="O442">
        <f>'Filtered Data'!N441</f>
        <v>0</v>
      </c>
      <c r="P442" t="s">
        <v>5669</v>
      </c>
      <c r="Q442" t="str">
        <f>IF('Filtered Data'!W441,"ITHybridCloudEngineeringOperationsMgmt@Marathonpetroleum.com","mark.newman2@dxc.com")</f>
        <v>mark.newman2@dxc.com</v>
      </c>
      <c r="R442">
        <f t="shared" si="16"/>
        <v>0</v>
      </c>
      <c r="S442" s="31" t="s">
        <v>5738</v>
      </c>
      <c r="T442" t="s">
        <v>1381</v>
      </c>
      <c r="U442">
        <f>'Filtered Data'!V441</f>
        <v>0</v>
      </c>
      <c r="V442" t="str">
        <f>IF('Filtered Data'!W441,"yes","no")</f>
        <v>no</v>
      </c>
      <c r="W442" t="s">
        <v>15</v>
      </c>
      <c r="X442">
        <f>'Filtered Data'!X441</f>
        <v>0</v>
      </c>
    </row>
    <row r="443" spans="1:24" x14ac:dyDescent="0.35">
      <c r="A443">
        <f>'Filtered Data'!A442</f>
        <v>0</v>
      </c>
      <c r="B443">
        <f>'Filtered Data'!B442</f>
        <v>0</v>
      </c>
      <c r="C443" t="s">
        <v>2</v>
      </c>
      <c r="D443" t="e">
        <f>VLOOKUP('Filtered Data'!Z442,'Data Mapping'!$A$4:$B$7,2,0)</f>
        <v>#N/A</v>
      </c>
      <c r="E443" t="e">
        <f>VLOOKUP('Filtered Data'!C442,'Data Mapping'!$E$3:$F$97,2,0)</f>
        <v>#N/A</v>
      </c>
      <c r="F443">
        <f>'Filtered Data'!D442</f>
        <v>0</v>
      </c>
      <c r="G443" t="e">
        <f>VLOOKUP('Filtered Data'!E442,'Data Mapping'!$J$3:$K$11,2,0)</f>
        <v>#N/A</v>
      </c>
      <c r="H443">
        <f>'Filtered Data'!F442</f>
        <v>0</v>
      </c>
      <c r="I443" t="s">
        <v>5668</v>
      </c>
      <c r="J443" t="s">
        <v>1609</v>
      </c>
      <c r="K443" t="e">
        <f>VLOOKUP('Filtered Data'!A442,'Input 1 CMDB'!A:I,9,0)</f>
        <v>#N/A</v>
      </c>
      <c r="L443">
        <f>'Filtered Data'!K442</f>
        <v>0</v>
      </c>
      <c r="M443" t="e">
        <f t="shared" si="15"/>
        <v>#VALUE!</v>
      </c>
      <c r="N443">
        <f>'Filtered Data'!P442</f>
        <v>0</v>
      </c>
      <c r="O443">
        <f>'Filtered Data'!N442</f>
        <v>0</v>
      </c>
      <c r="P443" t="s">
        <v>5669</v>
      </c>
      <c r="Q443" t="str">
        <f>IF('Filtered Data'!W442,"ITHybridCloudEngineeringOperationsMgmt@Marathonpetroleum.com","mark.newman2@dxc.com")</f>
        <v>mark.newman2@dxc.com</v>
      </c>
      <c r="R443">
        <f t="shared" si="16"/>
        <v>0</v>
      </c>
      <c r="S443" s="31" t="s">
        <v>5738</v>
      </c>
      <c r="T443" t="s">
        <v>1381</v>
      </c>
      <c r="U443">
        <f>'Filtered Data'!V442</f>
        <v>0</v>
      </c>
      <c r="V443" t="str">
        <f>IF('Filtered Data'!W442,"yes","no")</f>
        <v>no</v>
      </c>
      <c r="W443" t="s">
        <v>15</v>
      </c>
      <c r="X443">
        <f>'Filtered Data'!X442</f>
        <v>0</v>
      </c>
    </row>
    <row r="444" spans="1:24" x14ac:dyDescent="0.35">
      <c r="A444">
        <f>'Filtered Data'!A443</f>
        <v>0</v>
      </c>
      <c r="B444">
        <f>'Filtered Data'!B443</f>
        <v>0</v>
      </c>
      <c r="C444" t="s">
        <v>2</v>
      </c>
      <c r="D444" t="e">
        <f>VLOOKUP('Filtered Data'!Z443,'Data Mapping'!$A$4:$B$7,2,0)</f>
        <v>#N/A</v>
      </c>
      <c r="E444" t="e">
        <f>VLOOKUP('Filtered Data'!C443,'Data Mapping'!$E$3:$F$97,2,0)</f>
        <v>#N/A</v>
      </c>
      <c r="F444">
        <f>'Filtered Data'!D443</f>
        <v>0</v>
      </c>
      <c r="G444" t="e">
        <f>VLOOKUP('Filtered Data'!E443,'Data Mapping'!$J$3:$K$11,2,0)</f>
        <v>#N/A</v>
      </c>
      <c r="H444">
        <f>'Filtered Data'!F443</f>
        <v>0</v>
      </c>
      <c r="I444" t="s">
        <v>5668</v>
      </c>
      <c r="J444" t="s">
        <v>1609</v>
      </c>
      <c r="K444" t="e">
        <f>VLOOKUP('Filtered Data'!A443,'Input 1 CMDB'!A:I,9,0)</f>
        <v>#N/A</v>
      </c>
      <c r="L444">
        <f>'Filtered Data'!K443</f>
        <v>0</v>
      </c>
      <c r="M444" t="e">
        <f t="shared" si="15"/>
        <v>#VALUE!</v>
      </c>
      <c r="N444">
        <f>'Filtered Data'!P443</f>
        <v>0</v>
      </c>
      <c r="O444">
        <f>'Filtered Data'!N443</f>
        <v>0</v>
      </c>
      <c r="P444" t="s">
        <v>5669</v>
      </c>
      <c r="Q444" t="str">
        <f>IF('Filtered Data'!W443,"ITHybridCloudEngineeringOperationsMgmt@Marathonpetroleum.com","mark.newman2@dxc.com")</f>
        <v>mark.newman2@dxc.com</v>
      </c>
      <c r="R444">
        <f t="shared" si="16"/>
        <v>0</v>
      </c>
      <c r="S444" s="31" t="s">
        <v>5738</v>
      </c>
      <c r="T444" t="s">
        <v>1381</v>
      </c>
      <c r="U444">
        <f>'Filtered Data'!V443</f>
        <v>0</v>
      </c>
      <c r="V444" t="str">
        <f>IF('Filtered Data'!W443,"yes","no")</f>
        <v>no</v>
      </c>
      <c r="W444" t="s">
        <v>15</v>
      </c>
      <c r="X444">
        <f>'Filtered Data'!X443</f>
        <v>0</v>
      </c>
    </row>
    <row r="445" spans="1:24" x14ac:dyDescent="0.35">
      <c r="A445">
        <f>'Filtered Data'!A444</f>
        <v>0</v>
      </c>
      <c r="B445">
        <f>'Filtered Data'!B444</f>
        <v>0</v>
      </c>
      <c r="C445" t="s">
        <v>2</v>
      </c>
      <c r="D445" t="e">
        <f>VLOOKUP('Filtered Data'!Z444,'Data Mapping'!$A$4:$B$7,2,0)</f>
        <v>#N/A</v>
      </c>
      <c r="E445" t="e">
        <f>VLOOKUP('Filtered Data'!C444,'Data Mapping'!$E$3:$F$97,2,0)</f>
        <v>#N/A</v>
      </c>
      <c r="F445">
        <f>'Filtered Data'!D444</f>
        <v>0</v>
      </c>
      <c r="G445" t="e">
        <f>VLOOKUP('Filtered Data'!E444,'Data Mapping'!$J$3:$K$11,2,0)</f>
        <v>#N/A</v>
      </c>
      <c r="H445">
        <f>'Filtered Data'!F444</f>
        <v>0</v>
      </c>
      <c r="I445" t="s">
        <v>5668</v>
      </c>
      <c r="J445" t="s">
        <v>1609</v>
      </c>
      <c r="K445" t="e">
        <f>VLOOKUP('Filtered Data'!A444,'Input 1 CMDB'!A:I,9,0)</f>
        <v>#N/A</v>
      </c>
      <c r="L445">
        <f>'Filtered Data'!K444</f>
        <v>0</v>
      </c>
      <c r="M445" t="e">
        <f t="shared" si="15"/>
        <v>#VALUE!</v>
      </c>
      <c r="N445">
        <f>'Filtered Data'!P444</f>
        <v>0</v>
      </c>
      <c r="O445">
        <f>'Filtered Data'!N444</f>
        <v>0</v>
      </c>
      <c r="P445" t="s">
        <v>5669</v>
      </c>
      <c r="Q445" t="str">
        <f>IF('Filtered Data'!W444,"ITHybridCloudEngineeringOperationsMgmt@Marathonpetroleum.com","mark.newman2@dxc.com")</f>
        <v>mark.newman2@dxc.com</v>
      </c>
      <c r="R445">
        <f t="shared" si="16"/>
        <v>0</v>
      </c>
      <c r="S445" s="31" t="s">
        <v>5738</v>
      </c>
      <c r="T445" t="s">
        <v>1381</v>
      </c>
      <c r="U445">
        <f>'Filtered Data'!V444</f>
        <v>0</v>
      </c>
      <c r="V445" t="str">
        <f>IF('Filtered Data'!W444,"yes","no")</f>
        <v>no</v>
      </c>
      <c r="W445" t="s">
        <v>15</v>
      </c>
      <c r="X445">
        <f>'Filtered Data'!X444</f>
        <v>0</v>
      </c>
    </row>
    <row r="446" spans="1:24" x14ac:dyDescent="0.35">
      <c r="A446">
        <f>'Filtered Data'!A445</f>
        <v>0</v>
      </c>
      <c r="B446">
        <f>'Filtered Data'!B445</f>
        <v>0</v>
      </c>
      <c r="C446" t="s">
        <v>2</v>
      </c>
      <c r="D446" t="e">
        <f>VLOOKUP('Filtered Data'!Z445,'Data Mapping'!$A$4:$B$7,2,0)</f>
        <v>#N/A</v>
      </c>
      <c r="E446" t="e">
        <f>VLOOKUP('Filtered Data'!C445,'Data Mapping'!$E$3:$F$97,2,0)</f>
        <v>#N/A</v>
      </c>
      <c r="F446">
        <f>'Filtered Data'!D445</f>
        <v>0</v>
      </c>
      <c r="G446" t="e">
        <f>VLOOKUP('Filtered Data'!E445,'Data Mapping'!$J$3:$K$11,2,0)</f>
        <v>#N/A</v>
      </c>
      <c r="H446">
        <f>'Filtered Data'!F445</f>
        <v>0</v>
      </c>
      <c r="I446" t="s">
        <v>5668</v>
      </c>
      <c r="J446" t="s">
        <v>1609</v>
      </c>
      <c r="K446" t="e">
        <f>VLOOKUP('Filtered Data'!A445,'Input 1 CMDB'!A:I,9,0)</f>
        <v>#N/A</v>
      </c>
      <c r="L446">
        <f>'Filtered Data'!K445</f>
        <v>0</v>
      </c>
      <c r="M446" t="e">
        <f t="shared" si="15"/>
        <v>#VALUE!</v>
      </c>
      <c r="N446">
        <f>'Filtered Data'!P445</f>
        <v>0</v>
      </c>
      <c r="O446">
        <f>'Filtered Data'!N445</f>
        <v>0</v>
      </c>
      <c r="P446" t="s">
        <v>5669</v>
      </c>
      <c r="Q446" t="str">
        <f>IF('Filtered Data'!W445,"ITHybridCloudEngineeringOperationsMgmt@Marathonpetroleum.com","mark.newman2@dxc.com")</f>
        <v>mark.newman2@dxc.com</v>
      </c>
      <c r="R446">
        <f t="shared" si="16"/>
        <v>0</v>
      </c>
      <c r="S446" s="31" t="s">
        <v>5738</v>
      </c>
      <c r="T446" t="s">
        <v>1381</v>
      </c>
      <c r="U446">
        <f>'Filtered Data'!V445</f>
        <v>0</v>
      </c>
      <c r="V446" t="str">
        <f>IF('Filtered Data'!W445,"yes","no")</f>
        <v>no</v>
      </c>
      <c r="W446" t="s">
        <v>15</v>
      </c>
      <c r="X446">
        <f>'Filtered Data'!X445</f>
        <v>0</v>
      </c>
    </row>
    <row r="447" spans="1:24" x14ac:dyDescent="0.35">
      <c r="A447">
        <f>'Filtered Data'!A446</f>
        <v>0</v>
      </c>
      <c r="B447">
        <f>'Filtered Data'!B446</f>
        <v>0</v>
      </c>
      <c r="C447" t="s">
        <v>2</v>
      </c>
      <c r="D447" t="e">
        <f>VLOOKUP('Filtered Data'!Z446,'Data Mapping'!$A$4:$B$7,2,0)</f>
        <v>#N/A</v>
      </c>
      <c r="E447" t="e">
        <f>VLOOKUP('Filtered Data'!C446,'Data Mapping'!$E$3:$F$97,2,0)</f>
        <v>#N/A</v>
      </c>
      <c r="F447">
        <f>'Filtered Data'!D446</f>
        <v>0</v>
      </c>
      <c r="G447" t="e">
        <f>VLOOKUP('Filtered Data'!E446,'Data Mapping'!$J$3:$K$11,2,0)</f>
        <v>#N/A</v>
      </c>
      <c r="H447">
        <f>'Filtered Data'!F446</f>
        <v>0</v>
      </c>
      <c r="I447" t="s">
        <v>5668</v>
      </c>
      <c r="J447" t="s">
        <v>1609</v>
      </c>
      <c r="K447" t="e">
        <f>VLOOKUP('Filtered Data'!A446,'Input 1 CMDB'!A:I,9,0)</f>
        <v>#N/A</v>
      </c>
      <c r="L447">
        <f>'Filtered Data'!K446</f>
        <v>0</v>
      </c>
      <c r="M447" t="e">
        <f t="shared" si="15"/>
        <v>#VALUE!</v>
      </c>
      <c r="N447">
        <f>'Filtered Data'!P446</f>
        <v>0</v>
      </c>
      <c r="O447">
        <f>'Filtered Data'!N446</f>
        <v>0</v>
      </c>
      <c r="P447" t="s">
        <v>5669</v>
      </c>
      <c r="Q447" t="str">
        <f>IF('Filtered Data'!W446,"ITHybridCloudEngineeringOperationsMgmt@Marathonpetroleum.com","mark.newman2@dxc.com")</f>
        <v>mark.newman2@dxc.com</v>
      </c>
      <c r="R447">
        <f t="shared" si="16"/>
        <v>0</v>
      </c>
      <c r="S447" s="31" t="s">
        <v>5738</v>
      </c>
      <c r="T447" t="s">
        <v>1381</v>
      </c>
      <c r="U447">
        <f>'Filtered Data'!V446</f>
        <v>0</v>
      </c>
      <c r="V447" t="str">
        <f>IF('Filtered Data'!W446,"yes","no")</f>
        <v>no</v>
      </c>
      <c r="W447" t="s">
        <v>15</v>
      </c>
      <c r="X447">
        <f>'Filtered Data'!X446</f>
        <v>0</v>
      </c>
    </row>
    <row r="448" spans="1:24" x14ac:dyDescent="0.35">
      <c r="A448">
        <f>'Filtered Data'!A447</f>
        <v>0</v>
      </c>
      <c r="B448">
        <f>'Filtered Data'!B447</f>
        <v>0</v>
      </c>
      <c r="C448" t="s">
        <v>2</v>
      </c>
      <c r="D448" t="e">
        <f>VLOOKUP('Filtered Data'!Z447,'Data Mapping'!$A$4:$B$7,2,0)</f>
        <v>#N/A</v>
      </c>
      <c r="E448" t="e">
        <f>VLOOKUP('Filtered Data'!C447,'Data Mapping'!$E$3:$F$97,2,0)</f>
        <v>#N/A</v>
      </c>
      <c r="F448">
        <f>'Filtered Data'!D447</f>
        <v>0</v>
      </c>
      <c r="G448" t="e">
        <f>VLOOKUP('Filtered Data'!E447,'Data Mapping'!$J$3:$K$11,2,0)</f>
        <v>#N/A</v>
      </c>
      <c r="H448">
        <f>'Filtered Data'!F447</f>
        <v>0</v>
      </c>
      <c r="I448" t="s">
        <v>5668</v>
      </c>
      <c r="J448" t="s">
        <v>1609</v>
      </c>
      <c r="K448" t="e">
        <f>VLOOKUP('Filtered Data'!A447,'Input 1 CMDB'!A:I,9,0)</f>
        <v>#N/A</v>
      </c>
      <c r="L448">
        <f>'Filtered Data'!K447</f>
        <v>0</v>
      </c>
      <c r="M448" t="e">
        <f t="shared" si="15"/>
        <v>#VALUE!</v>
      </c>
      <c r="N448">
        <f>'Filtered Data'!P447</f>
        <v>0</v>
      </c>
      <c r="O448">
        <f>'Filtered Data'!N447</f>
        <v>0</v>
      </c>
      <c r="P448" t="s">
        <v>5669</v>
      </c>
      <c r="Q448" t="str">
        <f>IF('Filtered Data'!W447,"ITHybridCloudEngineeringOperationsMgmt@Marathonpetroleum.com","mark.newman2@dxc.com")</f>
        <v>mark.newman2@dxc.com</v>
      </c>
      <c r="R448">
        <f t="shared" si="16"/>
        <v>0</v>
      </c>
      <c r="S448" s="31" t="s">
        <v>5738</v>
      </c>
      <c r="T448" t="s">
        <v>1381</v>
      </c>
      <c r="U448">
        <f>'Filtered Data'!V447</f>
        <v>0</v>
      </c>
      <c r="V448" t="str">
        <f>IF('Filtered Data'!W447,"yes","no")</f>
        <v>no</v>
      </c>
      <c r="W448" t="s">
        <v>15</v>
      </c>
      <c r="X448">
        <f>'Filtered Data'!X447</f>
        <v>0</v>
      </c>
    </row>
    <row r="449" spans="1:24" x14ac:dyDescent="0.35">
      <c r="A449">
        <f>'Filtered Data'!A448</f>
        <v>0</v>
      </c>
      <c r="B449">
        <f>'Filtered Data'!B448</f>
        <v>0</v>
      </c>
      <c r="C449" t="s">
        <v>2</v>
      </c>
      <c r="D449" t="e">
        <f>VLOOKUP('Filtered Data'!Z448,'Data Mapping'!$A$4:$B$7,2,0)</f>
        <v>#N/A</v>
      </c>
      <c r="E449" t="e">
        <f>VLOOKUP('Filtered Data'!C448,'Data Mapping'!$E$3:$F$97,2,0)</f>
        <v>#N/A</v>
      </c>
      <c r="F449">
        <f>'Filtered Data'!D448</f>
        <v>0</v>
      </c>
      <c r="G449" t="e">
        <f>VLOOKUP('Filtered Data'!E448,'Data Mapping'!$J$3:$K$11,2,0)</f>
        <v>#N/A</v>
      </c>
      <c r="H449">
        <f>'Filtered Data'!F448</f>
        <v>0</v>
      </c>
      <c r="I449" t="s">
        <v>5668</v>
      </c>
      <c r="J449" t="s">
        <v>1609</v>
      </c>
      <c r="K449" t="e">
        <f>VLOOKUP('Filtered Data'!A448,'Input 1 CMDB'!A:I,9,0)</f>
        <v>#N/A</v>
      </c>
      <c r="L449">
        <f>'Filtered Data'!K448</f>
        <v>0</v>
      </c>
      <c r="M449" t="e">
        <f t="shared" si="15"/>
        <v>#VALUE!</v>
      </c>
      <c r="N449">
        <f>'Filtered Data'!P448</f>
        <v>0</v>
      </c>
      <c r="O449">
        <f>'Filtered Data'!N448</f>
        <v>0</v>
      </c>
      <c r="P449" t="s">
        <v>5669</v>
      </c>
      <c r="Q449" t="str">
        <f>IF('Filtered Data'!W448,"ITHybridCloudEngineeringOperationsMgmt@Marathonpetroleum.com","mark.newman2@dxc.com")</f>
        <v>mark.newman2@dxc.com</v>
      </c>
      <c r="R449">
        <f t="shared" si="16"/>
        <v>0</v>
      </c>
      <c r="S449" s="31" t="s">
        <v>5738</v>
      </c>
      <c r="T449" t="s">
        <v>1381</v>
      </c>
      <c r="U449">
        <f>'Filtered Data'!V448</f>
        <v>0</v>
      </c>
      <c r="V449" t="str">
        <f>IF('Filtered Data'!W448,"yes","no")</f>
        <v>no</v>
      </c>
      <c r="W449" t="s">
        <v>15</v>
      </c>
      <c r="X449">
        <f>'Filtered Data'!X448</f>
        <v>0</v>
      </c>
    </row>
    <row r="450" spans="1:24" x14ac:dyDescent="0.35">
      <c r="A450">
        <f>'Filtered Data'!A449</f>
        <v>0</v>
      </c>
      <c r="B450">
        <f>'Filtered Data'!B449</f>
        <v>0</v>
      </c>
      <c r="C450" t="s">
        <v>2</v>
      </c>
      <c r="D450" t="e">
        <f>VLOOKUP('Filtered Data'!Z449,'Data Mapping'!$A$4:$B$7,2,0)</f>
        <v>#N/A</v>
      </c>
      <c r="E450" t="e">
        <f>VLOOKUP('Filtered Data'!C449,'Data Mapping'!$E$3:$F$97,2,0)</f>
        <v>#N/A</v>
      </c>
      <c r="F450">
        <f>'Filtered Data'!D449</f>
        <v>0</v>
      </c>
      <c r="G450" t="e">
        <f>VLOOKUP('Filtered Data'!E449,'Data Mapping'!$J$3:$K$11,2,0)</f>
        <v>#N/A</v>
      </c>
      <c r="H450">
        <f>'Filtered Data'!F449</f>
        <v>0</v>
      </c>
      <c r="I450" t="s">
        <v>5668</v>
      </c>
      <c r="J450" t="s">
        <v>1609</v>
      </c>
      <c r="K450" t="e">
        <f>VLOOKUP('Filtered Data'!A449,'Input 1 CMDB'!A:I,9,0)</f>
        <v>#N/A</v>
      </c>
      <c r="L450">
        <f>'Filtered Data'!K449</f>
        <v>0</v>
      </c>
      <c r="M450" t="e">
        <f t="shared" si="15"/>
        <v>#VALUE!</v>
      </c>
      <c r="N450">
        <f>'Filtered Data'!P449</f>
        <v>0</v>
      </c>
      <c r="O450">
        <f>'Filtered Data'!N449</f>
        <v>0</v>
      </c>
      <c r="P450" t="s">
        <v>5669</v>
      </c>
      <c r="Q450" t="str">
        <f>IF('Filtered Data'!W449,"ITHybridCloudEngineeringOperationsMgmt@Marathonpetroleum.com","mark.newman2@dxc.com")</f>
        <v>mark.newman2@dxc.com</v>
      </c>
      <c r="R450">
        <f t="shared" si="16"/>
        <v>0</v>
      </c>
      <c r="S450" s="31" t="s">
        <v>5738</v>
      </c>
      <c r="T450" t="s">
        <v>1381</v>
      </c>
      <c r="U450">
        <f>'Filtered Data'!V449</f>
        <v>0</v>
      </c>
      <c r="V450" t="str">
        <f>IF('Filtered Data'!W449,"yes","no")</f>
        <v>no</v>
      </c>
      <c r="W450" t="s">
        <v>15</v>
      </c>
      <c r="X450">
        <f>'Filtered Data'!X449</f>
        <v>0</v>
      </c>
    </row>
    <row r="451" spans="1:24" x14ac:dyDescent="0.35">
      <c r="A451">
        <f>'Filtered Data'!A450</f>
        <v>0</v>
      </c>
      <c r="B451">
        <f>'Filtered Data'!B450</f>
        <v>0</v>
      </c>
      <c r="C451" t="s">
        <v>2</v>
      </c>
      <c r="D451" t="e">
        <f>VLOOKUP('Filtered Data'!Z450,'Data Mapping'!$A$4:$B$7,2,0)</f>
        <v>#N/A</v>
      </c>
      <c r="E451" t="e">
        <f>VLOOKUP('Filtered Data'!C450,'Data Mapping'!$E$3:$F$97,2,0)</f>
        <v>#N/A</v>
      </c>
      <c r="F451">
        <f>'Filtered Data'!D450</f>
        <v>0</v>
      </c>
      <c r="G451" t="e">
        <f>VLOOKUP('Filtered Data'!E450,'Data Mapping'!$J$3:$K$11,2,0)</f>
        <v>#N/A</v>
      </c>
      <c r="H451">
        <f>'Filtered Data'!F450</f>
        <v>0</v>
      </c>
      <c r="I451" t="s">
        <v>5668</v>
      </c>
      <c r="J451" t="s">
        <v>1609</v>
      </c>
      <c r="K451" t="e">
        <f>VLOOKUP('Filtered Data'!A450,'Input 1 CMDB'!A:I,9,0)</f>
        <v>#N/A</v>
      </c>
      <c r="L451">
        <f>'Filtered Data'!K450</f>
        <v>0</v>
      </c>
      <c r="M451" t="e">
        <f t="shared" si="15"/>
        <v>#VALUE!</v>
      </c>
      <c r="N451">
        <f>'Filtered Data'!P450</f>
        <v>0</v>
      </c>
      <c r="O451">
        <f>'Filtered Data'!N450</f>
        <v>0</v>
      </c>
      <c r="P451" t="s">
        <v>5669</v>
      </c>
      <c r="Q451" t="str">
        <f>IF('Filtered Data'!W450,"ITHybridCloudEngineeringOperationsMgmt@Marathonpetroleum.com","mark.newman2@dxc.com")</f>
        <v>mark.newman2@dxc.com</v>
      </c>
      <c r="R451">
        <f t="shared" si="16"/>
        <v>0</v>
      </c>
      <c r="S451" s="31" t="s">
        <v>5738</v>
      </c>
      <c r="T451" t="s">
        <v>1381</v>
      </c>
      <c r="U451">
        <f>'Filtered Data'!V450</f>
        <v>0</v>
      </c>
      <c r="V451" t="str">
        <f>IF('Filtered Data'!W450,"yes","no")</f>
        <v>no</v>
      </c>
      <c r="W451" t="s">
        <v>15</v>
      </c>
      <c r="X451">
        <f>'Filtered Data'!X450</f>
        <v>0</v>
      </c>
    </row>
    <row r="452" spans="1:24" x14ac:dyDescent="0.35">
      <c r="A452">
        <f>'Filtered Data'!A451</f>
        <v>0</v>
      </c>
      <c r="B452">
        <f>'Filtered Data'!B451</f>
        <v>0</v>
      </c>
      <c r="C452" t="s">
        <v>2</v>
      </c>
      <c r="D452" t="e">
        <f>VLOOKUP('Filtered Data'!Z451,'Data Mapping'!$A$4:$B$7,2,0)</f>
        <v>#N/A</v>
      </c>
      <c r="E452" t="e">
        <f>VLOOKUP('Filtered Data'!C451,'Data Mapping'!$E$3:$F$97,2,0)</f>
        <v>#N/A</v>
      </c>
      <c r="F452">
        <f>'Filtered Data'!D451</f>
        <v>0</v>
      </c>
      <c r="G452" t="e">
        <f>VLOOKUP('Filtered Data'!E451,'Data Mapping'!$J$3:$K$11,2,0)</f>
        <v>#N/A</v>
      </c>
      <c r="H452">
        <f>'Filtered Data'!F451</f>
        <v>0</v>
      </c>
      <c r="I452" t="s">
        <v>5668</v>
      </c>
      <c r="J452" t="s">
        <v>1609</v>
      </c>
      <c r="K452" t="e">
        <f>VLOOKUP('Filtered Data'!A451,'Input 1 CMDB'!A:I,9,0)</f>
        <v>#N/A</v>
      </c>
      <c r="L452">
        <f>'Filtered Data'!K451</f>
        <v>0</v>
      </c>
      <c r="M452" t="e">
        <f t="shared" si="15"/>
        <v>#VALUE!</v>
      </c>
      <c r="N452">
        <f>'Filtered Data'!P451</f>
        <v>0</v>
      </c>
      <c r="O452">
        <f>'Filtered Data'!N451</f>
        <v>0</v>
      </c>
      <c r="P452" t="s">
        <v>5669</v>
      </c>
      <c r="Q452" t="str">
        <f>IF('Filtered Data'!W451,"ITHybridCloudEngineeringOperationsMgmt@Marathonpetroleum.com","mark.newman2@dxc.com")</f>
        <v>mark.newman2@dxc.com</v>
      </c>
      <c r="R452">
        <f t="shared" si="16"/>
        <v>0</v>
      </c>
      <c r="S452" s="31" t="s">
        <v>5738</v>
      </c>
      <c r="T452" t="s">
        <v>1381</v>
      </c>
      <c r="U452">
        <f>'Filtered Data'!V451</f>
        <v>0</v>
      </c>
      <c r="V452" t="str">
        <f>IF('Filtered Data'!W451,"yes","no")</f>
        <v>no</v>
      </c>
      <c r="W452" t="s">
        <v>15</v>
      </c>
      <c r="X452">
        <f>'Filtered Data'!X451</f>
        <v>0</v>
      </c>
    </row>
    <row r="453" spans="1:24" x14ac:dyDescent="0.35">
      <c r="A453">
        <f>'Filtered Data'!A452</f>
        <v>0</v>
      </c>
      <c r="B453">
        <f>'Filtered Data'!B452</f>
        <v>0</v>
      </c>
      <c r="C453" t="s">
        <v>2</v>
      </c>
      <c r="D453" t="e">
        <f>VLOOKUP('Filtered Data'!Z452,'Data Mapping'!$A$4:$B$7,2,0)</f>
        <v>#N/A</v>
      </c>
      <c r="E453" t="e">
        <f>VLOOKUP('Filtered Data'!C452,'Data Mapping'!$E$3:$F$97,2,0)</f>
        <v>#N/A</v>
      </c>
      <c r="F453">
        <f>'Filtered Data'!D452</f>
        <v>0</v>
      </c>
      <c r="G453" t="e">
        <f>VLOOKUP('Filtered Data'!E452,'Data Mapping'!$J$3:$K$11,2,0)</f>
        <v>#N/A</v>
      </c>
      <c r="H453">
        <f>'Filtered Data'!F452</f>
        <v>0</v>
      </c>
      <c r="I453" t="s">
        <v>5668</v>
      </c>
      <c r="J453" t="s">
        <v>1609</v>
      </c>
      <c r="K453" t="e">
        <f>VLOOKUP('Filtered Data'!A452,'Input 1 CMDB'!A:I,9,0)</f>
        <v>#N/A</v>
      </c>
      <c r="L453">
        <f>'Filtered Data'!K452</f>
        <v>0</v>
      </c>
      <c r="M453" t="e">
        <f t="shared" si="15"/>
        <v>#VALUE!</v>
      </c>
      <c r="N453">
        <f>'Filtered Data'!P452</f>
        <v>0</v>
      </c>
      <c r="O453">
        <f>'Filtered Data'!N452</f>
        <v>0</v>
      </c>
      <c r="P453" t="s">
        <v>5669</v>
      </c>
      <c r="Q453" t="str">
        <f>IF('Filtered Data'!W452,"ITHybridCloudEngineeringOperationsMgmt@Marathonpetroleum.com","mark.newman2@dxc.com")</f>
        <v>mark.newman2@dxc.com</v>
      </c>
      <c r="R453">
        <f t="shared" si="16"/>
        <v>0</v>
      </c>
      <c r="S453" s="31" t="s">
        <v>5738</v>
      </c>
      <c r="T453" t="s">
        <v>1381</v>
      </c>
      <c r="U453">
        <f>'Filtered Data'!V452</f>
        <v>0</v>
      </c>
      <c r="V453" t="str">
        <f>IF('Filtered Data'!W452,"yes","no")</f>
        <v>no</v>
      </c>
      <c r="W453" t="s">
        <v>15</v>
      </c>
      <c r="X453">
        <f>'Filtered Data'!X452</f>
        <v>0</v>
      </c>
    </row>
    <row r="454" spans="1:24" x14ac:dyDescent="0.35">
      <c r="A454">
        <f>'Filtered Data'!A453</f>
        <v>0</v>
      </c>
      <c r="B454">
        <f>'Filtered Data'!B453</f>
        <v>0</v>
      </c>
      <c r="C454" t="s">
        <v>2</v>
      </c>
      <c r="D454" t="e">
        <f>VLOOKUP('Filtered Data'!Z453,'Data Mapping'!$A$4:$B$7,2,0)</f>
        <v>#N/A</v>
      </c>
      <c r="E454" t="e">
        <f>VLOOKUP('Filtered Data'!C453,'Data Mapping'!$E$3:$F$97,2,0)</f>
        <v>#N/A</v>
      </c>
      <c r="F454">
        <f>'Filtered Data'!D453</f>
        <v>0</v>
      </c>
      <c r="G454" t="e">
        <f>VLOOKUP('Filtered Data'!E453,'Data Mapping'!$J$3:$K$11,2,0)</f>
        <v>#N/A</v>
      </c>
      <c r="H454">
        <f>'Filtered Data'!F453</f>
        <v>0</v>
      </c>
      <c r="I454" t="s">
        <v>5668</v>
      </c>
      <c r="J454" t="s">
        <v>1609</v>
      </c>
      <c r="K454" t="e">
        <f>VLOOKUP('Filtered Data'!A453,'Input 1 CMDB'!A:I,9,0)</f>
        <v>#N/A</v>
      </c>
      <c r="L454">
        <f>'Filtered Data'!K453</f>
        <v>0</v>
      </c>
      <c r="M454" t="e">
        <f t="shared" si="15"/>
        <v>#VALUE!</v>
      </c>
      <c r="N454">
        <f>'Filtered Data'!P453</f>
        <v>0</v>
      </c>
      <c r="O454">
        <f>'Filtered Data'!N453</f>
        <v>0</v>
      </c>
      <c r="P454" t="s">
        <v>5669</v>
      </c>
      <c r="Q454" t="str">
        <f>IF('Filtered Data'!W453,"ITHybridCloudEngineeringOperationsMgmt@Marathonpetroleum.com","mark.newman2@dxc.com")</f>
        <v>mark.newman2@dxc.com</v>
      </c>
      <c r="R454">
        <f t="shared" si="16"/>
        <v>0</v>
      </c>
      <c r="S454" s="31" t="s">
        <v>5738</v>
      </c>
      <c r="T454" t="s">
        <v>1381</v>
      </c>
      <c r="U454">
        <f>'Filtered Data'!V453</f>
        <v>0</v>
      </c>
      <c r="V454" t="str">
        <f>IF('Filtered Data'!W453,"yes","no")</f>
        <v>no</v>
      </c>
      <c r="W454" t="s">
        <v>15</v>
      </c>
      <c r="X454">
        <f>'Filtered Data'!X453</f>
        <v>0</v>
      </c>
    </row>
    <row r="455" spans="1:24" x14ac:dyDescent="0.35">
      <c r="A455">
        <f>'Filtered Data'!A454</f>
        <v>0</v>
      </c>
      <c r="B455">
        <f>'Filtered Data'!B454</f>
        <v>0</v>
      </c>
      <c r="C455" t="s">
        <v>2</v>
      </c>
      <c r="D455" t="e">
        <f>VLOOKUP('Filtered Data'!Z454,'Data Mapping'!$A$4:$B$7,2,0)</f>
        <v>#N/A</v>
      </c>
      <c r="E455" t="e">
        <f>VLOOKUP('Filtered Data'!C454,'Data Mapping'!$E$3:$F$97,2,0)</f>
        <v>#N/A</v>
      </c>
      <c r="F455">
        <f>'Filtered Data'!D454</f>
        <v>0</v>
      </c>
      <c r="G455" t="e">
        <f>VLOOKUP('Filtered Data'!E454,'Data Mapping'!$J$3:$K$11,2,0)</f>
        <v>#N/A</v>
      </c>
      <c r="H455">
        <f>'Filtered Data'!F454</f>
        <v>0</v>
      </c>
      <c r="I455" t="s">
        <v>5668</v>
      </c>
      <c r="J455" t="s">
        <v>1609</v>
      </c>
      <c r="K455" t="e">
        <f>VLOOKUP('Filtered Data'!A454,'Input 1 CMDB'!A:I,9,0)</f>
        <v>#N/A</v>
      </c>
      <c r="L455">
        <f>'Filtered Data'!K454</f>
        <v>0</v>
      </c>
      <c r="M455" t="e">
        <f t="shared" si="15"/>
        <v>#VALUE!</v>
      </c>
      <c r="N455">
        <f>'Filtered Data'!P454</f>
        <v>0</v>
      </c>
      <c r="O455">
        <f>'Filtered Data'!N454</f>
        <v>0</v>
      </c>
      <c r="P455" t="s">
        <v>5669</v>
      </c>
      <c r="Q455" t="str">
        <f>IF('Filtered Data'!W454,"ITHybridCloudEngineeringOperationsMgmt@Marathonpetroleum.com","mark.newman2@dxc.com")</f>
        <v>mark.newman2@dxc.com</v>
      </c>
      <c r="R455">
        <f t="shared" si="16"/>
        <v>0</v>
      </c>
      <c r="S455" s="31" t="s">
        <v>5738</v>
      </c>
      <c r="T455" t="s">
        <v>1381</v>
      </c>
      <c r="U455">
        <f>'Filtered Data'!V454</f>
        <v>0</v>
      </c>
      <c r="V455" t="str">
        <f>IF('Filtered Data'!W454,"yes","no")</f>
        <v>no</v>
      </c>
      <c r="W455" t="s">
        <v>15</v>
      </c>
      <c r="X455">
        <f>'Filtered Data'!X454</f>
        <v>0</v>
      </c>
    </row>
    <row r="456" spans="1:24" x14ac:dyDescent="0.35">
      <c r="A456">
        <f>'Filtered Data'!A455</f>
        <v>0</v>
      </c>
      <c r="B456">
        <f>'Filtered Data'!B455</f>
        <v>0</v>
      </c>
      <c r="C456" t="s">
        <v>2</v>
      </c>
      <c r="D456" t="e">
        <f>VLOOKUP('Filtered Data'!Z455,'Data Mapping'!$A$4:$B$7,2,0)</f>
        <v>#N/A</v>
      </c>
      <c r="E456" t="e">
        <f>VLOOKUP('Filtered Data'!C455,'Data Mapping'!$E$3:$F$97,2,0)</f>
        <v>#N/A</v>
      </c>
      <c r="F456">
        <f>'Filtered Data'!D455</f>
        <v>0</v>
      </c>
      <c r="G456" t="e">
        <f>VLOOKUP('Filtered Data'!E455,'Data Mapping'!$J$3:$K$11,2,0)</f>
        <v>#N/A</v>
      </c>
      <c r="H456">
        <f>'Filtered Data'!F455</f>
        <v>0</v>
      </c>
      <c r="I456" t="s">
        <v>5668</v>
      </c>
      <c r="J456" t="s">
        <v>1609</v>
      </c>
      <c r="K456" t="e">
        <f>VLOOKUP('Filtered Data'!A455,'Input 1 CMDB'!A:I,9,0)</f>
        <v>#N/A</v>
      </c>
      <c r="L456">
        <f>'Filtered Data'!K455</f>
        <v>0</v>
      </c>
      <c r="M456" t="e">
        <f t="shared" si="15"/>
        <v>#VALUE!</v>
      </c>
      <c r="N456">
        <f>'Filtered Data'!P455</f>
        <v>0</v>
      </c>
      <c r="O456">
        <f>'Filtered Data'!N455</f>
        <v>0</v>
      </c>
      <c r="P456" t="s">
        <v>5669</v>
      </c>
      <c r="Q456" t="str">
        <f>IF('Filtered Data'!W455,"ITHybridCloudEngineeringOperationsMgmt@Marathonpetroleum.com","mark.newman2@dxc.com")</f>
        <v>mark.newman2@dxc.com</v>
      </c>
      <c r="R456">
        <f t="shared" si="16"/>
        <v>0</v>
      </c>
      <c r="S456" s="31" t="s">
        <v>5738</v>
      </c>
      <c r="T456" t="s">
        <v>1381</v>
      </c>
      <c r="U456">
        <f>'Filtered Data'!V455</f>
        <v>0</v>
      </c>
      <c r="V456" t="str">
        <f>IF('Filtered Data'!W455,"yes","no")</f>
        <v>no</v>
      </c>
      <c r="W456" t="s">
        <v>15</v>
      </c>
      <c r="X456">
        <f>'Filtered Data'!X455</f>
        <v>0</v>
      </c>
    </row>
    <row r="457" spans="1:24" x14ac:dyDescent="0.35">
      <c r="A457">
        <f>'Filtered Data'!A456</f>
        <v>0</v>
      </c>
      <c r="B457">
        <f>'Filtered Data'!B456</f>
        <v>0</v>
      </c>
      <c r="C457" t="s">
        <v>2</v>
      </c>
      <c r="D457" t="e">
        <f>VLOOKUP('Filtered Data'!Z456,'Data Mapping'!$A$4:$B$7,2,0)</f>
        <v>#N/A</v>
      </c>
      <c r="E457" t="e">
        <f>VLOOKUP('Filtered Data'!C456,'Data Mapping'!$E$3:$F$97,2,0)</f>
        <v>#N/A</v>
      </c>
      <c r="F457">
        <f>'Filtered Data'!D456</f>
        <v>0</v>
      </c>
      <c r="G457" t="e">
        <f>VLOOKUP('Filtered Data'!E456,'Data Mapping'!$J$3:$K$11,2,0)</f>
        <v>#N/A</v>
      </c>
      <c r="H457">
        <f>'Filtered Data'!F456</f>
        <v>0</v>
      </c>
      <c r="I457" t="s">
        <v>5668</v>
      </c>
      <c r="J457" t="s">
        <v>1609</v>
      </c>
      <c r="K457" t="e">
        <f>VLOOKUP('Filtered Data'!A456,'Input 1 CMDB'!A:I,9,0)</f>
        <v>#N/A</v>
      </c>
      <c r="L457">
        <f>'Filtered Data'!K456</f>
        <v>0</v>
      </c>
      <c r="M457" t="e">
        <f t="shared" si="15"/>
        <v>#VALUE!</v>
      </c>
      <c r="N457">
        <f>'Filtered Data'!P456</f>
        <v>0</v>
      </c>
      <c r="O457">
        <f>'Filtered Data'!N456</f>
        <v>0</v>
      </c>
      <c r="P457" t="s">
        <v>5669</v>
      </c>
      <c r="Q457" t="str">
        <f>IF('Filtered Data'!W456,"ITHybridCloudEngineeringOperationsMgmt@Marathonpetroleum.com","mark.newman2@dxc.com")</f>
        <v>mark.newman2@dxc.com</v>
      </c>
      <c r="R457">
        <f t="shared" si="16"/>
        <v>0</v>
      </c>
      <c r="S457" s="31" t="s">
        <v>5738</v>
      </c>
      <c r="T457" t="s">
        <v>1381</v>
      </c>
      <c r="U457">
        <f>'Filtered Data'!V456</f>
        <v>0</v>
      </c>
      <c r="V457" t="str">
        <f>IF('Filtered Data'!W456,"yes","no")</f>
        <v>no</v>
      </c>
      <c r="W457" t="s">
        <v>15</v>
      </c>
      <c r="X457">
        <f>'Filtered Data'!X456</f>
        <v>0</v>
      </c>
    </row>
    <row r="458" spans="1:24" x14ac:dyDescent="0.35">
      <c r="A458">
        <f>'Filtered Data'!A457</f>
        <v>0</v>
      </c>
      <c r="B458">
        <f>'Filtered Data'!B457</f>
        <v>0</v>
      </c>
      <c r="C458" t="s">
        <v>2</v>
      </c>
      <c r="D458" t="e">
        <f>VLOOKUP('Filtered Data'!Z457,'Data Mapping'!$A$4:$B$7,2,0)</f>
        <v>#N/A</v>
      </c>
      <c r="E458" t="e">
        <f>VLOOKUP('Filtered Data'!C457,'Data Mapping'!$E$3:$F$97,2,0)</f>
        <v>#N/A</v>
      </c>
      <c r="F458">
        <f>'Filtered Data'!D457</f>
        <v>0</v>
      </c>
      <c r="G458" t="e">
        <f>VLOOKUP('Filtered Data'!E457,'Data Mapping'!$J$3:$K$11,2,0)</f>
        <v>#N/A</v>
      </c>
      <c r="H458">
        <f>'Filtered Data'!F457</f>
        <v>0</v>
      </c>
      <c r="I458" t="s">
        <v>5668</v>
      </c>
      <c r="J458" t="s">
        <v>1609</v>
      </c>
      <c r="K458" t="e">
        <f>VLOOKUP('Filtered Data'!A457,'Input 1 CMDB'!A:I,9,0)</f>
        <v>#N/A</v>
      </c>
      <c r="L458">
        <f>'Filtered Data'!K457</f>
        <v>0</v>
      </c>
      <c r="M458" t="e">
        <f t="shared" si="15"/>
        <v>#VALUE!</v>
      </c>
      <c r="N458">
        <f>'Filtered Data'!P457</f>
        <v>0</v>
      </c>
      <c r="O458">
        <f>'Filtered Data'!N457</f>
        <v>0</v>
      </c>
      <c r="P458" t="s">
        <v>5669</v>
      </c>
      <c r="Q458" t="str">
        <f>IF('Filtered Data'!W457,"ITHybridCloudEngineeringOperationsMgmt@Marathonpetroleum.com","mark.newman2@dxc.com")</f>
        <v>mark.newman2@dxc.com</v>
      </c>
      <c r="R458">
        <f t="shared" si="16"/>
        <v>0</v>
      </c>
      <c r="S458" s="31" t="s">
        <v>5738</v>
      </c>
      <c r="T458" t="s">
        <v>1381</v>
      </c>
      <c r="U458">
        <f>'Filtered Data'!V457</f>
        <v>0</v>
      </c>
      <c r="V458" t="str">
        <f>IF('Filtered Data'!W457,"yes","no")</f>
        <v>no</v>
      </c>
      <c r="W458" t="s">
        <v>15</v>
      </c>
      <c r="X458">
        <f>'Filtered Data'!X457</f>
        <v>0</v>
      </c>
    </row>
    <row r="459" spans="1:24" x14ac:dyDescent="0.35">
      <c r="A459">
        <f>'Filtered Data'!A458</f>
        <v>0</v>
      </c>
      <c r="B459">
        <f>'Filtered Data'!B458</f>
        <v>0</v>
      </c>
      <c r="C459" t="s">
        <v>2</v>
      </c>
      <c r="D459" t="e">
        <f>VLOOKUP('Filtered Data'!Z458,'Data Mapping'!$A$4:$B$7,2,0)</f>
        <v>#N/A</v>
      </c>
      <c r="E459" t="e">
        <f>VLOOKUP('Filtered Data'!C458,'Data Mapping'!$E$3:$F$97,2,0)</f>
        <v>#N/A</v>
      </c>
      <c r="F459">
        <f>'Filtered Data'!D458</f>
        <v>0</v>
      </c>
      <c r="G459" t="e">
        <f>VLOOKUP('Filtered Data'!E458,'Data Mapping'!$J$3:$K$11,2,0)</f>
        <v>#N/A</v>
      </c>
      <c r="H459">
        <f>'Filtered Data'!F458</f>
        <v>0</v>
      </c>
      <c r="I459" t="s">
        <v>5668</v>
      </c>
      <c r="J459" t="s">
        <v>1609</v>
      </c>
      <c r="K459" t="e">
        <f>VLOOKUP('Filtered Data'!A458,'Input 1 CMDB'!A:I,9,0)</f>
        <v>#N/A</v>
      </c>
      <c r="L459">
        <f>'Filtered Data'!K458</f>
        <v>0</v>
      </c>
      <c r="M459" t="e">
        <f t="shared" si="15"/>
        <v>#VALUE!</v>
      </c>
      <c r="N459">
        <f>'Filtered Data'!P458</f>
        <v>0</v>
      </c>
      <c r="O459">
        <f>'Filtered Data'!N458</f>
        <v>0</v>
      </c>
      <c r="P459" t="s">
        <v>5669</v>
      </c>
      <c r="Q459" t="str">
        <f>IF('Filtered Data'!W458,"ITHybridCloudEngineeringOperationsMgmt@Marathonpetroleum.com","mark.newman2@dxc.com")</f>
        <v>mark.newman2@dxc.com</v>
      </c>
      <c r="R459">
        <f t="shared" si="16"/>
        <v>0</v>
      </c>
      <c r="S459" s="31" t="s">
        <v>5738</v>
      </c>
      <c r="T459" t="s">
        <v>1381</v>
      </c>
      <c r="U459">
        <f>'Filtered Data'!V458</f>
        <v>0</v>
      </c>
      <c r="V459" t="str">
        <f>IF('Filtered Data'!W458,"yes","no")</f>
        <v>no</v>
      </c>
      <c r="W459" t="s">
        <v>15</v>
      </c>
      <c r="X459">
        <f>'Filtered Data'!X458</f>
        <v>0</v>
      </c>
    </row>
    <row r="460" spans="1:24" x14ac:dyDescent="0.35">
      <c r="A460">
        <f>'Filtered Data'!A459</f>
        <v>0</v>
      </c>
      <c r="B460">
        <f>'Filtered Data'!B459</f>
        <v>0</v>
      </c>
      <c r="C460" t="s">
        <v>2</v>
      </c>
      <c r="D460" t="e">
        <f>VLOOKUP('Filtered Data'!Z459,'Data Mapping'!$A$4:$B$7,2,0)</f>
        <v>#N/A</v>
      </c>
      <c r="E460" t="e">
        <f>VLOOKUP('Filtered Data'!C459,'Data Mapping'!$E$3:$F$97,2,0)</f>
        <v>#N/A</v>
      </c>
      <c r="F460">
        <f>'Filtered Data'!D459</f>
        <v>0</v>
      </c>
      <c r="G460" t="e">
        <f>VLOOKUP('Filtered Data'!E459,'Data Mapping'!$J$3:$K$11,2,0)</f>
        <v>#N/A</v>
      </c>
      <c r="H460">
        <f>'Filtered Data'!F459</f>
        <v>0</v>
      </c>
      <c r="I460" t="s">
        <v>5668</v>
      </c>
      <c r="J460" t="s">
        <v>1609</v>
      </c>
      <c r="K460" t="e">
        <f>VLOOKUP('Filtered Data'!A459,'Input 1 CMDB'!A:I,9,0)</f>
        <v>#N/A</v>
      </c>
      <c r="L460">
        <f>'Filtered Data'!K459</f>
        <v>0</v>
      </c>
      <c r="M460" t="e">
        <f t="shared" si="15"/>
        <v>#VALUE!</v>
      </c>
      <c r="N460">
        <f>'Filtered Data'!P459</f>
        <v>0</v>
      </c>
      <c r="O460">
        <f>'Filtered Data'!N459</f>
        <v>0</v>
      </c>
      <c r="P460" t="s">
        <v>5669</v>
      </c>
      <c r="Q460" t="str">
        <f>IF('Filtered Data'!W459,"ITHybridCloudEngineeringOperationsMgmt@Marathonpetroleum.com","mark.newman2@dxc.com")</f>
        <v>mark.newman2@dxc.com</v>
      </c>
      <c r="R460">
        <f t="shared" si="16"/>
        <v>0</v>
      </c>
      <c r="S460" s="31" t="s">
        <v>5738</v>
      </c>
      <c r="T460" t="s">
        <v>1381</v>
      </c>
      <c r="U460">
        <f>'Filtered Data'!V459</f>
        <v>0</v>
      </c>
      <c r="V460" t="str">
        <f>IF('Filtered Data'!W459,"yes","no")</f>
        <v>no</v>
      </c>
      <c r="W460" t="s">
        <v>15</v>
      </c>
      <c r="X460">
        <f>'Filtered Data'!X459</f>
        <v>0</v>
      </c>
    </row>
    <row r="461" spans="1:24" x14ac:dyDescent="0.35">
      <c r="A461">
        <f>'Filtered Data'!A460</f>
        <v>0</v>
      </c>
      <c r="B461">
        <f>'Filtered Data'!B460</f>
        <v>0</v>
      </c>
      <c r="C461" t="s">
        <v>2</v>
      </c>
      <c r="D461" t="e">
        <f>VLOOKUP('Filtered Data'!Z460,'Data Mapping'!$A$4:$B$7,2,0)</f>
        <v>#N/A</v>
      </c>
      <c r="E461" t="e">
        <f>VLOOKUP('Filtered Data'!C460,'Data Mapping'!$E$3:$F$97,2,0)</f>
        <v>#N/A</v>
      </c>
      <c r="F461">
        <f>'Filtered Data'!D460</f>
        <v>0</v>
      </c>
      <c r="G461" t="e">
        <f>VLOOKUP('Filtered Data'!E460,'Data Mapping'!$J$3:$K$11,2,0)</f>
        <v>#N/A</v>
      </c>
      <c r="H461">
        <f>'Filtered Data'!F460</f>
        <v>0</v>
      </c>
      <c r="I461" t="s">
        <v>5668</v>
      </c>
      <c r="J461" t="s">
        <v>1609</v>
      </c>
      <c r="K461" t="e">
        <f>VLOOKUP('Filtered Data'!A460,'Input 1 CMDB'!A:I,9,0)</f>
        <v>#N/A</v>
      </c>
      <c r="L461">
        <f>'Filtered Data'!K460</f>
        <v>0</v>
      </c>
      <c r="M461" t="e">
        <f t="shared" si="15"/>
        <v>#VALUE!</v>
      </c>
      <c r="N461">
        <f>'Filtered Data'!P460</f>
        <v>0</v>
      </c>
      <c r="O461">
        <f>'Filtered Data'!N460</f>
        <v>0</v>
      </c>
      <c r="P461" t="s">
        <v>5669</v>
      </c>
      <c r="Q461" t="str">
        <f>IF('Filtered Data'!W460,"ITHybridCloudEngineeringOperationsMgmt@Marathonpetroleum.com","mark.newman2@dxc.com")</f>
        <v>mark.newman2@dxc.com</v>
      </c>
      <c r="R461">
        <f t="shared" si="16"/>
        <v>0</v>
      </c>
      <c r="S461" s="31" t="s">
        <v>5738</v>
      </c>
      <c r="T461" t="s">
        <v>1381</v>
      </c>
      <c r="U461">
        <f>'Filtered Data'!V460</f>
        <v>0</v>
      </c>
      <c r="V461" t="str">
        <f>IF('Filtered Data'!W460,"yes","no")</f>
        <v>no</v>
      </c>
      <c r="W461" t="s">
        <v>15</v>
      </c>
      <c r="X461">
        <f>'Filtered Data'!X460</f>
        <v>0</v>
      </c>
    </row>
    <row r="462" spans="1:24" x14ac:dyDescent="0.35">
      <c r="A462">
        <f>'Filtered Data'!A461</f>
        <v>0</v>
      </c>
      <c r="B462">
        <f>'Filtered Data'!B461</f>
        <v>0</v>
      </c>
      <c r="C462" t="s">
        <v>2</v>
      </c>
      <c r="D462" t="e">
        <f>VLOOKUP('Filtered Data'!Z461,'Data Mapping'!$A$4:$B$7,2,0)</f>
        <v>#N/A</v>
      </c>
      <c r="E462" t="e">
        <f>VLOOKUP('Filtered Data'!C461,'Data Mapping'!$E$3:$F$97,2,0)</f>
        <v>#N/A</v>
      </c>
      <c r="F462">
        <f>'Filtered Data'!D461</f>
        <v>0</v>
      </c>
      <c r="G462" t="e">
        <f>VLOOKUP('Filtered Data'!E461,'Data Mapping'!$J$3:$K$11,2,0)</f>
        <v>#N/A</v>
      </c>
      <c r="H462">
        <f>'Filtered Data'!F461</f>
        <v>0</v>
      </c>
      <c r="I462" t="s">
        <v>5668</v>
      </c>
      <c r="J462" t="s">
        <v>1609</v>
      </c>
      <c r="K462" t="e">
        <f>VLOOKUP('Filtered Data'!A461,'Input 1 CMDB'!A:I,9,0)</f>
        <v>#N/A</v>
      </c>
      <c r="L462">
        <f>'Filtered Data'!K461</f>
        <v>0</v>
      </c>
      <c r="M462" t="e">
        <f t="shared" si="15"/>
        <v>#VALUE!</v>
      </c>
      <c r="N462">
        <f>'Filtered Data'!P461</f>
        <v>0</v>
      </c>
      <c r="O462">
        <f>'Filtered Data'!N461</f>
        <v>0</v>
      </c>
      <c r="P462" t="s">
        <v>5669</v>
      </c>
      <c r="Q462" t="str">
        <f>IF('Filtered Data'!W461,"ITHybridCloudEngineeringOperationsMgmt@Marathonpetroleum.com","mark.newman2@dxc.com")</f>
        <v>mark.newman2@dxc.com</v>
      </c>
      <c r="R462">
        <f t="shared" si="16"/>
        <v>0</v>
      </c>
      <c r="S462" s="31" t="s">
        <v>5738</v>
      </c>
      <c r="T462" t="s">
        <v>1381</v>
      </c>
      <c r="U462">
        <f>'Filtered Data'!V461</f>
        <v>0</v>
      </c>
      <c r="V462" t="str">
        <f>IF('Filtered Data'!W461,"yes","no")</f>
        <v>no</v>
      </c>
      <c r="W462" t="s">
        <v>15</v>
      </c>
      <c r="X462">
        <f>'Filtered Data'!X461</f>
        <v>0</v>
      </c>
    </row>
    <row r="463" spans="1:24" x14ac:dyDescent="0.35">
      <c r="A463">
        <f>'Filtered Data'!A462</f>
        <v>0</v>
      </c>
      <c r="B463">
        <f>'Filtered Data'!B462</f>
        <v>0</v>
      </c>
      <c r="C463" t="s">
        <v>2</v>
      </c>
      <c r="D463" t="e">
        <f>VLOOKUP('Filtered Data'!Z462,'Data Mapping'!$A$4:$B$7,2,0)</f>
        <v>#N/A</v>
      </c>
      <c r="E463" t="e">
        <f>VLOOKUP('Filtered Data'!C462,'Data Mapping'!$E$3:$F$97,2,0)</f>
        <v>#N/A</v>
      </c>
      <c r="F463">
        <f>'Filtered Data'!D462</f>
        <v>0</v>
      </c>
      <c r="G463" t="e">
        <f>VLOOKUP('Filtered Data'!E462,'Data Mapping'!$J$3:$K$11,2,0)</f>
        <v>#N/A</v>
      </c>
      <c r="H463">
        <f>'Filtered Data'!F462</f>
        <v>0</v>
      </c>
      <c r="I463" t="s">
        <v>5668</v>
      </c>
      <c r="J463" t="s">
        <v>1609</v>
      </c>
      <c r="K463" t="e">
        <f>VLOOKUP('Filtered Data'!A462,'Input 1 CMDB'!A:I,9,0)</f>
        <v>#N/A</v>
      </c>
      <c r="L463">
        <f>'Filtered Data'!K462</f>
        <v>0</v>
      </c>
      <c r="M463" t="e">
        <f t="shared" si="15"/>
        <v>#VALUE!</v>
      </c>
      <c r="N463">
        <f>'Filtered Data'!P462</f>
        <v>0</v>
      </c>
      <c r="O463">
        <f>'Filtered Data'!N462</f>
        <v>0</v>
      </c>
      <c r="P463" t="s">
        <v>5669</v>
      </c>
      <c r="Q463" t="str">
        <f>IF('Filtered Data'!W462,"ITHybridCloudEngineeringOperationsMgmt@Marathonpetroleum.com","mark.newman2@dxc.com")</f>
        <v>mark.newman2@dxc.com</v>
      </c>
      <c r="R463">
        <f t="shared" si="16"/>
        <v>0</v>
      </c>
      <c r="S463" s="31" t="s">
        <v>5738</v>
      </c>
      <c r="T463" t="s">
        <v>1381</v>
      </c>
      <c r="U463">
        <f>'Filtered Data'!V462</f>
        <v>0</v>
      </c>
      <c r="V463" t="str">
        <f>IF('Filtered Data'!W462,"yes","no")</f>
        <v>no</v>
      </c>
      <c r="W463" t="s">
        <v>15</v>
      </c>
      <c r="X463">
        <f>'Filtered Data'!X462</f>
        <v>0</v>
      </c>
    </row>
    <row r="464" spans="1:24" x14ac:dyDescent="0.35">
      <c r="A464">
        <f>'Filtered Data'!A463</f>
        <v>0</v>
      </c>
      <c r="B464">
        <f>'Filtered Data'!B463</f>
        <v>0</v>
      </c>
      <c r="C464" t="s">
        <v>2</v>
      </c>
      <c r="D464" t="e">
        <f>VLOOKUP('Filtered Data'!Z463,'Data Mapping'!$A$4:$B$7,2,0)</f>
        <v>#N/A</v>
      </c>
      <c r="E464" t="e">
        <f>VLOOKUP('Filtered Data'!C463,'Data Mapping'!$E$3:$F$97,2,0)</f>
        <v>#N/A</v>
      </c>
      <c r="F464">
        <f>'Filtered Data'!D463</f>
        <v>0</v>
      </c>
      <c r="G464" t="e">
        <f>VLOOKUP('Filtered Data'!E463,'Data Mapping'!$J$3:$K$11,2,0)</f>
        <v>#N/A</v>
      </c>
      <c r="H464">
        <f>'Filtered Data'!F463</f>
        <v>0</v>
      </c>
      <c r="I464" t="s">
        <v>5668</v>
      </c>
      <c r="J464" t="s">
        <v>1609</v>
      </c>
      <c r="K464" t="e">
        <f>VLOOKUP('Filtered Data'!A463,'Input 1 CMDB'!A:I,9,0)</f>
        <v>#N/A</v>
      </c>
      <c r="L464">
        <f>'Filtered Data'!K463</f>
        <v>0</v>
      </c>
      <c r="M464" t="e">
        <f t="shared" si="15"/>
        <v>#VALUE!</v>
      </c>
      <c r="N464">
        <f>'Filtered Data'!P463</f>
        <v>0</v>
      </c>
      <c r="O464">
        <f>'Filtered Data'!N463</f>
        <v>0</v>
      </c>
      <c r="P464" t="s">
        <v>5669</v>
      </c>
      <c r="Q464" t="str">
        <f>IF('Filtered Data'!W463,"ITHybridCloudEngineeringOperationsMgmt@Marathonpetroleum.com","mark.newman2@dxc.com")</f>
        <v>mark.newman2@dxc.com</v>
      </c>
      <c r="R464">
        <f t="shared" si="16"/>
        <v>0</v>
      </c>
      <c r="S464" s="31" t="s">
        <v>5738</v>
      </c>
      <c r="T464" t="s">
        <v>1381</v>
      </c>
      <c r="U464">
        <f>'Filtered Data'!V463</f>
        <v>0</v>
      </c>
      <c r="V464" t="str">
        <f>IF('Filtered Data'!W463,"yes","no")</f>
        <v>no</v>
      </c>
      <c r="W464" t="s">
        <v>15</v>
      </c>
      <c r="X464">
        <f>'Filtered Data'!X463</f>
        <v>0</v>
      </c>
    </row>
    <row r="465" spans="1:24" x14ac:dyDescent="0.35">
      <c r="A465">
        <f>'Filtered Data'!A464</f>
        <v>0</v>
      </c>
      <c r="B465">
        <f>'Filtered Data'!B464</f>
        <v>0</v>
      </c>
      <c r="C465" t="s">
        <v>2</v>
      </c>
      <c r="D465" t="e">
        <f>VLOOKUP('Filtered Data'!Z464,'Data Mapping'!$A$4:$B$7,2,0)</f>
        <v>#N/A</v>
      </c>
      <c r="E465" t="e">
        <f>VLOOKUP('Filtered Data'!C464,'Data Mapping'!$E$3:$F$97,2,0)</f>
        <v>#N/A</v>
      </c>
      <c r="F465">
        <f>'Filtered Data'!D464</f>
        <v>0</v>
      </c>
      <c r="G465" t="e">
        <f>VLOOKUP('Filtered Data'!E464,'Data Mapping'!$J$3:$K$11,2,0)</f>
        <v>#N/A</v>
      </c>
      <c r="H465">
        <f>'Filtered Data'!F464</f>
        <v>0</v>
      </c>
      <c r="I465" t="s">
        <v>5668</v>
      </c>
      <c r="J465" t="s">
        <v>1609</v>
      </c>
      <c r="K465" t="e">
        <f>VLOOKUP('Filtered Data'!A464,'Input 1 CMDB'!A:I,9,0)</f>
        <v>#N/A</v>
      </c>
      <c r="L465">
        <f>'Filtered Data'!K464</f>
        <v>0</v>
      </c>
      <c r="M465" t="e">
        <f t="shared" si="15"/>
        <v>#VALUE!</v>
      </c>
      <c r="N465">
        <f>'Filtered Data'!P464</f>
        <v>0</v>
      </c>
      <c r="O465">
        <f>'Filtered Data'!N464</f>
        <v>0</v>
      </c>
      <c r="P465" t="s">
        <v>5669</v>
      </c>
      <c r="Q465" t="str">
        <f>IF('Filtered Data'!W464,"ITHybridCloudEngineeringOperationsMgmt@Marathonpetroleum.com","mark.newman2@dxc.com")</f>
        <v>mark.newman2@dxc.com</v>
      </c>
      <c r="R465">
        <f t="shared" si="16"/>
        <v>0</v>
      </c>
      <c r="S465" s="31" t="s">
        <v>5738</v>
      </c>
      <c r="T465" t="s">
        <v>1381</v>
      </c>
      <c r="U465">
        <f>'Filtered Data'!V464</f>
        <v>0</v>
      </c>
      <c r="V465" t="str">
        <f>IF('Filtered Data'!W464,"yes","no")</f>
        <v>no</v>
      </c>
      <c r="W465" t="s">
        <v>15</v>
      </c>
      <c r="X465">
        <f>'Filtered Data'!X464</f>
        <v>0</v>
      </c>
    </row>
    <row r="466" spans="1:24" x14ac:dyDescent="0.35">
      <c r="A466">
        <f>'Filtered Data'!A465</f>
        <v>0</v>
      </c>
      <c r="B466">
        <f>'Filtered Data'!B465</f>
        <v>0</v>
      </c>
      <c r="C466" t="s">
        <v>2</v>
      </c>
      <c r="D466" t="e">
        <f>VLOOKUP('Filtered Data'!Z465,'Data Mapping'!$A$4:$B$7,2,0)</f>
        <v>#N/A</v>
      </c>
      <c r="E466" t="e">
        <f>VLOOKUP('Filtered Data'!C465,'Data Mapping'!$E$3:$F$97,2,0)</f>
        <v>#N/A</v>
      </c>
      <c r="F466">
        <f>'Filtered Data'!D465</f>
        <v>0</v>
      </c>
      <c r="G466" t="e">
        <f>VLOOKUP('Filtered Data'!E465,'Data Mapping'!$J$3:$K$11,2,0)</f>
        <v>#N/A</v>
      </c>
      <c r="H466">
        <f>'Filtered Data'!F465</f>
        <v>0</v>
      </c>
      <c r="I466" t="s">
        <v>5668</v>
      </c>
      <c r="J466" t="s">
        <v>1609</v>
      </c>
      <c r="K466" t="e">
        <f>VLOOKUP('Filtered Data'!A465,'Input 1 CMDB'!A:I,9,0)</f>
        <v>#N/A</v>
      </c>
      <c r="L466">
        <f>'Filtered Data'!K465</f>
        <v>0</v>
      </c>
      <c r="M466" t="e">
        <f t="shared" si="15"/>
        <v>#VALUE!</v>
      </c>
      <c r="N466">
        <f>'Filtered Data'!P465</f>
        <v>0</v>
      </c>
      <c r="O466">
        <f>'Filtered Data'!N465</f>
        <v>0</v>
      </c>
      <c r="P466" t="s">
        <v>5669</v>
      </c>
      <c r="Q466" t="str">
        <f>IF('Filtered Data'!W465,"ITHybridCloudEngineeringOperationsMgmt@Marathonpetroleum.com","mark.newman2@dxc.com")</f>
        <v>mark.newman2@dxc.com</v>
      </c>
      <c r="R466">
        <f t="shared" si="16"/>
        <v>0</v>
      </c>
      <c r="S466" s="31" t="s">
        <v>5738</v>
      </c>
      <c r="T466" t="s">
        <v>1381</v>
      </c>
      <c r="U466">
        <f>'Filtered Data'!V465</f>
        <v>0</v>
      </c>
      <c r="V466" t="str">
        <f>IF('Filtered Data'!W465,"yes","no")</f>
        <v>no</v>
      </c>
      <c r="W466" t="s">
        <v>15</v>
      </c>
      <c r="X466">
        <f>'Filtered Data'!X465</f>
        <v>0</v>
      </c>
    </row>
    <row r="467" spans="1:24" x14ac:dyDescent="0.35">
      <c r="A467">
        <f>'Filtered Data'!A466</f>
        <v>0</v>
      </c>
      <c r="B467">
        <f>'Filtered Data'!B466</f>
        <v>0</v>
      </c>
      <c r="C467" t="s">
        <v>2</v>
      </c>
      <c r="D467" t="e">
        <f>VLOOKUP('Filtered Data'!Z466,'Data Mapping'!$A$4:$B$7,2,0)</f>
        <v>#N/A</v>
      </c>
      <c r="E467" t="e">
        <f>VLOOKUP('Filtered Data'!C466,'Data Mapping'!$E$3:$F$97,2,0)</f>
        <v>#N/A</v>
      </c>
      <c r="F467">
        <f>'Filtered Data'!D466</f>
        <v>0</v>
      </c>
      <c r="G467" t="e">
        <f>VLOOKUP('Filtered Data'!E466,'Data Mapping'!$J$3:$K$11,2,0)</f>
        <v>#N/A</v>
      </c>
      <c r="H467">
        <f>'Filtered Data'!F466</f>
        <v>0</v>
      </c>
      <c r="I467" t="s">
        <v>5668</v>
      </c>
      <c r="J467" t="s">
        <v>1609</v>
      </c>
      <c r="K467" t="e">
        <f>VLOOKUP('Filtered Data'!A466,'Input 1 CMDB'!A:I,9,0)</f>
        <v>#N/A</v>
      </c>
      <c r="L467">
        <f>'Filtered Data'!K466</f>
        <v>0</v>
      </c>
      <c r="M467" t="e">
        <f t="shared" si="15"/>
        <v>#VALUE!</v>
      </c>
      <c r="N467">
        <f>'Filtered Data'!P466</f>
        <v>0</v>
      </c>
      <c r="O467">
        <f>'Filtered Data'!N466</f>
        <v>0</v>
      </c>
      <c r="P467" t="s">
        <v>5669</v>
      </c>
      <c r="Q467" t="str">
        <f>IF('Filtered Data'!W466,"ITHybridCloudEngineeringOperationsMgmt@Marathonpetroleum.com","mark.newman2@dxc.com")</f>
        <v>mark.newman2@dxc.com</v>
      </c>
      <c r="R467">
        <f t="shared" si="16"/>
        <v>0</v>
      </c>
      <c r="S467" s="31" t="s">
        <v>5738</v>
      </c>
      <c r="T467" t="s">
        <v>1381</v>
      </c>
      <c r="U467">
        <f>'Filtered Data'!V466</f>
        <v>0</v>
      </c>
      <c r="V467" t="str">
        <f>IF('Filtered Data'!W466,"yes","no")</f>
        <v>no</v>
      </c>
      <c r="W467" t="s">
        <v>15</v>
      </c>
      <c r="X467">
        <f>'Filtered Data'!X466</f>
        <v>0</v>
      </c>
    </row>
    <row r="468" spans="1:24" x14ac:dyDescent="0.35">
      <c r="A468">
        <f>'Filtered Data'!A467</f>
        <v>0</v>
      </c>
      <c r="B468">
        <f>'Filtered Data'!B467</f>
        <v>0</v>
      </c>
      <c r="C468" t="s">
        <v>2</v>
      </c>
      <c r="D468" t="e">
        <f>VLOOKUP('Filtered Data'!Z467,'Data Mapping'!$A$4:$B$7,2,0)</f>
        <v>#N/A</v>
      </c>
      <c r="E468" t="e">
        <f>VLOOKUP('Filtered Data'!C467,'Data Mapping'!$E$3:$F$97,2,0)</f>
        <v>#N/A</v>
      </c>
      <c r="F468">
        <f>'Filtered Data'!D467</f>
        <v>0</v>
      </c>
      <c r="G468" t="e">
        <f>VLOOKUP('Filtered Data'!E467,'Data Mapping'!$J$3:$K$11,2,0)</f>
        <v>#N/A</v>
      </c>
      <c r="H468">
        <f>'Filtered Data'!F467</f>
        <v>0</v>
      </c>
      <c r="I468" t="s">
        <v>5668</v>
      </c>
      <c r="J468" t="s">
        <v>1609</v>
      </c>
      <c r="K468" t="e">
        <f>VLOOKUP('Filtered Data'!A467,'Input 1 CMDB'!A:I,9,0)</f>
        <v>#N/A</v>
      </c>
      <c r="L468">
        <f>'Filtered Data'!K467</f>
        <v>0</v>
      </c>
      <c r="M468" t="e">
        <f t="shared" si="15"/>
        <v>#VALUE!</v>
      </c>
      <c r="N468">
        <f>'Filtered Data'!P467</f>
        <v>0</v>
      </c>
      <c r="O468">
        <f>'Filtered Data'!N467</f>
        <v>0</v>
      </c>
      <c r="P468" t="s">
        <v>5669</v>
      </c>
      <c r="Q468" t="str">
        <f>IF('Filtered Data'!W467,"ITHybridCloudEngineeringOperationsMgmt@Marathonpetroleum.com","mark.newman2@dxc.com")</f>
        <v>mark.newman2@dxc.com</v>
      </c>
      <c r="R468">
        <f t="shared" si="16"/>
        <v>0</v>
      </c>
      <c r="S468" s="31" t="s">
        <v>5738</v>
      </c>
      <c r="T468" t="s">
        <v>1381</v>
      </c>
      <c r="U468">
        <f>'Filtered Data'!V467</f>
        <v>0</v>
      </c>
      <c r="V468" t="str">
        <f>IF('Filtered Data'!W467,"yes","no")</f>
        <v>no</v>
      </c>
      <c r="W468" t="s">
        <v>15</v>
      </c>
      <c r="X468">
        <f>'Filtered Data'!X467</f>
        <v>0</v>
      </c>
    </row>
    <row r="469" spans="1:24" x14ac:dyDescent="0.35">
      <c r="A469">
        <f>'Filtered Data'!A468</f>
        <v>0</v>
      </c>
      <c r="B469">
        <f>'Filtered Data'!B468</f>
        <v>0</v>
      </c>
      <c r="C469" t="s">
        <v>2</v>
      </c>
      <c r="D469" t="e">
        <f>VLOOKUP('Filtered Data'!Z468,'Data Mapping'!$A$4:$B$7,2,0)</f>
        <v>#N/A</v>
      </c>
      <c r="E469" t="e">
        <f>VLOOKUP('Filtered Data'!C468,'Data Mapping'!$E$3:$F$97,2,0)</f>
        <v>#N/A</v>
      </c>
      <c r="F469">
        <f>'Filtered Data'!D468</f>
        <v>0</v>
      </c>
      <c r="G469" t="e">
        <f>VLOOKUP('Filtered Data'!E468,'Data Mapping'!$J$3:$K$11,2,0)</f>
        <v>#N/A</v>
      </c>
      <c r="H469">
        <f>'Filtered Data'!F468</f>
        <v>0</v>
      </c>
      <c r="I469" t="s">
        <v>5668</v>
      </c>
      <c r="J469" t="s">
        <v>1609</v>
      </c>
      <c r="K469" t="e">
        <f>VLOOKUP('Filtered Data'!A468,'Input 1 CMDB'!A:I,9,0)</f>
        <v>#N/A</v>
      </c>
      <c r="L469">
        <f>'Filtered Data'!K468</f>
        <v>0</v>
      </c>
      <c r="M469" t="e">
        <f t="shared" si="15"/>
        <v>#VALUE!</v>
      </c>
      <c r="N469">
        <f>'Filtered Data'!P468</f>
        <v>0</v>
      </c>
      <c r="O469">
        <f>'Filtered Data'!N468</f>
        <v>0</v>
      </c>
      <c r="P469" t="s">
        <v>5669</v>
      </c>
      <c r="Q469" t="str">
        <f>IF('Filtered Data'!W468,"ITHybridCloudEngineeringOperationsMgmt@Marathonpetroleum.com","mark.newman2@dxc.com")</f>
        <v>mark.newman2@dxc.com</v>
      </c>
      <c r="R469">
        <f t="shared" si="16"/>
        <v>0</v>
      </c>
      <c r="S469" s="31" t="s">
        <v>5738</v>
      </c>
      <c r="T469" t="s">
        <v>1381</v>
      </c>
      <c r="U469">
        <f>'Filtered Data'!V468</f>
        <v>0</v>
      </c>
      <c r="V469" t="str">
        <f>IF('Filtered Data'!W468,"yes","no")</f>
        <v>no</v>
      </c>
      <c r="W469" t="s">
        <v>15</v>
      </c>
      <c r="X469">
        <f>'Filtered Data'!X468</f>
        <v>0</v>
      </c>
    </row>
    <row r="470" spans="1:24" x14ac:dyDescent="0.35">
      <c r="A470">
        <f>'Filtered Data'!A469</f>
        <v>0</v>
      </c>
      <c r="B470">
        <f>'Filtered Data'!B469</f>
        <v>0</v>
      </c>
      <c r="C470" t="s">
        <v>2</v>
      </c>
      <c r="D470" t="e">
        <f>VLOOKUP('Filtered Data'!Z469,'Data Mapping'!$A$4:$B$7,2,0)</f>
        <v>#N/A</v>
      </c>
      <c r="E470" t="e">
        <f>VLOOKUP('Filtered Data'!C469,'Data Mapping'!$E$3:$F$97,2,0)</f>
        <v>#N/A</v>
      </c>
      <c r="F470">
        <f>'Filtered Data'!D469</f>
        <v>0</v>
      </c>
      <c r="G470" t="e">
        <f>VLOOKUP('Filtered Data'!E469,'Data Mapping'!$J$3:$K$11,2,0)</f>
        <v>#N/A</v>
      </c>
      <c r="H470">
        <f>'Filtered Data'!F469</f>
        <v>0</v>
      </c>
      <c r="I470" t="s">
        <v>5668</v>
      </c>
      <c r="J470" t="s">
        <v>1609</v>
      </c>
      <c r="K470" t="e">
        <f>VLOOKUP('Filtered Data'!A469,'Input 1 CMDB'!A:I,9,0)</f>
        <v>#N/A</v>
      </c>
      <c r="L470">
        <f>'Filtered Data'!K469</f>
        <v>0</v>
      </c>
      <c r="M470" t="e">
        <f t="shared" si="15"/>
        <v>#VALUE!</v>
      </c>
      <c r="N470">
        <f>'Filtered Data'!P469</f>
        <v>0</v>
      </c>
      <c r="O470">
        <f>'Filtered Data'!N469</f>
        <v>0</v>
      </c>
      <c r="P470" t="s">
        <v>5669</v>
      </c>
      <c r="Q470" t="str">
        <f>IF('Filtered Data'!W469,"ITHybridCloudEngineeringOperationsMgmt@Marathonpetroleum.com","mark.newman2@dxc.com")</f>
        <v>mark.newman2@dxc.com</v>
      </c>
      <c r="R470">
        <f t="shared" si="16"/>
        <v>0</v>
      </c>
      <c r="S470" s="31" t="s">
        <v>5738</v>
      </c>
      <c r="T470" t="s">
        <v>1381</v>
      </c>
      <c r="U470">
        <f>'Filtered Data'!V469</f>
        <v>0</v>
      </c>
      <c r="V470" t="str">
        <f>IF('Filtered Data'!W469,"yes","no")</f>
        <v>no</v>
      </c>
      <c r="W470" t="s">
        <v>15</v>
      </c>
      <c r="X470">
        <f>'Filtered Data'!X469</f>
        <v>0</v>
      </c>
    </row>
    <row r="471" spans="1:24" x14ac:dyDescent="0.35">
      <c r="A471">
        <f>'Filtered Data'!A470</f>
        <v>0</v>
      </c>
      <c r="B471">
        <f>'Filtered Data'!B470</f>
        <v>0</v>
      </c>
      <c r="C471" t="s">
        <v>2</v>
      </c>
      <c r="D471" t="e">
        <f>VLOOKUP('Filtered Data'!Z470,'Data Mapping'!$A$4:$B$7,2,0)</f>
        <v>#N/A</v>
      </c>
      <c r="E471" t="e">
        <f>VLOOKUP('Filtered Data'!C470,'Data Mapping'!$E$3:$F$97,2,0)</f>
        <v>#N/A</v>
      </c>
      <c r="F471">
        <f>'Filtered Data'!D470</f>
        <v>0</v>
      </c>
      <c r="G471" t="e">
        <f>VLOOKUP('Filtered Data'!E470,'Data Mapping'!$J$3:$K$11,2,0)</f>
        <v>#N/A</v>
      </c>
      <c r="H471">
        <f>'Filtered Data'!F470</f>
        <v>0</v>
      </c>
      <c r="I471" t="s">
        <v>5668</v>
      </c>
      <c r="J471" t="s">
        <v>1609</v>
      </c>
      <c r="K471" t="e">
        <f>VLOOKUP('Filtered Data'!A470,'Input 1 CMDB'!A:I,9,0)</f>
        <v>#N/A</v>
      </c>
      <c r="L471">
        <f>'Filtered Data'!K470</f>
        <v>0</v>
      </c>
      <c r="M471" t="e">
        <f t="shared" si="15"/>
        <v>#VALUE!</v>
      </c>
      <c r="N471">
        <f>'Filtered Data'!P470</f>
        <v>0</v>
      </c>
      <c r="O471">
        <f>'Filtered Data'!N470</f>
        <v>0</v>
      </c>
      <c r="P471" t="s">
        <v>5669</v>
      </c>
      <c r="Q471" t="str">
        <f>IF('Filtered Data'!W470,"ITHybridCloudEngineeringOperationsMgmt@Marathonpetroleum.com","mark.newman2@dxc.com")</f>
        <v>mark.newman2@dxc.com</v>
      </c>
      <c r="R471">
        <f t="shared" si="16"/>
        <v>0</v>
      </c>
      <c r="S471" s="31" t="s">
        <v>5738</v>
      </c>
      <c r="T471" t="s">
        <v>1381</v>
      </c>
      <c r="U471">
        <f>'Filtered Data'!V470</f>
        <v>0</v>
      </c>
      <c r="V471" t="str">
        <f>IF('Filtered Data'!W470,"yes","no")</f>
        <v>no</v>
      </c>
      <c r="W471" t="s">
        <v>15</v>
      </c>
      <c r="X471">
        <f>'Filtered Data'!X470</f>
        <v>0</v>
      </c>
    </row>
    <row r="472" spans="1:24" x14ac:dyDescent="0.35">
      <c r="A472">
        <f>'Filtered Data'!A471</f>
        <v>0</v>
      </c>
      <c r="B472">
        <f>'Filtered Data'!B471</f>
        <v>0</v>
      </c>
      <c r="C472" t="s">
        <v>2</v>
      </c>
      <c r="D472" t="e">
        <f>VLOOKUP('Filtered Data'!Z471,'Data Mapping'!$A$4:$B$7,2,0)</f>
        <v>#N/A</v>
      </c>
      <c r="E472" t="e">
        <f>VLOOKUP('Filtered Data'!C471,'Data Mapping'!$E$3:$F$97,2,0)</f>
        <v>#N/A</v>
      </c>
      <c r="F472">
        <f>'Filtered Data'!D471</f>
        <v>0</v>
      </c>
      <c r="G472" t="e">
        <f>VLOOKUP('Filtered Data'!E471,'Data Mapping'!$J$3:$K$11,2,0)</f>
        <v>#N/A</v>
      </c>
      <c r="H472">
        <f>'Filtered Data'!F471</f>
        <v>0</v>
      </c>
      <c r="I472" t="s">
        <v>5668</v>
      </c>
      <c r="J472" t="s">
        <v>1609</v>
      </c>
      <c r="K472" t="e">
        <f>VLOOKUP('Filtered Data'!A471,'Input 1 CMDB'!A:I,9,0)</f>
        <v>#N/A</v>
      </c>
      <c r="L472">
        <f>'Filtered Data'!K471</f>
        <v>0</v>
      </c>
      <c r="M472" t="e">
        <f t="shared" si="15"/>
        <v>#VALUE!</v>
      </c>
      <c r="N472">
        <f>'Filtered Data'!P471</f>
        <v>0</v>
      </c>
      <c r="O472">
        <f>'Filtered Data'!N471</f>
        <v>0</v>
      </c>
      <c r="P472" t="s">
        <v>5669</v>
      </c>
      <c r="Q472" t="str">
        <f>IF('Filtered Data'!W471,"ITHybridCloudEngineeringOperationsMgmt@Marathonpetroleum.com","mark.newman2@dxc.com")</f>
        <v>mark.newman2@dxc.com</v>
      </c>
      <c r="R472">
        <f t="shared" si="16"/>
        <v>0</v>
      </c>
      <c r="S472" s="31" t="s">
        <v>5738</v>
      </c>
      <c r="T472" t="s">
        <v>1381</v>
      </c>
      <c r="U472">
        <f>'Filtered Data'!V471</f>
        <v>0</v>
      </c>
      <c r="V472" t="str">
        <f>IF('Filtered Data'!W471,"yes","no")</f>
        <v>no</v>
      </c>
      <c r="W472" t="s">
        <v>15</v>
      </c>
      <c r="X472">
        <f>'Filtered Data'!X471</f>
        <v>0</v>
      </c>
    </row>
    <row r="473" spans="1:24" x14ac:dyDescent="0.35">
      <c r="A473">
        <f>'Filtered Data'!A472</f>
        <v>0</v>
      </c>
      <c r="B473">
        <f>'Filtered Data'!B472</f>
        <v>0</v>
      </c>
      <c r="C473" t="s">
        <v>2</v>
      </c>
      <c r="D473" t="e">
        <f>VLOOKUP('Filtered Data'!Z472,'Data Mapping'!$A$4:$B$7,2,0)</f>
        <v>#N/A</v>
      </c>
      <c r="E473" t="e">
        <f>VLOOKUP('Filtered Data'!C472,'Data Mapping'!$E$3:$F$97,2,0)</f>
        <v>#N/A</v>
      </c>
      <c r="F473">
        <f>'Filtered Data'!D472</f>
        <v>0</v>
      </c>
      <c r="G473" t="e">
        <f>VLOOKUP('Filtered Data'!E472,'Data Mapping'!$J$3:$K$11,2,0)</f>
        <v>#N/A</v>
      </c>
      <c r="H473">
        <f>'Filtered Data'!F472</f>
        <v>0</v>
      </c>
      <c r="I473" t="s">
        <v>5668</v>
      </c>
      <c r="J473" t="s">
        <v>1609</v>
      </c>
      <c r="K473" t="e">
        <f>VLOOKUP('Filtered Data'!A472,'Input 1 CMDB'!A:I,9,0)</f>
        <v>#N/A</v>
      </c>
      <c r="L473">
        <f>'Filtered Data'!K472</f>
        <v>0</v>
      </c>
      <c r="M473" t="e">
        <f t="shared" si="15"/>
        <v>#VALUE!</v>
      </c>
      <c r="N473">
        <f>'Filtered Data'!P472</f>
        <v>0</v>
      </c>
      <c r="O473">
        <f>'Filtered Data'!N472</f>
        <v>0</v>
      </c>
      <c r="P473" t="s">
        <v>5669</v>
      </c>
      <c r="Q473" t="str">
        <f>IF('Filtered Data'!W472,"ITHybridCloudEngineeringOperationsMgmt@Marathonpetroleum.com","mark.newman2@dxc.com")</f>
        <v>mark.newman2@dxc.com</v>
      </c>
      <c r="R473">
        <f t="shared" si="16"/>
        <v>0</v>
      </c>
      <c r="S473" s="31" t="s">
        <v>5738</v>
      </c>
      <c r="T473" t="s">
        <v>1381</v>
      </c>
      <c r="U473">
        <f>'Filtered Data'!V472</f>
        <v>0</v>
      </c>
      <c r="V473" t="str">
        <f>IF('Filtered Data'!W472,"yes","no")</f>
        <v>no</v>
      </c>
      <c r="W473" t="s">
        <v>15</v>
      </c>
      <c r="X473">
        <f>'Filtered Data'!X472</f>
        <v>0</v>
      </c>
    </row>
    <row r="474" spans="1:24" x14ac:dyDescent="0.35">
      <c r="A474">
        <f>'Filtered Data'!A473</f>
        <v>0</v>
      </c>
      <c r="B474">
        <f>'Filtered Data'!B473</f>
        <v>0</v>
      </c>
      <c r="C474" t="s">
        <v>2</v>
      </c>
      <c r="D474" t="e">
        <f>VLOOKUP('Filtered Data'!Z473,'Data Mapping'!$A$4:$B$7,2,0)</f>
        <v>#N/A</v>
      </c>
      <c r="E474" t="e">
        <f>VLOOKUP('Filtered Data'!C473,'Data Mapping'!$E$3:$F$97,2,0)</f>
        <v>#N/A</v>
      </c>
      <c r="F474">
        <f>'Filtered Data'!D473</f>
        <v>0</v>
      </c>
      <c r="G474" t="e">
        <f>VLOOKUP('Filtered Data'!E473,'Data Mapping'!$J$3:$K$11,2,0)</f>
        <v>#N/A</v>
      </c>
      <c r="H474">
        <f>'Filtered Data'!F473</f>
        <v>0</v>
      </c>
      <c r="I474" t="s">
        <v>5668</v>
      </c>
      <c r="J474" t="s">
        <v>1609</v>
      </c>
      <c r="K474" t="e">
        <f>VLOOKUP('Filtered Data'!A473,'Input 1 CMDB'!A:I,9,0)</f>
        <v>#N/A</v>
      </c>
      <c r="L474">
        <f>'Filtered Data'!K473</f>
        <v>0</v>
      </c>
      <c r="M474" t="e">
        <f t="shared" si="15"/>
        <v>#VALUE!</v>
      </c>
      <c r="N474">
        <f>'Filtered Data'!P473</f>
        <v>0</v>
      </c>
      <c r="O474">
        <f>'Filtered Data'!N473</f>
        <v>0</v>
      </c>
      <c r="P474" t="s">
        <v>5669</v>
      </c>
      <c r="Q474" t="str">
        <f>IF('Filtered Data'!W473,"ITHybridCloudEngineeringOperationsMgmt@Marathonpetroleum.com","mark.newman2@dxc.com")</f>
        <v>mark.newman2@dxc.com</v>
      </c>
      <c r="R474">
        <f t="shared" si="16"/>
        <v>0</v>
      </c>
      <c r="S474" s="31" t="s">
        <v>5738</v>
      </c>
      <c r="T474" t="s">
        <v>1381</v>
      </c>
      <c r="U474">
        <f>'Filtered Data'!V473</f>
        <v>0</v>
      </c>
      <c r="V474" t="str">
        <f>IF('Filtered Data'!W473,"yes","no")</f>
        <v>no</v>
      </c>
      <c r="W474" t="s">
        <v>15</v>
      </c>
      <c r="X474">
        <f>'Filtered Data'!X473</f>
        <v>0</v>
      </c>
    </row>
    <row r="475" spans="1:24" x14ac:dyDescent="0.35">
      <c r="A475">
        <f>'Filtered Data'!A474</f>
        <v>0</v>
      </c>
      <c r="B475">
        <f>'Filtered Data'!B474</f>
        <v>0</v>
      </c>
      <c r="C475" t="s">
        <v>2</v>
      </c>
      <c r="D475" t="e">
        <f>VLOOKUP('Filtered Data'!Z474,'Data Mapping'!$A$4:$B$7,2,0)</f>
        <v>#N/A</v>
      </c>
      <c r="E475" t="e">
        <f>VLOOKUP('Filtered Data'!C474,'Data Mapping'!$E$3:$F$97,2,0)</f>
        <v>#N/A</v>
      </c>
      <c r="F475">
        <f>'Filtered Data'!D474</f>
        <v>0</v>
      </c>
      <c r="G475" t="e">
        <f>VLOOKUP('Filtered Data'!E474,'Data Mapping'!$J$3:$K$11,2,0)</f>
        <v>#N/A</v>
      </c>
      <c r="H475">
        <f>'Filtered Data'!F474</f>
        <v>0</v>
      </c>
      <c r="I475" t="s">
        <v>5668</v>
      </c>
      <c r="J475" t="s">
        <v>1609</v>
      </c>
      <c r="K475" t="e">
        <f>VLOOKUP('Filtered Data'!A474,'Input 1 CMDB'!A:I,9,0)</f>
        <v>#N/A</v>
      </c>
      <c r="L475">
        <f>'Filtered Data'!K474</f>
        <v>0</v>
      </c>
      <c r="M475" t="e">
        <f t="shared" si="15"/>
        <v>#VALUE!</v>
      </c>
      <c r="N475">
        <f>'Filtered Data'!P474</f>
        <v>0</v>
      </c>
      <c r="O475">
        <f>'Filtered Data'!N474</f>
        <v>0</v>
      </c>
      <c r="P475" t="s">
        <v>5669</v>
      </c>
      <c r="Q475" t="str">
        <f>IF('Filtered Data'!W474,"ITHybridCloudEngineeringOperationsMgmt@Marathonpetroleum.com","mark.newman2@dxc.com")</f>
        <v>mark.newman2@dxc.com</v>
      </c>
      <c r="R475">
        <f t="shared" si="16"/>
        <v>0</v>
      </c>
      <c r="S475" s="31" t="s">
        <v>5738</v>
      </c>
      <c r="T475" t="s">
        <v>1381</v>
      </c>
      <c r="U475">
        <f>'Filtered Data'!V474</f>
        <v>0</v>
      </c>
      <c r="V475" t="str">
        <f>IF('Filtered Data'!W474,"yes","no")</f>
        <v>no</v>
      </c>
      <c r="W475" t="s">
        <v>15</v>
      </c>
      <c r="X475">
        <f>'Filtered Data'!X474</f>
        <v>0</v>
      </c>
    </row>
    <row r="476" spans="1:24" x14ac:dyDescent="0.35">
      <c r="A476">
        <f>'Filtered Data'!A475</f>
        <v>0</v>
      </c>
      <c r="B476">
        <f>'Filtered Data'!B475</f>
        <v>0</v>
      </c>
      <c r="C476" t="s">
        <v>2</v>
      </c>
      <c r="D476" t="e">
        <f>VLOOKUP('Filtered Data'!Z475,'Data Mapping'!$A$4:$B$7,2,0)</f>
        <v>#N/A</v>
      </c>
      <c r="E476" t="e">
        <f>VLOOKUP('Filtered Data'!C475,'Data Mapping'!$E$3:$F$97,2,0)</f>
        <v>#N/A</v>
      </c>
      <c r="F476">
        <f>'Filtered Data'!D475</f>
        <v>0</v>
      </c>
      <c r="G476" t="e">
        <f>VLOOKUP('Filtered Data'!E475,'Data Mapping'!$J$3:$K$11,2,0)</f>
        <v>#N/A</v>
      </c>
      <c r="H476">
        <f>'Filtered Data'!F475</f>
        <v>0</v>
      </c>
      <c r="I476" t="s">
        <v>5668</v>
      </c>
      <c r="J476" t="s">
        <v>1609</v>
      </c>
      <c r="K476" t="e">
        <f>VLOOKUP('Filtered Data'!A475,'Input 1 CMDB'!A:I,9,0)</f>
        <v>#N/A</v>
      </c>
      <c r="L476">
        <f>'Filtered Data'!K475</f>
        <v>0</v>
      </c>
      <c r="M476" t="e">
        <f t="shared" si="15"/>
        <v>#VALUE!</v>
      </c>
      <c r="N476">
        <f>'Filtered Data'!P475</f>
        <v>0</v>
      </c>
      <c r="O476">
        <f>'Filtered Data'!N475</f>
        <v>0</v>
      </c>
      <c r="P476" t="s">
        <v>5669</v>
      </c>
      <c r="Q476" t="str">
        <f>IF('Filtered Data'!W475,"ITHybridCloudEngineeringOperationsMgmt@Marathonpetroleum.com","mark.newman2@dxc.com")</f>
        <v>mark.newman2@dxc.com</v>
      </c>
      <c r="R476">
        <f t="shared" si="16"/>
        <v>0</v>
      </c>
      <c r="S476" s="31" t="s">
        <v>5738</v>
      </c>
      <c r="T476" t="s">
        <v>1381</v>
      </c>
      <c r="U476">
        <f>'Filtered Data'!V475</f>
        <v>0</v>
      </c>
      <c r="V476" t="str">
        <f>IF('Filtered Data'!W475,"yes","no")</f>
        <v>no</v>
      </c>
      <c r="W476" t="s">
        <v>15</v>
      </c>
      <c r="X476">
        <f>'Filtered Data'!X475</f>
        <v>0</v>
      </c>
    </row>
    <row r="477" spans="1:24" x14ac:dyDescent="0.35">
      <c r="A477">
        <f>'Filtered Data'!A476</f>
        <v>0</v>
      </c>
      <c r="B477">
        <f>'Filtered Data'!B476</f>
        <v>0</v>
      </c>
      <c r="C477" t="s">
        <v>2</v>
      </c>
      <c r="D477" t="e">
        <f>VLOOKUP('Filtered Data'!Z476,'Data Mapping'!$A$4:$B$7,2,0)</f>
        <v>#N/A</v>
      </c>
      <c r="E477" t="e">
        <f>VLOOKUP('Filtered Data'!C476,'Data Mapping'!$E$3:$F$97,2,0)</f>
        <v>#N/A</v>
      </c>
      <c r="F477">
        <f>'Filtered Data'!D476</f>
        <v>0</v>
      </c>
      <c r="G477" t="e">
        <f>VLOOKUP('Filtered Data'!E476,'Data Mapping'!$J$3:$K$11,2,0)</f>
        <v>#N/A</v>
      </c>
      <c r="H477">
        <f>'Filtered Data'!F476</f>
        <v>0</v>
      </c>
      <c r="I477" t="s">
        <v>5668</v>
      </c>
      <c r="J477" t="s">
        <v>1609</v>
      </c>
      <c r="K477" t="e">
        <f>VLOOKUP('Filtered Data'!A476,'Input 1 CMDB'!A:I,9,0)</f>
        <v>#N/A</v>
      </c>
      <c r="L477">
        <f>'Filtered Data'!K476</f>
        <v>0</v>
      </c>
      <c r="M477" t="e">
        <f t="shared" si="15"/>
        <v>#VALUE!</v>
      </c>
      <c r="N477">
        <f>'Filtered Data'!P476</f>
        <v>0</v>
      </c>
      <c r="O477">
        <f>'Filtered Data'!N476</f>
        <v>0</v>
      </c>
      <c r="P477" t="s">
        <v>5669</v>
      </c>
      <c r="Q477" t="str">
        <f>IF('Filtered Data'!W476,"ITHybridCloudEngineeringOperationsMgmt@Marathonpetroleum.com","mark.newman2@dxc.com")</f>
        <v>mark.newman2@dxc.com</v>
      </c>
      <c r="R477">
        <f t="shared" si="16"/>
        <v>0</v>
      </c>
      <c r="S477" s="31" t="s">
        <v>5738</v>
      </c>
      <c r="T477" t="s">
        <v>1381</v>
      </c>
      <c r="U477">
        <f>'Filtered Data'!V476</f>
        <v>0</v>
      </c>
      <c r="V477" t="str">
        <f>IF('Filtered Data'!W476,"yes","no")</f>
        <v>no</v>
      </c>
      <c r="W477" t="s">
        <v>15</v>
      </c>
      <c r="X477">
        <f>'Filtered Data'!X476</f>
        <v>0</v>
      </c>
    </row>
    <row r="478" spans="1:24" x14ac:dyDescent="0.35">
      <c r="A478">
        <f>'Filtered Data'!A477</f>
        <v>0</v>
      </c>
      <c r="B478">
        <f>'Filtered Data'!B477</f>
        <v>0</v>
      </c>
      <c r="C478" t="s">
        <v>2</v>
      </c>
      <c r="D478" t="e">
        <f>VLOOKUP('Filtered Data'!Z477,'Data Mapping'!$A$4:$B$7,2,0)</f>
        <v>#N/A</v>
      </c>
      <c r="E478" t="e">
        <f>VLOOKUP('Filtered Data'!C477,'Data Mapping'!$E$3:$F$97,2,0)</f>
        <v>#N/A</v>
      </c>
      <c r="F478">
        <f>'Filtered Data'!D477</f>
        <v>0</v>
      </c>
      <c r="G478" t="e">
        <f>VLOOKUP('Filtered Data'!E477,'Data Mapping'!$J$3:$K$11,2,0)</f>
        <v>#N/A</v>
      </c>
      <c r="H478">
        <f>'Filtered Data'!F477</f>
        <v>0</v>
      </c>
      <c r="I478" t="s">
        <v>5668</v>
      </c>
      <c r="J478" t="s">
        <v>1609</v>
      </c>
      <c r="K478" t="e">
        <f>VLOOKUP('Filtered Data'!A477,'Input 1 CMDB'!A:I,9,0)</f>
        <v>#N/A</v>
      </c>
      <c r="L478">
        <f>'Filtered Data'!K477</f>
        <v>0</v>
      </c>
      <c r="M478" t="e">
        <f t="shared" si="15"/>
        <v>#VALUE!</v>
      </c>
      <c r="N478">
        <f>'Filtered Data'!P477</f>
        <v>0</v>
      </c>
      <c r="O478">
        <f>'Filtered Data'!N477</f>
        <v>0</v>
      </c>
      <c r="P478" t="s">
        <v>5669</v>
      </c>
      <c r="Q478" t="str">
        <f>IF('Filtered Data'!W477,"ITHybridCloudEngineeringOperationsMgmt@Marathonpetroleum.com","mark.newman2@dxc.com")</f>
        <v>mark.newman2@dxc.com</v>
      </c>
      <c r="R478">
        <f t="shared" si="16"/>
        <v>0</v>
      </c>
      <c r="S478" s="31" t="s">
        <v>5738</v>
      </c>
      <c r="T478" t="s">
        <v>1381</v>
      </c>
      <c r="U478">
        <f>'Filtered Data'!V477</f>
        <v>0</v>
      </c>
      <c r="V478" t="str">
        <f>IF('Filtered Data'!W477,"yes","no")</f>
        <v>no</v>
      </c>
      <c r="W478" t="s">
        <v>15</v>
      </c>
      <c r="X478">
        <f>'Filtered Data'!X477</f>
        <v>0</v>
      </c>
    </row>
    <row r="479" spans="1:24" x14ac:dyDescent="0.35">
      <c r="A479">
        <f>'Filtered Data'!A478</f>
        <v>0</v>
      </c>
      <c r="B479">
        <f>'Filtered Data'!B478</f>
        <v>0</v>
      </c>
      <c r="C479" t="s">
        <v>2</v>
      </c>
      <c r="D479" t="e">
        <f>VLOOKUP('Filtered Data'!Z478,'Data Mapping'!$A$4:$B$7,2,0)</f>
        <v>#N/A</v>
      </c>
      <c r="E479" t="e">
        <f>VLOOKUP('Filtered Data'!C478,'Data Mapping'!$E$3:$F$97,2,0)</f>
        <v>#N/A</v>
      </c>
      <c r="F479">
        <f>'Filtered Data'!D478</f>
        <v>0</v>
      </c>
      <c r="G479" t="e">
        <f>VLOOKUP('Filtered Data'!E478,'Data Mapping'!$J$3:$K$11,2,0)</f>
        <v>#N/A</v>
      </c>
      <c r="H479">
        <f>'Filtered Data'!F478</f>
        <v>0</v>
      </c>
      <c r="I479" t="s">
        <v>5668</v>
      </c>
      <c r="J479" t="s">
        <v>1609</v>
      </c>
      <c r="K479" t="e">
        <f>VLOOKUP('Filtered Data'!A478,'Input 1 CMDB'!A:I,9,0)</f>
        <v>#N/A</v>
      </c>
      <c r="L479">
        <f>'Filtered Data'!K478</f>
        <v>0</v>
      </c>
      <c r="M479" t="e">
        <f t="shared" si="15"/>
        <v>#VALUE!</v>
      </c>
      <c r="N479">
        <f>'Filtered Data'!P478</f>
        <v>0</v>
      </c>
      <c r="O479">
        <f>'Filtered Data'!N478</f>
        <v>0</v>
      </c>
      <c r="P479" t="s">
        <v>5669</v>
      </c>
      <c r="Q479" t="str">
        <f>IF('Filtered Data'!W478,"ITHybridCloudEngineeringOperationsMgmt@Marathonpetroleum.com","mark.newman2@dxc.com")</f>
        <v>mark.newman2@dxc.com</v>
      </c>
      <c r="R479">
        <f t="shared" si="16"/>
        <v>0</v>
      </c>
      <c r="S479" s="31" t="s">
        <v>5738</v>
      </c>
      <c r="T479" t="s">
        <v>1381</v>
      </c>
      <c r="U479">
        <f>'Filtered Data'!V478</f>
        <v>0</v>
      </c>
      <c r="V479" t="str">
        <f>IF('Filtered Data'!W478,"yes","no")</f>
        <v>no</v>
      </c>
      <c r="W479" t="s">
        <v>15</v>
      </c>
      <c r="X479">
        <f>'Filtered Data'!X478</f>
        <v>0</v>
      </c>
    </row>
    <row r="480" spans="1:24" x14ac:dyDescent="0.35">
      <c r="A480">
        <f>'Filtered Data'!A479</f>
        <v>0</v>
      </c>
      <c r="B480">
        <f>'Filtered Data'!B479</f>
        <v>0</v>
      </c>
      <c r="C480" t="s">
        <v>2</v>
      </c>
      <c r="D480" t="e">
        <f>VLOOKUP('Filtered Data'!Z479,'Data Mapping'!$A$4:$B$7,2,0)</f>
        <v>#N/A</v>
      </c>
      <c r="E480" t="e">
        <f>VLOOKUP('Filtered Data'!C479,'Data Mapping'!$E$3:$F$97,2,0)</f>
        <v>#N/A</v>
      </c>
      <c r="F480">
        <f>'Filtered Data'!D479</f>
        <v>0</v>
      </c>
      <c r="G480" t="e">
        <f>VLOOKUP('Filtered Data'!E479,'Data Mapping'!$J$3:$K$11,2,0)</f>
        <v>#N/A</v>
      </c>
      <c r="H480">
        <f>'Filtered Data'!F479</f>
        <v>0</v>
      </c>
      <c r="I480" t="s">
        <v>5668</v>
      </c>
      <c r="J480" t="s">
        <v>1609</v>
      </c>
      <c r="K480" t="e">
        <f>VLOOKUP('Filtered Data'!A479,'Input 1 CMDB'!A:I,9,0)</f>
        <v>#N/A</v>
      </c>
      <c r="L480">
        <f>'Filtered Data'!K479</f>
        <v>0</v>
      </c>
      <c r="M480" t="e">
        <f t="shared" si="15"/>
        <v>#VALUE!</v>
      </c>
      <c r="N480">
        <f>'Filtered Data'!P479</f>
        <v>0</v>
      </c>
      <c r="O480">
        <f>'Filtered Data'!N479</f>
        <v>0</v>
      </c>
      <c r="P480" t="s">
        <v>5669</v>
      </c>
      <c r="Q480" t="str">
        <f>IF('Filtered Data'!W479,"ITHybridCloudEngineeringOperationsMgmt@Marathonpetroleum.com","mark.newman2@dxc.com")</f>
        <v>mark.newman2@dxc.com</v>
      </c>
      <c r="R480">
        <f t="shared" si="16"/>
        <v>0</v>
      </c>
      <c r="S480" s="31" t="s">
        <v>5738</v>
      </c>
      <c r="T480" t="s">
        <v>1381</v>
      </c>
      <c r="U480">
        <f>'Filtered Data'!V479</f>
        <v>0</v>
      </c>
      <c r="V480" t="str">
        <f>IF('Filtered Data'!W479,"yes","no")</f>
        <v>no</v>
      </c>
      <c r="W480" t="s">
        <v>15</v>
      </c>
      <c r="X480">
        <f>'Filtered Data'!X479</f>
        <v>0</v>
      </c>
    </row>
    <row r="481" spans="1:24" x14ac:dyDescent="0.35">
      <c r="A481">
        <f>'Filtered Data'!A480</f>
        <v>0</v>
      </c>
      <c r="B481">
        <f>'Filtered Data'!B480</f>
        <v>0</v>
      </c>
      <c r="C481" t="s">
        <v>2</v>
      </c>
      <c r="D481" t="e">
        <f>VLOOKUP('Filtered Data'!Z480,'Data Mapping'!$A$4:$B$7,2,0)</f>
        <v>#N/A</v>
      </c>
      <c r="E481" t="e">
        <f>VLOOKUP('Filtered Data'!C480,'Data Mapping'!$E$3:$F$97,2,0)</f>
        <v>#N/A</v>
      </c>
      <c r="F481">
        <f>'Filtered Data'!D480</f>
        <v>0</v>
      </c>
      <c r="G481" t="e">
        <f>VLOOKUP('Filtered Data'!E480,'Data Mapping'!$J$3:$K$11,2,0)</f>
        <v>#N/A</v>
      </c>
      <c r="H481">
        <f>'Filtered Data'!F480</f>
        <v>0</v>
      </c>
      <c r="I481" t="s">
        <v>5668</v>
      </c>
      <c r="J481" t="s">
        <v>1609</v>
      </c>
      <c r="K481" t="e">
        <f>VLOOKUP('Filtered Data'!A480,'Input 1 CMDB'!A:I,9,0)</f>
        <v>#N/A</v>
      </c>
      <c r="L481">
        <f>'Filtered Data'!K480</f>
        <v>0</v>
      </c>
      <c r="M481" t="e">
        <f t="shared" si="15"/>
        <v>#VALUE!</v>
      </c>
      <c r="N481">
        <f>'Filtered Data'!P480</f>
        <v>0</v>
      </c>
      <c r="O481">
        <f>'Filtered Data'!N480</f>
        <v>0</v>
      </c>
      <c r="P481" t="s">
        <v>5669</v>
      </c>
      <c r="Q481" t="str">
        <f>IF('Filtered Data'!W480,"ITHybridCloudEngineeringOperationsMgmt@Marathonpetroleum.com","mark.newman2@dxc.com")</f>
        <v>mark.newman2@dxc.com</v>
      </c>
      <c r="R481">
        <f t="shared" si="16"/>
        <v>0</v>
      </c>
      <c r="S481" s="31" t="s">
        <v>5738</v>
      </c>
      <c r="T481" t="s">
        <v>1381</v>
      </c>
      <c r="U481">
        <f>'Filtered Data'!V480</f>
        <v>0</v>
      </c>
      <c r="V481" t="str">
        <f>IF('Filtered Data'!W480,"yes","no")</f>
        <v>no</v>
      </c>
      <c r="W481" t="s">
        <v>15</v>
      </c>
      <c r="X481">
        <f>'Filtered Data'!X480</f>
        <v>0</v>
      </c>
    </row>
    <row r="482" spans="1:24" x14ac:dyDescent="0.35">
      <c r="A482">
        <f>'Filtered Data'!A481</f>
        <v>0</v>
      </c>
      <c r="B482">
        <f>'Filtered Data'!B481</f>
        <v>0</v>
      </c>
      <c r="C482" t="s">
        <v>2</v>
      </c>
      <c r="D482" t="e">
        <f>VLOOKUP('Filtered Data'!Z481,'Data Mapping'!$A$4:$B$7,2,0)</f>
        <v>#N/A</v>
      </c>
      <c r="E482" t="e">
        <f>VLOOKUP('Filtered Data'!C481,'Data Mapping'!$E$3:$F$97,2,0)</f>
        <v>#N/A</v>
      </c>
      <c r="F482">
        <f>'Filtered Data'!D481</f>
        <v>0</v>
      </c>
      <c r="G482" t="e">
        <f>VLOOKUP('Filtered Data'!E481,'Data Mapping'!$J$3:$K$11,2,0)</f>
        <v>#N/A</v>
      </c>
      <c r="H482">
        <f>'Filtered Data'!F481</f>
        <v>0</v>
      </c>
      <c r="I482" t="s">
        <v>5668</v>
      </c>
      <c r="J482" t="s">
        <v>1609</v>
      </c>
      <c r="K482" t="e">
        <f>VLOOKUP('Filtered Data'!A481,'Input 1 CMDB'!A:I,9,0)</f>
        <v>#N/A</v>
      </c>
      <c r="L482">
        <f>'Filtered Data'!K481</f>
        <v>0</v>
      </c>
      <c r="M482" t="e">
        <f t="shared" si="15"/>
        <v>#VALUE!</v>
      </c>
      <c r="N482">
        <f>'Filtered Data'!P481</f>
        <v>0</v>
      </c>
      <c r="O482">
        <f>'Filtered Data'!N481</f>
        <v>0</v>
      </c>
      <c r="P482" t="s">
        <v>5669</v>
      </c>
      <c r="Q482" t="str">
        <f>IF('Filtered Data'!W481,"ITHybridCloudEngineeringOperationsMgmt@Marathonpetroleum.com","mark.newman2@dxc.com")</f>
        <v>mark.newman2@dxc.com</v>
      </c>
      <c r="R482">
        <f t="shared" si="16"/>
        <v>0</v>
      </c>
      <c r="S482" s="31" t="s">
        <v>5738</v>
      </c>
      <c r="T482" t="s">
        <v>1381</v>
      </c>
      <c r="U482">
        <f>'Filtered Data'!V481</f>
        <v>0</v>
      </c>
      <c r="V482" t="str">
        <f>IF('Filtered Data'!W481,"yes","no")</f>
        <v>no</v>
      </c>
      <c r="W482" t="s">
        <v>15</v>
      </c>
      <c r="X482">
        <f>'Filtered Data'!X481</f>
        <v>0</v>
      </c>
    </row>
    <row r="483" spans="1:24" x14ac:dyDescent="0.35">
      <c r="A483">
        <f>'Filtered Data'!A482</f>
        <v>0</v>
      </c>
      <c r="B483">
        <f>'Filtered Data'!B482</f>
        <v>0</v>
      </c>
      <c r="C483" t="s">
        <v>2</v>
      </c>
      <c r="D483" t="e">
        <f>VLOOKUP('Filtered Data'!Z482,'Data Mapping'!$A$4:$B$7,2,0)</f>
        <v>#N/A</v>
      </c>
      <c r="E483" t="e">
        <f>VLOOKUP('Filtered Data'!C482,'Data Mapping'!$E$3:$F$97,2,0)</f>
        <v>#N/A</v>
      </c>
      <c r="F483">
        <f>'Filtered Data'!D482</f>
        <v>0</v>
      </c>
      <c r="G483" t="e">
        <f>VLOOKUP('Filtered Data'!E482,'Data Mapping'!$J$3:$K$11,2,0)</f>
        <v>#N/A</v>
      </c>
      <c r="H483">
        <f>'Filtered Data'!F482</f>
        <v>0</v>
      </c>
      <c r="I483" t="s">
        <v>5668</v>
      </c>
      <c r="J483" t="s">
        <v>1609</v>
      </c>
      <c r="K483" t="e">
        <f>VLOOKUP('Filtered Data'!A482,'Input 1 CMDB'!A:I,9,0)</f>
        <v>#N/A</v>
      </c>
      <c r="L483">
        <f>'Filtered Data'!K482</f>
        <v>0</v>
      </c>
      <c r="M483" t="e">
        <f t="shared" si="15"/>
        <v>#VALUE!</v>
      </c>
      <c r="N483">
        <f>'Filtered Data'!P482</f>
        <v>0</v>
      </c>
      <c r="O483">
        <f>'Filtered Data'!N482</f>
        <v>0</v>
      </c>
      <c r="P483" t="s">
        <v>5669</v>
      </c>
      <c r="Q483" t="str">
        <f>IF('Filtered Data'!W482,"ITHybridCloudEngineeringOperationsMgmt@Marathonpetroleum.com","mark.newman2@dxc.com")</f>
        <v>mark.newman2@dxc.com</v>
      </c>
      <c r="R483">
        <f t="shared" si="16"/>
        <v>0</v>
      </c>
      <c r="S483" s="31" t="s">
        <v>5738</v>
      </c>
      <c r="T483" t="s">
        <v>1381</v>
      </c>
      <c r="U483">
        <f>'Filtered Data'!V482</f>
        <v>0</v>
      </c>
      <c r="V483" t="str">
        <f>IF('Filtered Data'!W482,"yes","no")</f>
        <v>no</v>
      </c>
      <c r="W483" t="s">
        <v>15</v>
      </c>
      <c r="X483">
        <f>'Filtered Data'!X482</f>
        <v>0</v>
      </c>
    </row>
    <row r="484" spans="1:24" x14ac:dyDescent="0.35">
      <c r="A484">
        <f>'Filtered Data'!A483</f>
        <v>0</v>
      </c>
      <c r="B484">
        <f>'Filtered Data'!B483</f>
        <v>0</v>
      </c>
      <c r="C484" t="s">
        <v>2</v>
      </c>
      <c r="D484" t="e">
        <f>VLOOKUP('Filtered Data'!Z483,'Data Mapping'!$A$4:$B$7,2,0)</f>
        <v>#N/A</v>
      </c>
      <c r="E484" t="e">
        <f>VLOOKUP('Filtered Data'!C483,'Data Mapping'!$E$3:$F$97,2,0)</f>
        <v>#N/A</v>
      </c>
      <c r="F484">
        <f>'Filtered Data'!D483</f>
        <v>0</v>
      </c>
      <c r="G484" t="e">
        <f>VLOOKUP('Filtered Data'!E483,'Data Mapping'!$J$3:$K$11,2,0)</f>
        <v>#N/A</v>
      </c>
      <c r="H484">
        <f>'Filtered Data'!F483</f>
        <v>0</v>
      </c>
      <c r="I484" t="s">
        <v>5668</v>
      </c>
      <c r="J484" t="s">
        <v>1609</v>
      </c>
      <c r="K484" t="e">
        <f>VLOOKUP('Filtered Data'!A483,'Input 1 CMDB'!A:I,9,0)</f>
        <v>#N/A</v>
      </c>
      <c r="L484">
        <f>'Filtered Data'!K483</f>
        <v>0</v>
      </c>
      <c r="M484" t="e">
        <f t="shared" si="15"/>
        <v>#VALUE!</v>
      </c>
      <c r="N484">
        <f>'Filtered Data'!P483</f>
        <v>0</v>
      </c>
      <c r="O484">
        <f>'Filtered Data'!N483</f>
        <v>0</v>
      </c>
      <c r="P484" t="s">
        <v>5669</v>
      </c>
      <c r="Q484" t="str">
        <f>IF('Filtered Data'!W483,"ITHybridCloudEngineeringOperationsMgmt@Marathonpetroleum.com","mark.newman2@dxc.com")</f>
        <v>mark.newman2@dxc.com</v>
      </c>
      <c r="R484">
        <f t="shared" si="16"/>
        <v>0</v>
      </c>
      <c r="S484" s="31" t="s">
        <v>5738</v>
      </c>
      <c r="T484" t="s">
        <v>1381</v>
      </c>
      <c r="U484">
        <f>'Filtered Data'!V483</f>
        <v>0</v>
      </c>
      <c r="V484" t="str">
        <f>IF('Filtered Data'!W483,"yes","no")</f>
        <v>no</v>
      </c>
      <c r="W484" t="s">
        <v>15</v>
      </c>
      <c r="X484">
        <f>'Filtered Data'!X483</f>
        <v>0</v>
      </c>
    </row>
    <row r="485" spans="1:24" x14ac:dyDescent="0.35">
      <c r="A485">
        <f>'Filtered Data'!A484</f>
        <v>0</v>
      </c>
      <c r="B485">
        <f>'Filtered Data'!B484</f>
        <v>0</v>
      </c>
      <c r="C485" t="s">
        <v>2</v>
      </c>
      <c r="D485" t="e">
        <f>VLOOKUP('Filtered Data'!Z484,'Data Mapping'!$A$4:$B$7,2,0)</f>
        <v>#N/A</v>
      </c>
      <c r="E485" t="e">
        <f>VLOOKUP('Filtered Data'!C484,'Data Mapping'!$E$3:$F$97,2,0)</f>
        <v>#N/A</v>
      </c>
      <c r="F485">
        <f>'Filtered Data'!D484</f>
        <v>0</v>
      </c>
      <c r="G485" t="e">
        <f>VLOOKUP('Filtered Data'!E484,'Data Mapping'!$J$3:$K$11,2,0)</f>
        <v>#N/A</v>
      </c>
      <c r="H485">
        <f>'Filtered Data'!F484</f>
        <v>0</v>
      </c>
      <c r="I485" t="s">
        <v>5668</v>
      </c>
      <c r="J485" t="s">
        <v>1609</v>
      </c>
      <c r="K485" t="e">
        <f>VLOOKUP('Filtered Data'!A484,'Input 1 CMDB'!A:I,9,0)</f>
        <v>#N/A</v>
      </c>
      <c r="L485">
        <f>'Filtered Data'!K484</f>
        <v>0</v>
      </c>
      <c r="M485" t="e">
        <f t="shared" si="15"/>
        <v>#VALUE!</v>
      </c>
      <c r="N485">
        <f>'Filtered Data'!P484</f>
        <v>0</v>
      </c>
      <c r="O485">
        <f>'Filtered Data'!N484</f>
        <v>0</v>
      </c>
      <c r="P485" t="s">
        <v>5669</v>
      </c>
      <c r="Q485" t="str">
        <f>IF('Filtered Data'!W484,"ITHybridCloudEngineeringOperationsMgmt@Marathonpetroleum.com","mark.newman2@dxc.com")</f>
        <v>mark.newman2@dxc.com</v>
      </c>
      <c r="R485">
        <f t="shared" si="16"/>
        <v>0</v>
      </c>
      <c r="S485" s="31" t="s">
        <v>5738</v>
      </c>
      <c r="T485" t="s">
        <v>1381</v>
      </c>
      <c r="U485">
        <f>'Filtered Data'!V484</f>
        <v>0</v>
      </c>
      <c r="V485" t="str">
        <f>IF('Filtered Data'!W484,"yes","no")</f>
        <v>no</v>
      </c>
      <c r="W485" t="s">
        <v>15</v>
      </c>
      <c r="X485">
        <f>'Filtered Data'!X484</f>
        <v>0</v>
      </c>
    </row>
    <row r="486" spans="1:24" x14ac:dyDescent="0.35">
      <c r="A486">
        <f>'Filtered Data'!A485</f>
        <v>0</v>
      </c>
      <c r="B486">
        <f>'Filtered Data'!B485</f>
        <v>0</v>
      </c>
      <c r="C486" t="s">
        <v>2</v>
      </c>
      <c r="D486" t="e">
        <f>VLOOKUP('Filtered Data'!Z485,'Data Mapping'!$A$4:$B$7,2,0)</f>
        <v>#N/A</v>
      </c>
      <c r="E486" t="e">
        <f>VLOOKUP('Filtered Data'!C485,'Data Mapping'!$E$3:$F$97,2,0)</f>
        <v>#N/A</v>
      </c>
      <c r="F486">
        <f>'Filtered Data'!D485</f>
        <v>0</v>
      </c>
      <c r="G486" t="e">
        <f>VLOOKUP('Filtered Data'!E485,'Data Mapping'!$J$3:$K$11,2,0)</f>
        <v>#N/A</v>
      </c>
      <c r="H486">
        <f>'Filtered Data'!F485</f>
        <v>0</v>
      </c>
      <c r="I486" t="s">
        <v>5668</v>
      </c>
      <c r="J486" t="s">
        <v>1609</v>
      </c>
      <c r="K486" t="e">
        <f>VLOOKUP('Filtered Data'!A485,'Input 1 CMDB'!A:I,9,0)</f>
        <v>#N/A</v>
      </c>
      <c r="L486">
        <f>'Filtered Data'!K485</f>
        <v>0</v>
      </c>
      <c r="M486" t="e">
        <f t="shared" si="15"/>
        <v>#VALUE!</v>
      </c>
      <c r="N486">
        <f>'Filtered Data'!P485</f>
        <v>0</v>
      </c>
      <c r="O486">
        <f>'Filtered Data'!N485</f>
        <v>0</v>
      </c>
      <c r="P486" t="s">
        <v>5669</v>
      </c>
      <c r="Q486" t="str">
        <f>IF('Filtered Data'!W485,"ITHybridCloudEngineeringOperationsMgmt@Marathonpetroleum.com","mark.newman2@dxc.com")</f>
        <v>mark.newman2@dxc.com</v>
      </c>
      <c r="R486">
        <f t="shared" si="16"/>
        <v>0</v>
      </c>
      <c r="S486" s="31" t="s">
        <v>5738</v>
      </c>
      <c r="T486" t="s">
        <v>1381</v>
      </c>
      <c r="U486">
        <f>'Filtered Data'!V485</f>
        <v>0</v>
      </c>
      <c r="V486" t="str">
        <f>IF('Filtered Data'!W485,"yes","no")</f>
        <v>no</v>
      </c>
      <c r="W486" t="s">
        <v>15</v>
      </c>
      <c r="X486">
        <f>'Filtered Data'!X485</f>
        <v>0</v>
      </c>
    </row>
    <row r="487" spans="1:24" x14ac:dyDescent="0.35">
      <c r="A487">
        <f>'Filtered Data'!A486</f>
        <v>0</v>
      </c>
      <c r="B487">
        <f>'Filtered Data'!B486</f>
        <v>0</v>
      </c>
      <c r="C487" t="s">
        <v>2</v>
      </c>
      <c r="D487" t="e">
        <f>VLOOKUP('Filtered Data'!Z486,'Data Mapping'!$A$4:$B$7,2,0)</f>
        <v>#N/A</v>
      </c>
      <c r="E487" t="e">
        <f>VLOOKUP('Filtered Data'!C486,'Data Mapping'!$E$3:$F$97,2,0)</f>
        <v>#N/A</v>
      </c>
      <c r="F487">
        <f>'Filtered Data'!D486</f>
        <v>0</v>
      </c>
      <c r="G487" t="e">
        <f>VLOOKUP('Filtered Data'!E486,'Data Mapping'!$J$3:$K$11,2,0)</f>
        <v>#N/A</v>
      </c>
      <c r="H487">
        <f>'Filtered Data'!F486</f>
        <v>0</v>
      </c>
      <c r="I487" t="s">
        <v>5668</v>
      </c>
      <c r="J487" t="s">
        <v>1609</v>
      </c>
      <c r="K487" t="e">
        <f>VLOOKUP('Filtered Data'!A486,'Input 1 CMDB'!A:I,9,0)</f>
        <v>#N/A</v>
      </c>
      <c r="L487">
        <f>'Filtered Data'!K486</f>
        <v>0</v>
      </c>
      <c r="M487" t="e">
        <f t="shared" ref="M487:M502" si="17">MID(B487,FIND(".",B487)+1,(LEN(B487)-FIND(".",B487)))</f>
        <v>#VALUE!</v>
      </c>
      <c r="N487">
        <f>'Filtered Data'!P486</f>
        <v>0</v>
      </c>
      <c r="O487">
        <f>'Filtered Data'!N486</f>
        <v>0</v>
      </c>
      <c r="P487" t="s">
        <v>5669</v>
      </c>
      <c r="Q487" t="str">
        <f>IF('Filtered Data'!W486,"ITHybridCloudEngineeringOperationsMgmt@Marathonpetroleum.com","mark.newman2@dxc.com")</f>
        <v>mark.newman2@dxc.com</v>
      </c>
      <c r="R487">
        <f t="shared" ref="R487:R502" si="18">N487</f>
        <v>0</v>
      </c>
      <c r="S487" s="31" t="s">
        <v>5738</v>
      </c>
      <c r="T487" t="s">
        <v>1381</v>
      </c>
      <c r="U487">
        <f>'Filtered Data'!V486</f>
        <v>0</v>
      </c>
      <c r="V487" t="str">
        <f>IF('Filtered Data'!W486,"yes","no")</f>
        <v>no</v>
      </c>
      <c r="W487" t="s">
        <v>15</v>
      </c>
      <c r="X487">
        <f>'Filtered Data'!X486</f>
        <v>0</v>
      </c>
    </row>
    <row r="488" spans="1:24" x14ac:dyDescent="0.35">
      <c r="A488">
        <f>'Filtered Data'!A487</f>
        <v>0</v>
      </c>
      <c r="B488">
        <f>'Filtered Data'!B487</f>
        <v>0</v>
      </c>
      <c r="C488" t="s">
        <v>2</v>
      </c>
      <c r="D488" t="e">
        <f>VLOOKUP('Filtered Data'!Z487,'Data Mapping'!$A$4:$B$7,2,0)</f>
        <v>#N/A</v>
      </c>
      <c r="E488" t="e">
        <f>VLOOKUP('Filtered Data'!C487,'Data Mapping'!$E$3:$F$97,2,0)</f>
        <v>#N/A</v>
      </c>
      <c r="F488">
        <f>'Filtered Data'!D487</f>
        <v>0</v>
      </c>
      <c r="G488" t="e">
        <f>VLOOKUP('Filtered Data'!E487,'Data Mapping'!$J$3:$K$11,2,0)</f>
        <v>#N/A</v>
      </c>
      <c r="H488">
        <f>'Filtered Data'!F487</f>
        <v>0</v>
      </c>
      <c r="I488" t="s">
        <v>5668</v>
      </c>
      <c r="J488" t="s">
        <v>1609</v>
      </c>
      <c r="K488" t="e">
        <f>VLOOKUP('Filtered Data'!A487,'Input 1 CMDB'!A:I,9,0)</f>
        <v>#N/A</v>
      </c>
      <c r="L488">
        <f>'Filtered Data'!K487</f>
        <v>0</v>
      </c>
      <c r="M488" t="e">
        <f t="shared" si="17"/>
        <v>#VALUE!</v>
      </c>
      <c r="N488">
        <f>'Filtered Data'!P487</f>
        <v>0</v>
      </c>
      <c r="O488">
        <f>'Filtered Data'!N487</f>
        <v>0</v>
      </c>
      <c r="P488" t="s">
        <v>5669</v>
      </c>
      <c r="Q488" t="str">
        <f>IF('Filtered Data'!W487,"ITHybridCloudEngineeringOperationsMgmt@Marathonpetroleum.com","mark.newman2@dxc.com")</f>
        <v>mark.newman2@dxc.com</v>
      </c>
      <c r="R488">
        <f t="shared" si="18"/>
        <v>0</v>
      </c>
      <c r="S488" s="31" t="s">
        <v>5738</v>
      </c>
      <c r="T488" t="s">
        <v>1381</v>
      </c>
      <c r="U488">
        <f>'Filtered Data'!V487</f>
        <v>0</v>
      </c>
      <c r="V488" t="str">
        <f>IF('Filtered Data'!W487,"yes","no")</f>
        <v>no</v>
      </c>
      <c r="W488" t="s">
        <v>15</v>
      </c>
      <c r="X488">
        <f>'Filtered Data'!X487</f>
        <v>0</v>
      </c>
    </row>
    <row r="489" spans="1:24" x14ac:dyDescent="0.35">
      <c r="A489">
        <f>'Filtered Data'!A488</f>
        <v>0</v>
      </c>
      <c r="B489">
        <f>'Filtered Data'!B488</f>
        <v>0</v>
      </c>
      <c r="C489" t="s">
        <v>2</v>
      </c>
      <c r="D489" t="e">
        <f>VLOOKUP('Filtered Data'!Z488,'Data Mapping'!$A$4:$B$7,2,0)</f>
        <v>#N/A</v>
      </c>
      <c r="E489" t="e">
        <f>VLOOKUP('Filtered Data'!C488,'Data Mapping'!$E$3:$F$97,2,0)</f>
        <v>#N/A</v>
      </c>
      <c r="F489">
        <f>'Filtered Data'!D488</f>
        <v>0</v>
      </c>
      <c r="G489" t="e">
        <f>VLOOKUP('Filtered Data'!E488,'Data Mapping'!$J$3:$K$11,2,0)</f>
        <v>#N/A</v>
      </c>
      <c r="H489">
        <f>'Filtered Data'!F488</f>
        <v>0</v>
      </c>
      <c r="I489" t="s">
        <v>5668</v>
      </c>
      <c r="J489" t="s">
        <v>1609</v>
      </c>
      <c r="K489" t="e">
        <f>VLOOKUP('Filtered Data'!A488,'Input 1 CMDB'!A:I,9,0)</f>
        <v>#N/A</v>
      </c>
      <c r="L489">
        <f>'Filtered Data'!K488</f>
        <v>0</v>
      </c>
      <c r="M489" t="e">
        <f t="shared" si="17"/>
        <v>#VALUE!</v>
      </c>
      <c r="N489">
        <f>'Filtered Data'!P488</f>
        <v>0</v>
      </c>
      <c r="O489">
        <f>'Filtered Data'!N488</f>
        <v>0</v>
      </c>
      <c r="P489" t="s">
        <v>5669</v>
      </c>
      <c r="Q489" t="str">
        <f>IF('Filtered Data'!W488,"ITHybridCloudEngineeringOperationsMgmt@Marathonpetroleum.com","mark.newman2@dxc.com")</f>
        <v>mark.newman2@dxc.com</v>
      </c>
      <c r="R489">
        <f t="shared" si="18"/>
        <v>0</v>
      </c>
      <c r="S489" s="31" t="s">
        <v>5738</v>
      </c>
      <c r="T489" t="s">
        <v>1381</v>
      </c>
      <c r="U489">
        <f>'Filtered Data'!V488</f>
        <v>0</v>
      </c>
      <c r="V489" t="str">
        <f>IF('Filtered Data'!W488,"yes","no")</f>
        <v>no</v>
      </c>
      <c r="W489" t="s">
        <v>15</v>
      </c>
      <c r="X489">
        <f>'Filtered Data'!X488</f>
        <v>0</v>
      </c>
    </row>
    <row r="490" spans="1:24" x14ac:dyDescent="0.35">
      <c r="A490">
        <f>'Filtered Data'!A489</f>
        <v>0</v>
      </c>
      <c r="B490">
        <f>'Filtered Data'!B489</f>
        <v>0</v>
      </c>
      <c r="C490" t="s">
        <v>2</v>
      </c>
      <c r="D490" t="e">
        <f>VLOOKUP('Filtered Data'!Z489,'Data Mapping'!$A$4:$B$7,2,0)</f>
        <v>#N/A</v>
      </c>
      <c r="E490" t="e">
        <f>VLOOKUP('Filtered Data'!C489,'Data Mapping'!$E$3:$F$97,2,0)</f>
        <v>#N/A</v>
      </c>
      <c r="F490">
        <f>'Filtered Data'!D489</f>
        <v>0</v>
      </c>
      <c r="G490" t="e">
        <f>VLOOKUP('Filtered Data'!E489,'Data Mapping'!$J$3:$K$11,2,0)</f>
        <v>#N/A</v>
      </c>
      <c r="H490">
        <f>'Filtered Data'!F489</f>
        <v>0</v>
      </c>
      <c r="I490" t="s">
        <v>5668</v>
      </c>
      <c r="J490" t="s">
        <v>1609</v>
      </c>
      <c r="K490" t="e">
        <f>VLOOKUP('Filtered Data'!A489,'Input 1 CMDB'!A:I,9,0)</f>
        <v>#N/A</v>
      </c>
      <c r="L490">
        <f>'Filtered Data'!K489</f>
        <v>0</v>
      </c>
      <c r="M490" t="e">
        <f t="shared" si="17"/>
        <v>#VALUE!</v>
      </c>
      <c r="N490">
        <f>'Filtered Data'!P489</f>
        <v>0</v>
      </c>
      <c r="O490">
        <f>'Filtered Data'!N489</f>
        <v>0</v>
      </c>
      <c r="P490" t="s">
        <v>5669</v>
      </c>
      <c r="Q490" t="str">
        <f>IF('Filtered Data'!W489,"ITHybridCloudEngineeringOperationsMgmt@Marathonpetroleum.com","mark.newman2@dxc.com")</f>
        <v>mark.newman2@dxc.com</v>
      </c>
      <c r="R490">
        <f t="shared" si="18"/>
        <v>0</v>
      </c>
      <c r="S490" s="31" t="s">
        <v>5738</v>
      </c>
      <c r="T490" t="s">
        <v>1381</v>
      </c>
      <c r="U490">
        <f>'Filtered Data'!V489</f>
        <v>0</v>
      </c>
      <c r="V490" t="str">
        <f>IF('Filtered Data'!W489,"yes","no")</f>
        <v>no</v>
      </c>
      <c r="W490" t="s">
        <v>15</v>
      </c>
      <c r="X490">
        <f>'Filtered Data'!X489</f>
        <v>0</v>
      </c>
    </row>
    <row r="491" spans="1:24" x14ac:dyDescent="0.35">
      <c r="A491">
        <f>'Filtered Data'!A490</f>
        <v>0</v>
      </c>
      <c r="B491">
        <f>'Filtered Data'!B490</f>
        <v>0</v>
      </c>
      <c r="C491" t="s">
        <v>2</v>
      </c>
      <c r="D491" t="e">
        <f>VLOOKUP('Filtered Data'!Z490,'Data Mapping'!$A$4:$B$7,2,0)</f>
        <v>#N/A</v>
      </c>
      <c r="E491" t="e">
        <f>VLOOKUP('Filtered Data'!C490,'Data Mapping'!$E$3:$F$97,2,0)</f>
        <v>#N/A</v>
      </c>
      <c r="F491">
        <f>'Filtered Data'!D490</f>
        <v>0</v>
      </c>
      <c r="G491" t="e">
        <f>VLOOKUP('Filtered Data'!E490,'Data Mapping'!$J$3:$K$11,2,0)</f>
        <v>#N/A</v>
      </c>
      <c r="H491">
        <f>'Filtered Data'!F490</f>
        <v>0</v>
      </c>
      <c r="I491" t="s">
        <v>5668</v>
      </c>
      <c r="J491" t="s">
        <v>1609</v>
      </c>
      <c r="K491" t="e">
        <f>VLOOKUP('Filtered Data'!A490,'Input 1 CMDB'!A:I,9,0)</f>
        <v>#N/A</v>
      </c>
      <c r="L491">
        <f>'Filtered Data'!K490</f>
        <v>0</v>
      </c>
      <c r="M491" t="e">
        <f t="shared" si="17"/>
        <v>#VALUE!</v>
      </c>
      <c r="N491">
        <f>'Filtered Data'!P490</f>
        <v>0</v>
      </c>
      <c r="O491">
        <f>'Filtered Data'!N490</f>
        <v>0</v>
      </c>
      <c r="P491" t="s">
        <v>5669</v>
      </c>
      <c r="Q491" t="str">
        <f>IF('Filtered Data'!W490,"ITHybridCloudEngineeringOperationsMgmt@Marathonpetroleum.com","mark.newman2@dxc.com")</f>
        <v>mark.newman2@dxc.com</v>
      </c>
      <c r="R491">
        <f t="shared" si="18"/>
        <v>0</v>
      </c>
      <c r="S491" s="31" t="s">
        <v>5738</v>
      </c>
      <c r="T491" t="s">
        <v>1381</v>
      </c>
      <c r="U491">
        <f>'Filtered Data'!V490</f>
        <v>0</v>
      </c>
      <c r="V491" t="str">
        <f>IF('Filtered Data'!W490,"yes","no")</f>
        <v>no</v>
      </c>
      <c r="W491" t="s">
        <v>15</v>
      </c>
      <c r="X491">
        <f>'Filtered Data'!X490</f>
        <v>0</v>
      </c>
    </row>
    <row r="492" spans="1:24" x14ac:dyDescent="0.35">
      <c r="A492">
        <f>'Filtered Data'!A491</f>
        <v>0</v>
      </c>
      <c r="B492">
        <f>'Filtered Data'!B491</f>
        <v>0</v>
      </c>
      <c r="C492" t="s">
        <v>2</v>
      </c>
      <c r="D492" t="e">
        <f>VLOOKUP('Filtered Data'!Z491,'Data Mapping'!$A$4:$B$7,2,0)</f>
        <v>#N/A</v>
      </c>
      <c r="E492" t="e">
        <f>VLOOKUP('Filtered Data'!C491,'Data Mapping'!$E$3:$F$97,2,0)</f>
        <v>#N/A</v>
      </c>
      <c r="F492">
        <f>'Filtered Data'!D491</f>
        <v>0</v>
      </c>
      <c r="G492" t="e">
        <f>VLOOKUP('Filtered Data'!E491,'Data Mapping'!$J$3:$K$11,2,0)</f>
        <v>#N/A</v>
      </c>
      <c r="H492">
        <f>'Filtered Data'!F491</f>
        <v>0</v>
      </c>
      <c r="I492" t="s">
        <v>5668</v>
      </c>
      <c r="J492" t="s">
        <v>1609</v>
      </c>
      <c r="K492" t="e">
        <f>VLOOKUP('Filtered Data'!A491,'Input 1 CMDB'!A:I,9,0)</f>
        <v>#N/A</v>
      </c>
      <c r="L492">
        <f>'Filtered Data'!K491</f>
        <v>0</v>
      </c>
      <c r="M492" t="e">
        <f t="shared" si="17"/>
        <v>#VALUE!</v>
      </c>
      <c r="N492">
        <f>'Filtered Data'!P491</f>
        <v>0</v>
      </c>
      <c r="O492">
        <f>'Filtered Data'!N491</f>
        <v>0</v>
      </c>
      <c r="P492" t="s">
        <v>5669</v>
      </c>
      <c r="Q492" t="str">
        <f>IF('Filtered Data'!W491,"ITHybridCloudEngineeringOperationsMgmt@Marathonpetroleum.com","mark.newman2@dxc.com")</f>
        <v>mark.newman2@dxc.com</v>
      </c>
      <c r="R492">
        <f t="shared" si="18"/>
        <v>0</v>
      </c>
      <c r="S492" s="31" t="s">
        <v>5738</v>
      </c>
      <c r="T492" t="s">
        <v>1381</v>
      </c>
      <c r="U492">
        <f>'Filtered Data'!V491</f>
        <v>0</v>
      </c>
      <c r="V492" t="str">
        <f>IF('Filtered Data'!W491,"yes","no")</f>
        <v>no</v>
      </c>
      <c r="W492" t="s">
        <v>15</v>
      </c>
      <c r="X492">
        <f>'Filtered Data'!X491</f>
        <v>0</v>
      </c>
    </row>
    <row r="493" spans="1:24" x14ac:dyDescent="0.35">
      <c r="A493">
        <f>'Filtered Data'!A492</f>
        <v>0</v>
      </c>
      <c r="B493">
        <f>'Filtered Data'!B492</f>
        <v>0</v>
      </c>
      <c r="C493" t="s">
        <v>2</v>
      </c>
      <c r="D493" t="e">
        <f>VLOOKUP('Filtered Data'!Z492,'Data Mapping'!$A$4:$B$7,2,0)</f>
        <v>#N/A</v>
      </c>
      <c r="E493" t="e">
        <f>VLOOKUP('Filtered Data'!C492,'Data Mapping'!$E$3:$F$97,2,0)</f>
        <v>#N/A</v>
      </c>
      <c r="F493">
        <f>'Filtered Data'!D492</f>
        <v>0</v>
      </c>
      <c r="G493" t="e">
        <f>VLOOKUP('Filtered Data'!E492,'Data Mapping'!$J$3:$K$11,2,0)</f>
        <v>#N/A</v>
      </c>
      <c r="H493">
        <f>'Filtered Data'!F492</f>
        <v>0</v>
      </c>
      <c r="I493" t="s">
        <v>5668</v>
      </c>
      <c r="J493" t="s">
        <v>1609</v>
      </c>
      <c r="K493" t="e">
        <f>VLOOKUP('Filtered Data'!A492,'Input 1 CMDB'!A:I,9,0)</f>
        <v>#N/A</v>
      </c>
      <c r="L493">
        <f>'Filtered Data'!K492</f>
        <v>0</v>
      </c>
      <c r="M493" t="e">
        <f t="shared" si="17"/>
        <v>#VALUE!</v>
      </c>
      <c r="N493">
        <f>'Filtered Data'!P492</f>
        <v>0</v>
      </c>
      <c r="O493">
        <f>'Filtered Data'!N492</f>
        <v>0</v>
      </c>
      <c r="P493" t="s">
        <v>5669</v>
      </c>
      <c r="Q493" t="str">
        <f>IF('Filtered Data'!W492,"ITHybridCloudEngineeringOperationsMgmt@Marathonpetroleum.com","mark.newman2@dxc.com")</f>
        <v>mark.newman2@dxc.com</v>
      </c>
      <c r="R493">
        <f t="shared" si="18"/>
        <v>0</v>
      </c>
      <c r="S493" s="31" t="s">
        <v>5738</v>
      </c>
      <c r="T493" t="s">
        <v>1381</v>
      </c>
      <c r="U493">
        <f>'Filtered Data'!V492</f>
        <v>0</v>
      </c>
      <c r="V493" t="str">
        <f>IF('Filtered Data'!W492,"yes","no")</f>
        <v>no</v>
      </c>
      <c r="W493" t="s">
        <v>15</v>
      </c>
      <c r="X493">
        <f>'Filtered Data'!X492</f>
        <v>0</v>
      </c>
    </row>
    <row r="494" spans="1:24" x14ac:dyDescent="0.35">
      <c r="A494">
        <f>'Filtered Data'!A493</f>
        <v>0</v>
      </c>
      <c r="B494">
        <f>'Filtered Data'!B493</f>
        <v>0</v>
      </c>
      <c r="C494" t="s">
        <v>2</v>
      </c>
      <c r="D494" t="e">
        <f>VLOOKUP('Filtered Data'!Z493,'Data Mapping'!$A$4:$B$7,2,0)</f>
        <v>#N/A</v>
      </c>
      <c r="E494" t="e">
        <f>VLOOKUP('Filtered Data'!C493,'Data Mapping'!$E$3:$F$97,2,0)</f>
        <v>#N/A</v>
      </c>
      <c r="F494">
        <f>'Filtered Data'!D493</f>
        <v>0</v>
      </c>
      <c r="G494" t="e">
        <f>VLOOKUP('Filtered Data'!E493,'Data Mapping'!$J$3:$K$11,2,0)</f>
        <v>#N/A</v>
      </c>
      <c r="H494">
        <f>'Filtered Data'!F493</f>
        <v>0</v>
      </c>
      <c r="I494" t="s">
        <v>5668</v>
      </c>
      <c r="J494" t="s">
        <v>1609</v>
      </c>
      <c r="K494" t="e">
        <f>VLOOKUP('Filtered Data'!A493,'Input 1 CMDB'!A:I,9,0)</f>
        <v>#N/A</v>
      </c>
      <c r="L494">
        <f>'Filtered Data'!K493</f>
        <v>0</v>
      </c>
      <c r="M494" t="e">
        <f t="shared" si="17"/>
        <v>#VALUE!</v>
      </c>
      <c r="N494">
        <f>'Filtered Data'!P493</f>
        <v>0</v>
      </c>
      <c r="O494">
        <f>'Filtered Data'!N493</f>
        <v>0</v>
      </c>
      <c r="P494" t="s">
        <v>5669</v>
      </c>
      <c r="Q494" t="str">
        <f>IF('Filtered Data'!W493,"ITHybridCloudEngineeringOperationsMgmt@Marathonpetroleum.com","mark.newman2@dxc.com")</f>
        <v>mark.newman2@dxc.com</v>
      </c>
      <c r="R494">
        <f t="shared" si="18"/>
        <v>0</v>
      </c>
      <c r="S494" s="31" t="s">
        <v>5738</v>
      </c>
      <c r="T494" t="s">
        <v>1381</v>
      </c>
      <c r="U494">
        <f>'Filtered Data'!V493</f>
        <v>0</v>
      </c>
      <c r="V494" t="str">
        <f>IF('Filtered Data'!W493,"yes","no")</f>
        <v>no</v>
      </c>
      <c r="W494" t="s">
        <v>15</v>
      </c>
      <c r="X494">
        <f>'Filtered Data'!X493</f>
        <v>0</v>
      </c>
    </row>
    <row r="495" spans="1:24" x14ac:dyDescent="0.35">
      <c r="A495">
        <f>'Filtered Data'!A494</f>
        <v>0</v>
      </c>
      <c r="B495">
        <f>'Filtered Data'!B494</f>
        <v>0</v>
      </c>
      <c r="C495" t="s">
        <v>2</v>
      </c>
      <c r="D495" t="e">
        <f>VLOOKUP('Filtered Data'!Z494,'Data Mapping'!$A$4:$B$7,2,0)</f>
        <v>#N/A</v>
      </c>
      <c r="E495" t="e">
        <f>VLOOKUP('Filtered Data'!C494,'Data Mapping'!$E$3:$F$97,2,0)</f>
        <v>#N/A</v>
      </c>
      <c r="F495">
        <f>'Filtered Data'!D494</f>
        <v>0</v>
      </c>
      <c r="G495" t="e">
        <f>VLOOKUP('Filtered Data'!E494,'Data Mapping'!$J$3:$K$11,2,0)</f>
        <v>#N/A</v>
      </c>
      <c r="H495">
        <f>'Filtered Data'!F494</f>
        <v>0</v>
      </c>
      <c r="I495" t="s">
        <v>5668</v>
      </c>
      <c r="J495" t="s">
        <v>1609</v>
      </c>
      <c r="K495" t="e">
        <f>VLOOKUP('Filtered Data'!A494,'Input 1 CMDB'!A:I,9,0)</f>
        <v>#N/A</v>
      </c>
      <c r="L495">
        <f>'Filtered Data'!K494</f>
        <v>0</v>
      </c>
      <c r="M495" t="e">
        <f t="shared" si="17"/>
        <v>#VALUE!</v>
      </c>
      <c r="N495">
        <f>'Filtered Data'!P494</f>
        <v>0</v>
      </c>
      <c r="O495">
        <f>'Filtered Data'!N494</f>
        <v>0</v>
      </c>
      <c r="P495" t="s">
        <v>5669</v>
      </c>
      <c r="Q495" t="str">
        <f>IF('Filtered Data'!W494,"ITHybridCloudEngineeringOperationsMgmt@Marathonpetroleum.com","mark.newman2@dxc.com")</f>
        <v>mark.newman2@dxc.com</v>
      </c>
      <c r="R495">
        <f t="shared" si="18"/>
        <v>0</v>
      </c>
      <c r="S495" s="31" t="s">
        <v>5738</v>
      </c>
      <c r="T495" t="s">
        <v>1381</v>
      </c>
      <c r="U495">
        <f>'Filtered Data'!V494</f>
        <v>0</v>
      </c>
      <c r="V495" t="str">
        <f>IF('Filtered Data'!W494,"yes","no")</f>
        <v>no</v>
      </c>
      <c r="W495" t="s">
        <v>15</v>
      </c>
      <c r="X495">
        <f>'Filtered Data'!X494</f>
        <v>0</v>
      </c>
    </row>
    <row r="496" spans="1:24" x14ac:dyDescent="0.35">
      <c r="A496">
        <f>'Filtered Data'!A495</f>
        <v>0</v>
      </c>
      <c r="B496">
        <f>'Filtered Data'!B495</f>
        <v>0</v>
      </c>
      <c r="C496" t="s">
        <v>2</v>
      </c>
      <c r="D496" t="e">
        <f>VLOOKUP('Filtered Data'!Z495,'Data Mapping'!$A$4:$B$7,2,0)</f>
        <v>#N/A</v>
      </c>
      <c r="E496" t="e">
        <f>VLOOKUP('Filtered Data'!C495,'Data Mapping'!$E$3:$F$97,2,0)</f>
        <v>#N/A</v>
      </c>
      <c r="F496">
        <f>'Filtered Data'!D495</f>
        <v>0</v>
      </c>
      <c r="G496" t="e">
        <f>VLOOKUP('Filtered Data'!E495,'Data Mapping'!$J$3:$K$11,2,0)</f>
        <v>#N/A</v>
      </c>
      <c r="H496">
        <f>'Filtered Data'!F495</f>
        <v>0</v>
      </c>
      <c r="I496" t="s">
        <v>5668</v>
      </c>
      <c r="J496" t="s">
        <v>1609</v>
      </c>
      <c r="K496" t="e">
        <f>VLOOKUP('Filtered Data'!A495,'Input 1 CMDB'!A:I,9,0)</f>
        <v>#N/A</v>
      </c>
      <c r="L496">
        <f>'Filtered Data'!K495</f>
        <v>0</v>
      </c>
      <c r="M496" t="e">
        <f t="shared" si="17"/>
        <v>#VALUE!</v>
      </c>
      <c r="N496">
        <f>'Filtered Data'!P495</f>
        <v>0</v>
      </c>
      <c r="O496">
        <f>'Filtered Data'!N495</f>
        <v>0</v>
      </c>
      <c r="P496" t="s">
        <v>5669</v>
      </c>
      <c r="Q496" t="str">
        <f>IF('Filtered Data'!W495,"ITHybridCloudEngineeringOperationsMgmt@Marathonpetroleum.com","mark.newman2@dxc.com")</f>
        <v>mark.newman2@dxc.com</v>
      </c>
      <c r="R496">
        <f t="shared" si="18"/>
        <v>0</v>
      </c>
      <c r="S496" s="31" t="s">
        <v>5738</v>
      </c>
      <c r="T496" t="s">
        <v>1381</v>
      </c>
      <c r="U496">
        <f>'Filtered Data'!V495</f>
        <v>0</v>
      </c>
      <c r="V496" t="str">
        <f>IF('Filtered Data'!W495,"yes","no")</f>
        <v>no</v>
      </c>
      <c r="W496" t="s">
        <v>15</v>
      </c>
      <c r="X496">
        <f>'Filtered Data'!X495</f>
        <v>0</v>
      </c>
    </row>
    <row r="497" spans="1:24" x14ac:dyDescent="0.35">
      <c r="A497">
        <f>'Filtered Data'!A496</f>
        <v>0</v>
      </c>
      <c r="B497">
        <f>'Filtered Data'!B496</f>
        <v>0</v>
      </c>
      <c r="C497" t="s">
        <v>2</v>
      </c>
      <c r="D497" t="e">
        <f>VLOOKUP('Filtered Data'!Z496,'Data Mapping'!$A$4:$B$7,2,0)</f>
        <v>#N/A</v>
      </c>
      <c r="E497" t="e">
        <f>VLOOKUP('Filtered Data'!C496,'Data Mapping'!$E$3:$F$97,2,0)</f>
        <v>#N/A</v>
      </c>
      <c r="F497">
        <f>'Filtered Data'!D496</f>
        <v>0</v>
      </c>
      <c r="G497" t="e">
        <f>VLOOKUP('Filtered Data'!E496,'Data Mapping'!$J$3:$K$11,2,0)</f>
        <v>#N/A</v>
      </c>
      <c r="H497">
        <f>'Filtered Data'!F496</f>
        <v>0</v>
      </c>
      <c r="I497" t="s">
        <v>5668</v>
      </c>
      <c r="J497" t="s">
        <v>1609</v>
      </c>
      <c r="K497" t="e">
        <f>VLOOKUP('Filtered Data'!A496,'Input 1 CMDB'!A:I,9,0)</f>
        <v>#N/A</v>
      </c>
      <c r="L497">
        <f>'Filtered Data'!K496</f>
        <v>0</v>
      </c>
      <c r="M497" t="e">
        <f t="shared" si="17"/>
        <v>#VALUE!</v>
      </c>
      <c r="N497">
        <f>'Filtered Data'!P496</f>
        <v>0</v>
      </c>
      <c r="O497">
        <f>'Filtered Data'!N496</f>
        <v>0</v>
      </c>
      <c r="P497" t="s">
        <v>5669</v>
      </c>
      <c r="Q497" t="str">
        <f>IF('Filtered Data'!W496,"ITHybridCloudEngineeringOperationsMgmt@Marathonpetroleum.com","mark.newman2@dxc.com")</f>
        <v>mark.newman2@dxc.com</v>
      </c>
      <c r="R497">
        <f t="shared" si="18"/>
        <v>0</v>
      </c>
      <c r="S497" s="31" t="s">
        <v>5738</v>
      </c>
      <c r="T497" t="s">
        <v>1381</v>
      </c>
      <c r="U497">
        <f>'Filtered Data'!V496</f>
        <v>0</v>
      </c>
      <c r="V497" t="str">
        <f>IF('Filtered Data'!W496,"yes","no")</f>
        <v>no</v>
      </c>
      <c r="W497" t="s">
        <v>15</v>
      </c>
      <c r="X497">
        <f>'Filtered Data'!X496</f>
        <v>0</v>
      </c>
    </row>
    <row r="498" spans="1:24" x14ac:dyDescent="0.35">
      <c r="A498">
        <f>'Filtered Data'!A497</f>
        <v>0</v>
      </c>
      <c r="B498">
        <f>'Filtered Data'!B497</f>
        <v>0</v>
      </c>
      <c r="C498" t="s">
        <v>2</v>
      </c>
      <c r="D498" t="e">
        <f>VLOOKUP('Filtered Data'!Z497,'Data Mapping'!$A$4:$B$7,2,0)</f>
        <v>#N/A</v>
      </c>
      <c r="E498" t="e">
        <f>VLOOKUP('Filtered Data'!C497,'Data Mapping'!$E$3:$F$97,2,0)</f>
        <v>#N/A</v>
      </c>
      <c r="F498">
        <f>'Filtered Data'!D497</f>
        <v>0</v>
      </c>
      <c r="G498" t="e">
        <f>VLOOKUP('Filtered Data'!E497,'Data Mapping'!$J$3:$K$11,2,0)</f>
        <v>#N/A</v>
      </c>
      <c r="H498">
        <f>'Filtered Data'!F497</f>
        <v>0</v>
      </c>
      <c r="I498" t="s">
        <v>5668</v>
      </c>
      <c r="J498" t="s">
        <v>1609</v>
      </c>
      <c r="K498" t="e">
        <f>VLOOKUP('Filtered Data'!A497,'Input 1 CMDB'!A:I,9,0)</f>
        <v>#N/A</v>
      </c>
      <c r="L498">
        <f>'Filtered Data'!K497</f>
        <v>0</v>
      </c>
      <c r="M498" t="e">
        <f t="shared" si="17"/>
        <v>#VALUE!</v>
      </c>
      <c r="N498">
        <f>'Filtered Data'!P497</f>
        <v>0</v>
      </c>
      <c r="O498">
        <f>'Filtered Data'!N497</f>
        <v>0</v>
      </c>
      <c r="P498" t="s">
        <v>5669</v>
      </c>
      <c r="Q498" t="str">
        <f>IF('Filtered Data'!W497,"ITHybridCloudEngineeringOperationsMgmt@Marathonpetroleum.com","mark.newman2@dxc.com")</f>
        <v>mark.newman2@dxc.com</v>
      </c>
      <c r="R498">
        <f t="shared" si="18"/>
        <v>0</v>
      </c>
      <c r="S498" s="31" t="s">
        <v>5738</v>
      </c>
      <c r="T498" t="s">
        <v>1381</v>
      </c>
      <c r="U498">
        <f>'Filtered Data'!V497</f>
        <v>0</v>
      </c>
      <c r="V498" t="str">
        <f>IF('Filtered Data'!W497,"yes","no")</f>
        <v>no</v>
      </c>
      <c r="W498" t="s">
        <v>15</v>
      </c>
      <c r="X498">
        <f>'Filtered Data'!X497</f>
        <v>0</v>
      </c>
    </row>
    <row r="499" spans="1:24" x14ac:dyDescent="0.35">
      <c r="A499">
        <f>'Filtered Data'!A498</f>
        <v>0</v>
      </c>
      <c r="B499">
        <f>'Filtered Data'!B498</f>
        <v>0</v>
      </c>
      <c r="C499" t="s">
        <v>2</v>
      </c>
      <c r="D499" t="e">
        <f>VLOOKUP('Filtered Data'!Z498,'Data Mapping'!$A$4:$B$7,2,0)</f>
        <v>#N/A</v>
      </c>
      <c r="E499" t="e">
        <f>VLOOKUP('Filtered Data'!C498,'Data Mapping'!$E$3:$F$97,2,0)</f>
        <v>#N/A</v>
      </c>
      <c r="F499">
        <f>'Filtered Data'!D498</f>
        <v>0</v>
      </c>
      <c r="G499" t="e">
        <f>VLOOKUP('Filtered Data'!E498,'Data Mapping'!$J$3:$K$11,2,0)</f>
        <v>#N/A</v>
      </c>
      <c r="H499">
        <f>'Filtered Data'!F498</f>
        <v>0</v>
      </c>
      <c r="I499" t="s">
        <v>5668</v>
      </c>
      <c r="J499" t="s">
        <v>1609</v>
      </c>
      <c r="K499" t="e">
        <f>VLOOKUP('Filtered Data'!A498,'Input 1 CMDB'!A:I,9,0)</f>
        <v>#N/A</v>
      </c>
      <c r="L499">
        <f>'Filtered Data'!K498</f>
        <v>0</v>
      </c>
      <c r="M499" t="e">
        <f t="shared" si="17"/>
        <v>#VALUE!</v>
      </c>
      <c r="N499">
        <f>'Filtered Data'!P498</f>
        <v>0</v>
      </c>
      <c r="O499">
        <f>'Filtered Data'!N498</f>
        <v>0</v>
      </c>
      <c r="P499" t="s">
        <v>5669</v>
      </c>
      <c r="Q499" t="str">
        <f>IF('Filtered Data'!W498,"ITHybridCloudEngineeringOperationsMgmt@Marathonpetroleum.com","mark.newman2@dxc.com")</f>
        <v>mark.newman2@dxc.com</v>
      </c>
      <c r="R499">
        <f t="shared" si="18"/>
        <v>0</v>
      </c>
      <c r="S499" s="31" t="s">
        <v>5738</v>
      </c>
      <c r="T499" t="s">
        <v>1381</v>
      </c>
      <c r="U499">
        <f>'Filtered Data'!V498</f>
        <v>0</v>
      </c>
      <c r="V499" t="str">
        <f>IF('Filtered Data'!W498,"yes","no")</f>
        <v>no</v>
      </c>
      <c r="W499" t="s">
        <v>15</v>
      </c>
      <c r="X499">
        <f>'Filtered Data'!X498</f>
        <v>0</v>
      </c>
    </row>
    <row r="500" spans="1:24" x14ac:dyDescent="0.35">
      <c r="A500">
        <f>'Filtered Data'!A499</f>
        <v>0</v>
      </c>
      <c r="B500">
        <f>'Filtered Data'!B499</f>
        <v>0</v>
      </c>
      <c r="C500" t="s">
        <v>2</v>
      </c>
      <c r="D500" t="e">
        <f>VLOOKUP('Filtered Data'!Z499,'Data Mapping'!$A$4:$B$7,2,0)</f>
        <v>#N/A</v>
      </c>
      <c r="E500" t="e">
        <f>VLOOKUP('Filtered Data'!C499,'Data Mapping'!$E$3:$F$97,2,0)</f>
        <v>#N/A</v>
      </c>
      <c r="F500">
        <f>'Filtered Data'!D499</f>
        <v>0</v>
      </c>
      <c r="G500" t="e">
        <f>VLOOKUP('Filtered Data'!E499,'Data Mapping'!$J$3:$K$11,2,0)</f>
        <v>#N/A</v>
      </c>
      <c r="H500">
        <f>'Filtered Data'!F499</f>
        <v>0</v>
      </c>
      <c r="I500" t="s">
        <v>5668</v>
      </c>
      <c r="J500" t="s">
        <v>1609</v>
      </c>
      <c r="K500" t="e">
        <f>VLOOKUP('Filtered Data'!A499,'Input 1 CMDB'!A:I,9,0)</f>
        <v>#N/A</v>
      </c>
      <c r="L500">
        <f>'Filtered Data'!K499</f>
        <v>0</v>
      </c>
      <c r="M500" t="e">
        <f t="shared" si="17"/>
        <v>#VALUE!</v>
      </c>
      <c r="N500">
        <f>'Filtered Data'!P499</f>
        <v>0</v>
      </c>
      <c r="O500">
        <f>'Filtered Data'!N499</f>
        <v>0</v>
      </c>
      <c r="P500" t="s">
        <v>5669</v>
      </c>
      <c r="Q500" t="str">
        <f>IF('Filtered Data'!W499,"ITHybridCloudEngineeringOperationsMgmt@Marathonpetroleum.com","mark.newman2@dxc.com")</f>
        <v>mark.newman2@dxc.com</v>
      </c>
      <c r="R500">
        <f t="shared" si="18"/>
        <v>0</v>
      </c>
      <c r="S500" s="31" t="s">
        <v>5738</v>
      </c>
      <c r="T500" t="s">
        <v>1381</v>
      </c>
      <c r="U500">
        <f>'Filtered Data'!V499</f>
        <v>0</v>
      </c>
      <c r="V500" t="str">
        <f>IF('Filtered Data'!W499,"yes","no")</f>
        <v>no</v>
      </c>
      <c r="W500" t="s">
        <v>15</v>
      </c>
      <c r="X500">
        <f>'Filtered Data'!X499</f>
        <v>0</v>
      </c>
    </row>
    <row r="501" spans="1:24" x14ac:dyDescent="0.35">
      <c r="A501">
        <f>'Filtered Data'!A500</f>
        <v>0</v>
      </c>
      <c r="B501">
        <f>'Filtered Data'!B500</f>
        <v>0</v>
      </c>
      <c r="C501" t="s">
        <v>2</v>
      </c>
      <c r="D501" t="e">
        <f>VLOOKUP('Filtered Data'!Z500,'Data Mapping'!$A$4:$B$7,2,0)</f>
        <v>#N/A</v>
      </c>
      <c r="E501" t="e">
        <f>VLOOKUP('Filtered Data'!C500,'Data Mapping'!$E$3:$F$97,2,0)</f>
        <v>#N/A</v>
      </c>
      <c r="F501">
        <f>'Filtered Data'!D500</f>
        <v>0</v>
      </c>
      <c r="G501" t="e">
        <f>VLOOKUP('Filtered Data'!E500,'Data Mapping'!$J$3:$K$11,2,0)</f>
        <v>#N/A</v>
      </c>
      <c r="H501">
        <f>'Filtered Data'!F500</f>
        <v>0</v>
      </c>
      <c r="I501" t="s">
        <v>5668</v>
      </c>
      <c r="J501" t="s">
        <v>1609</v>
      </c>
      <c r="K501" t="e">
        <f>VLOOKUP('Filtered Data'!A500,'Input 1 CMDB'!A:I,9,0)</f>
        <v>#N/A</v>
      </c>
      <c r="L501">
        <f>'Filtered Data'!K500</f>
        <v>0</v>
      </c>
      <c r="M501" t="e">
        <f t="shared" si="17"/>
        <v>#VALUE!</v>
      </c>
      <c r="N501">
        <f>'Filtered Data'!P500</f>
        <v>0</v>
      </c>
      <c r="O501">
        <f>'Filtered Data'!N500</f>
        <v>0</v>
      </c>
      <c r="P501" t="s">
        <v>5669</v>
      </c>
      <c r="Q501" t="str">
        <f>IF('Filtered Data'!W500,"ITHybridCloudEngineeringOperationsMgmt@Marathonpetroleum.com","mark.newman2@dxc.com")</f>
        <v>mark.newman2@dxc.com</v>
      </c>
      <c r="R501">
        <f t="shared" si="18"/>
        <v>0</v>
      </c>
      <c r="S501" s="31" t="s">
        <v>5738</v>
      </c>
      <c r="T501" t="s">
        <v>1381</v>
      </c>
      <c r="U501">
        <f>'Filtered Data'!V500</f>
        <v>0</v>
      </c>
      <c r="V501" t="str">
        <f>IF('Filtered Data'!W500,"yes","no")</f>
        <v>no</v>
      </c>
      <c r="W501" t="s">
        <v>15</v>
      </c>
      <c r="X501">
        <f>'Filtered Data'!X500</f>
        <v>0</v>
      </c>
    </row>
    <row r="502" spans="1:24" x14ac:dyDescent="0.35">
      <c r="A502">
        <f>'Filtered Data'!A501</f>
        <v>0</v>
      </c>
      <c r="B502">
        <f>'Filtered Data'!B501</f>
        <v>0</v>
      </c>
      <c r="C502" t="s">
        <v>2</v>
      </c>
      <c r="D502" t="e">
        <f>VLOOKUP('Filtered Data'!Z501,'Data Mapping'!$A$4:$B$7,2,0)</f>
        <v>#N/A</v>
      </c>
      <c r="E502" t="e">
        <f>VLOOKUP('Filtered Data'!C501,'Data Mapping'!$E$3:$F$97,2,0)</f>
        <v>#N/A</v>
      </c>
      <c r="F502">
        <f>'Filtered Data'!D501</f>
        <v>0</v>
      </c>
      <c r="G502" t="e">
        <f>VLOOKUP('Filtered Data'!E501,'Data Mapping'!$J$3:$K$11,2,0)</f>
        <v>#N/A</v>
      </c>
      <c r="H502">
        <f>'Filtered Data'!F501</f>
        <v>0</v>
      </c>
      <c r="I502" t="s">
        <v>5668</v>
      </c>
      <c r="J502" t="s">
        <v>1609</v>
      </c>
      <c r="K502" t="e">
        <f>VLOOKUP('Filtered Data'!A501,'Input 1 CMDB'!A:I,9,0)</f>
        <v>#N/A</v>
      </c>
      <c r="L502">
        <f>'Filtered Data'!K501</f>
        <v>0</v>
      </c>
      <c r="M502" t="e">
        <f t="shared" si="17"/>
        <v>#VALUE!</v>
      </c>
      <c r="N502">
        <f>'Filtered Data'!P501</f>
        <v>0</v>
      </c>
      <c r="O502">
        <f>'Filtered Data'!N501</f>
        <v>0</v>
      </c>
      <c r="P502" t="s">
        <v>5669</v>
      </c>
      <c r="Q502" t="str">
        <f>IF('Filtered Data'!W501,"ITHybridCloudEngineeringOperationsMgmt@Marathonpetroleum.com","mark.newman2@dxc.com")</f>
        <v>mark.newman2@dxc.com</v>
      </c>
      <c r="R502">
        <f t="shared" si="18"/>
        <v>0</v>
      </c>
      <c r="S502" s="31" t="s">
        <v>5738</v>
      </c>
      <c r="T502" t="s">
        <v>1381</v>
      </c>
      <c r="U502">
        <f>'Filtered Data'!V501</f>
        <v>0</v>
      </c>
      <c r="V502" t="str">
        <f>IF('Filtered Data'!W501,"yes","no")</f>
        <v>no</v>
      </c>
      <c r="W502" t="s">
        <v>15</v>
      </c>
      <c r="X502">
        <f>'Filtered Data'!X501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8B3C-2B09-4CFF-A6B7-F21EAF7D9D76}">
  <sheetPr codeName="Sheet8"/>
  <dimension ref="A1:O97"/>
  <sheetViews>
    <sheetView topLeftCell="D1" workbookViewId="0">
      <selection activeCell="G7" sqref="G7"/>
    </sheetView>
  </sheetViews>
  <sheetFormatPr defaultRowHeight="14.5" x14ac:dyDescent="0.35"/>
  <cols>
    <col min="1" max="1" width="23.08984375" bestFit="1" customWidth="1"/>
    <col min="2" max="2" width="15.453125" bestFit="1" customWidth="1"/>
    <col min="5" max="5" width="14" bestFit="1" customWidth="1"/>
    <col min="6" max="6" width="18.1796875" customWidth="1"/>
    <col min="10" max="10" width="15.6328125" bestFit="1" customWidth="1"/>
    <col min="11" max="11" width="10.90625" bestFit="1" customWidth="1"/>
    <col min="15" max="15" width="21.81640625" bestFit="1" customWidth="1"/>
  </cols>
  <sheetData>
    <row r="1" spans="1:15" x14ac:dyDescent="0.35">
      <c r="A1" s="1" t="s">
        <v>5626</v>
      </c>
      <c r="E1" s="1" t="s">
        <v>5627</v>
      </c>
      <c r="J1" s="1" t="s">
        <v>5628</v>
      </c>
      <c r="O1" t="s">
        <v>5733</v>
      </c>
    </row>
    <row r="2" spans="1:15" x14ac:dyDescent="0.35">
      <c r="O2">
        <f>COUNTIF('Matrix Formula'!A3:A502,"0")</f>
        <v>493</v>
      </c>
    </row>
    <row r="3" spans="1:15" ht="15" thickBot="1" x14ac:dyDescent="0.4">
      <c r="A3" s="1" t="s">
        <v>5629</v>
      </c>
      <c r="B3" s="1" t="s">
        <v>5630</v>
      </c>
      <c r="E3" s="1" t="s">
        <v>5631</v>
      </c>
      <c r="F3" s="1" t="s">
        <v>5632</v>
      </c>
      <c r="J3" s="22" t="s">
        <v>5633</v>
      </c>
      <c r="K3" s="22" t="s">
        <v>5634</v>
      </c>
      <c r="O3">
        <f>500-O2</f>
        <v>7</v>
      </c>
    </row>
    <row r="4" spans="1:15" ht="15" thickBot="1" x14ac:dyDescent="0.4">
      <c r="A4" s="23" t="s">
        <v>2032</v>
      </c>
      <c r="B4" s="23" t="s">
        <v>13</v>
      </c>
      <c r="E4" s="24" t="s">
        <v>3167</v>
      </c>
      <c r="F4" s="24" t="s">
        <v>5635</v>
      </c>
      <c r="J4" s="25" t="s">
        <v>2627</v>
      </c>
      <c r="K4" s="26" t="s">
        <v>7</v>
      </c>
      <c r="O4" s="30">
        <f>'Data Mapping'!O3+2</f>
        <v>9</v>
      </c>
    </row>
    <row r="5" spans="1:15" ht="15" thickBot="1" x14ac:dyDescent="0.4">
      <c r="A5" s="23" t="s">
        <v>2081</v>
      </c>
      <c r="B5" s="23" t="s">
        <v>16</v>
      </c>
      <c r="E5" s="24" t="s">
        <v>3922</v>
      </c>
      <c r="F5" s="24" t="s">
        <v>5636</v>
      </c>
      <c r="J5" s="25" t="s">
        <v>3072</v>
      </c>
      <c r="K5" s="26" t="s">
        <v>6</v>
      </c>
      <c r="N5" t="s">
        <v>5734</v>
      </c>
      <c r="O5" s="1" t="str">
        <f>CONCATENATE("Y",O4)</f>
        <v>Y9</v>
      </c>
    </row>
    <row r="6" spans="1:15" ht="23.5" thickBot="1" x14ac:dyDescent="0.4">
      <c r="A6" s="23" t="s">
        <v>2053</v>
      </c>
      <c r="B6" s="23" t="s">
        <v>19</v>
      </c>
      <c r="E6" s="24" t="s">
        <v>2648</v>
      </c>
      <c r="F6" s="24" t="s">
        <v>5637</v>
      </c>
      <c r="J6" s="25" t="s">
        <v>2020</v>
      </c>
      <c r="K6" s="26" t="s">
        <v>1</v>
      </c>
    </row>
    <row r="7" spans="1:15" ht="23.5" thickBot="1" x14ac:dyDescent="0.4">
      <c r="A7" s="23" t="s">
        <v>5638</v>
      </c>
      <c r="B7" s="23" t="s">
        <v>19</v>
      </c>
      <c r="E7" s="24" t="s">
        <v>5251</v>
      </c>
      <c r="F7" s="24" t="s">
        <v>5639</v>
      </c>
      <c r="J7" s="25" t="s">
        <v>5640</v>
      </c>
      <c r="K7" s="26" t="s">
        <v>3</v>
      </c>
    </row>
    <row r="8" spans="1:15" ht="23.5" thickBot="1" x14ac:dyDescent="0.4">
      <c r="E8" s="24" t="s">
        <v>3149</v>
      </c>
      <c r="F8" s="24" t="s">
        <v>5641</v>
      </c>
      <c r="J8" s="25" t="s">
        <v>5642</v>
      </c>
      <c r="K8" s="26" t="s">
        <v>3</v>
      </c>
    </row>
    <row r="9" spans="1:15" ht="23.5" thickBot="1" x14ac:dyDescent="0.4">
      <c r="E9" s="24" t="s">
        <v>5357</v>
      </c>
      <c r="F9" s="24" t="s">
        <v>5643</v>
      </c>
      <c r="J9" s="25" t="s">
        <v>5644</v>
      </c>
      <c r="K9" s="26" t="s">
        <v>5</v>
      </c>
    </row>
    <row r="10" spans="1:15" ht="23.5" thickBot="1" x14ac:dyDescent="0.4">
      <c r="E10" s="24" t="s">
        <v>2182</v>
      </c>
      <c r="F10" s="24" t="s">
        <v>5645</v>
      </c>
      <c r="J10" s="25" t="s">
        <v>5646</v>
      </c>
      <c r="K10" s="23" t="s">
        <v>3</v>
      </c>
    </row>
    <row r="11" spans="1:15" ht="23.5" thickBot="1" x14ac:dyDescent="0.4">
      <c r="E11" s="24" t="s">
        <v>2335</v>
      </c>
      <c r="F11" s="24" t="s">
        <v>5647</v>
      </c>
      <c r="J11" s="25" t="s">
        <v>5648</v>
      </c>
      <c r="K11" s="26" t="s">
        <v>5</v>
      </c>
    </row>
    <row r="12" spans="1:15" ht="23.5" thickBot="1" x14ac:dyDescent="0.4">
      <c r="E12" s="24" t="s">
        <v>2038</v>
      </c>
      <c r="F12" s="24" t="s">
        <v>5649</v>
      </c>
    </row>
    <row r="13" spans="1:15" ht="23.5" thickBot="1" x14ac:dyDescent="0.4">
      <c r="E13" s="24" t="s">
        <v>5222</v>
      </c>
      <c r="F13" s="24" t="s">
        <v>5650</v>
      </c>
    </row>
    <row r="14" spans="1:15" ht="23.5" thickBot="1" x14ac:dyDescent="0.4">
      <c r="E14" s="24" t="s">
        <v>2509</v>
      </c>
      <c r="F14" s="24" t="s">
        <v>5651</v>
      </c>
    </row>
    <row r="15" spans="1:15" ht="23.5" thickBot="1" x14ac:dyDescent="0.4">
      <c r="E15" s="24" t="s">
        <v>2019</v>
      </c>
      <c r="F15" s="24" t="s">
        <v>5652</v>
      </c>
    </row>
    <row r="16" spans="1:15" ht="23.5" thickBot="1" x14ac:dyDescent="0.4">
      <c r="E16" s="24" t="s">
        <v>2544</v>
      </c>
      <c r="F16" s="24" t="s">
        <v>5653</v>
      </c>
    </row>
    <row r="17" spans="5:6" ht="23.5" thickBot="1" x14ac:dyDescent="0.4">
      <c r="E17" s="24" t="s">
        <v>2175</v>
      </c>
      <c r="F17" s="24" t="s">
        <v>5654</v>
      </c>
    </row>
    <row r="18" spans="5:6" ht="23.5" thickBot="1" x14ac:dyDescent="0.4">
      <c r="E18" s="24" t="s">
        <v>2735</v>
      </c>
      <c r="F18" s="24" t="s">
        <v>5655</v>
      </c>
    </row>
    <row r="19" spans="5:6" ht="23.5" thickBot="1" x14ac:dyDescent="0.4">
      <c r="E19" s="24" t="s">
        <v>2283</v>
      </c>
      <c r="F19" s="24" t="s">
        <v>5656</v>
      </c>
    </row>
    <row r="20" spans="5:6" ht="23.5" thickBot="1" x14ac:dyDescent="0.4">
      <c r="E20" s="24" t="s">
        <v>2967</v>
      </c>
      <c r="F20" s="24" t="s">
        <v>5657</v>
      </c>
    </row>
    <row r="21" spans="5:6" ht="23.5" thickBot="1" x14ac:dyDescent="0.4">
      <c r="E21" s="24" t="s">
        <v>2196</v>
      </c>
      <c r="F21" s="24" t="s">
        <v>5658</v>
      </c>
    </row>
    <row r="22" spans="5:6" ht="23.5" thickBot="1" x14ac:dyDescent="0.4">
      <c r="E22" s="24" t="s">
        <v>2495</v>
      </c>
      <c r="F22" s="24" t="s">
        <v>5659</v>
      </c>
    </row>
    <row r="23" spans="5:6" ht="15" thickBot="1" x14ac:dyDescent="0.4">
      <c r="E23" s="24" t="s">
        <v>2150</v>
      </c>
      <c r="F23" s="24" t="s">
        <v>5660</v>
      </c>
    </row>
    <row r="24" spans="5:6" ht="15" thickBot="1" x14ac:dyDescent="0.4">
      <c r="E24" s="24" t="s">
        <v>5423</v>
      </c>
      <c r="F24" s="24" t="s">
        <v>5661</v>
      </c>
    </row>
    <row r="25" spans="5:6" ht="23.5" thickBot="1" x14ac:dyDescent="0.4">
      <c r="E25" s="24" t="s">
        <v>2273</v>
      </c>
      <c r="F25" s="24" t="s">
        <v>5662</v>
      </c>
    </row>
    <row r="26" spans="5:6" ht="23.5" thickBot="1" x14ac:dyDescent="0.4">
      <c r="E26" s="24" t="s">
        <v>2538</v>
      </c>
      <c r="F26" s="24" t="s">
        <v>5663</v>
      </c>
    </row>
    <row r="27" spans="5:6" ht="23.5" thickBot="1" x14ac:dyDescent="0.4">
      <c r="E27" s="24" t="s">
        <v>2642</v>
      </c>
      <c r="F27" s="24" t="s">
        <v>5664</v>
      </c>
    </row>
    <row r="28" spans="5:6" ht="15" thickBot="1" x14ac:dyDescent="0.4">
      <c r="E28" s="24" t="s">
        <v>24</v>
      </c>
      <c r="F28" s="24" t="s">
        <v>5665</v>
      </c>
    </row>
    <row r="29" spans="5:6" ht="23.5" thickBot="1" x14ac:dyDescent="0.4">
      <c r="E29" s="24" t="s">
        <v>2505</v>
      </c>
      <c r="F29" s="24" t="s">
        <v>5666</v>
      </c>
    </row>
    <row r="30" spans="5:6" ht="23.5" thickBot="1" x14ac:dyDescent="0.4">
      <c r="E30" s="24" t="s">
        <v>5667</v>
      </c>
      <c r="F30" s="27"/>
    </row>
    <row r="31" spans="5:6" ht="15" thickBot="1" x14ac:dyDescent="0.4">
      <c r="E31" s="1" t="s">
        <v>5670</v>
      </c>
    </row>
    <row r="32" spans="5:6" ht="15" thickBot="1" x14ac:dyDescent="0.4">
      <c r="E32" s="24" t="s">
        <v>20</v>
      </c>
      <c r="F32" s="24" t="s">
        <v>5657</v>
      </c>
    </row>
    <row r="33" spans="5:6" ht="15" thickBot="1" x14ac:dyDescent="0.4">
      <c r="E33" s="28" t="s">
        <v>5671</v>
      </c>
    </row>
    <row r="34" spans="5:6" ht="15" thickBot="1" x14ac:dyDescent="0.4">
      <c r="E34" s="24" t="s">
        <v>2335</v>
      </c>
      <c r="F34" t="s">
        <v>5647</v>
      </c>
    </row>
    <row r="35" spans="5:6" ht="15" thickBot="1" x14ac:dyDescent="0.4">
      <c r="E35" s="28" t="s">
        <v>5672</v>
      </c>
      <c r="F35" t="s">
        <v>5672</v>
      </c>
    </row>
    <row r="36" spans="5:6" ht="23.5" thickBot="1" x14ac:dyDescent="0.4">
      <c r="E36" s="24" t="s">
        <v>2019</v>
      </c>
      <c r="F36" t="s">
        <v>5652</v>
      </c>
    </row>
    <row r="37" spans="5:6" ht="15" thickBot="1" x14ac:dyDescent="0.4">
      <c r="E37" s="24" t="s">
        <v>24</v>
      </c>
      <c r="F37" t="s">
        <v>5665</v>
      </c>
    </row>
    <row r="38" spans="5:6" ht="15" thickBot="1" x14ac:dyDescent="0.4">
      <c r="E38" s="24" t="s">
        <v>3922</v>
      </c>
      <c r="F38" s="29" t="s">
        <v>5636</v>
      </c>
    </row>
    <row r="39" spans="5:6" ht="23.5" thickBot="1" x14ac:dyDescent="0.4">
      <c r="E39" s="24" t="s">
        <v>2642</v>
      </c>
      <c r="F39" t="s">
        <v>5664</v>
      </c>
    </row>
    <row r="40" spans="5:6" ht="23.5" thickBot="1" x14ac:dyDescent="0.4">
      <c r="E40" s="24" t="s">
        <v>2038</v>
      </c>
      <c r="F40" t="s">
        <v>5649</v>
      </c>
    </row>
    <row r="41" spans="5:6" ht="23.5" thickBot="1" x14ac:dyDescent="0.4">
      <c r="E41" s="24" t="s">
        <v>2544</v>
      </c>
      <c r="F41" t="s">
        <v>5653</v>
      </c>
    </row>
    <row r="42" spans="5:6" ht="23.5" thickBot="1" x14ac:dyDescent="0.4">
      <c r="E42" s="24" t="s">
        <v>5673</v>
      </c>
      <c r="F42" s="29" t="s">
        <v>5674</v>
      </c>
    </row>
    <row r="43" spans="5:6" ht="15" thickBot="1" x14ac:dyDescent="0.4">
      <c r="E43" s="24" t="s">
        <v>5675</v>
      </c>
      <c r="F43" s="29" t="s">
        <v>5676</v>
      </c>
    </row>
    <row r="44" spans="5:6" ht="15" thickBot="1" x14ac:dyDescent="0.4">
      <c r="E44" s="24" t="s">
        <v>5677</v>
      </c>
      <c r="F44" s="29" t="s">
        <v>5678</v>
      </c>
    </row>
    <row r="45" spans="5:6" ht="15" thickBot="1" x14ac:dyDescent="0.4">
      <c r="E45" s="24" t="s">
        <v>2150</v>
      </c>
      <c r="F45" t="s">
        <v>5660</v>
      </c>
    </row>
    <row r="46" spans="5:6" ht="23.5" thickBot="1" x14ac:dyDescent="0.4">
      <c r="E46" s="24" t="s">
        <v>2175</v>
      </c>
      <c r="F46" t="s">
        <v>5654</v>
      </c>
    </row>
    <row r="47" spans="5:6" ht="15" thickBot="1" x14ac:dyDescent="0.4">
      <c r="E47" s="28" t="s">
        <v>5679</v>
      </c>
      <c r="F47" t="s">
        <v>5679</v>
      </c>
    </row>
    <row r="48" spans="5:6" ht="23.5" thickBot="1" x14ac:dyDescent="0.4">
      <c r="E48" s="24" t="s">
        <v>2182</v>
      </c>
      <c r="F48" s="29" t="s">
        <v>5645</v>
      </c>
    </row>
    <row r="49" spans="5:6" ht="23.5" thickBot="1" x14ac:dyDescent="0.4">
      <c r="E49" s="28" t="s">
        <v>5680</v>
      </c>
      <c r="F49" t="s">
        <v>5680</v>
      </c>
    </row>
    <row r="50" spans="5:6" ht="23.5" thickBot="1" x14ac:dyDescent="0.4">
      <c r="E50" s="24" t="s">
        <v>2196</v>
      </c>
      <c r="F50" t="s">
        <v>5658</v>
      </c>
    </row>
    <row r="51" spans="5:6" ht="23.5" thickBot="1" x14ac:dyDescent="0.4">
      <c r="E51" s="24" t="s">
        <v>2273</v>
      </c>
      <c r="F51" t="s">
        <v>5662</v>
      </c>
    </row>
    <row r="52" spans="5:6" ht="23.5" thickBot="1" x14ac:dyDescent="0.4">
      <c r="E52" s="24" t="s">
        <v>2283</v>
      </c>
      <c r="F52" s="29" t="s">
        <v>5681</v>
      </c>
    </row>
    <row r="53" spans="5:6" ht="23.5" thickBot="1" x14ac:dyDescent="0.4">
      <c r="E53" s="24" t="s">
        <v>5682</v>
      </c>
      <c r="F53" s="29" t="s">
        <v>5681</v>
      </c>
    </row>
    <row r="54" spans="5:6" ht="23.5" thickBot="1" x14ac:dyDescent="0.4">
      <c r="E54" s="24" t="s">
        <v>5683</v>
      </c>
      <c r="F54" s="29" t="s">
        <v>5684</v>
      </c>
    </row>
    <row r="55" spans="5:6" ht="15" thickBot="1" x14ac:dyDescent="0.4">
      <c r="E55" s="24" t="s">
        <v>5685</v>
      </c>
      <c r="F55" s="29" t="s">
        <v>5686</v>
      </c>
    </row>
    <row r="56" spans="5:6" ht="15" thickBot="1" x14ac:dyDescent="0.4">
      <c r="E56" s="24" t="s">
        <v>3167</v>
      </c>
      <c r="F56" s="24" t="s">
        <v>5635</v>
      </c>
    </row>
    <row r="57" spans="5:6" ht="23.5" thickBot="1" x14ac:dyDescent="0.4">
      <c r="E57" s="24" t="s">
        <v>5687</v>
      </c>
      <c r="F57" s="29" t="s">
        <v>5688</v>
      </c>
    </row>
    <row r="58" spans="5:6" x14ac:dyDescent="0.35">
      <c r="E58" t="s">
        <v>5689</v>
      </c>
      <c r="F58" s="29" t="s">
        <v>5690</v>
      </c>
    </row>
    <row r="59" spans="5:6" x14ac:dyDescent="0.35">
      <c r="E59" t="s">
        <v>2505</v>
      </c>
      <c r="F59" s="29" t="s">
        <v>5666</v>
      </c>
    </row>
    <row r="60" spans="5:6" x14ac:dyDescent="0.35">
      <c r="E60" t="s">
        <v>2495</v>
      </c>
      <c r="F60" s="29" t="s">
        <v>5659</v>
      </c>
    </row>
    <row r="61" spans="5:6" ht="15" thickBot="1" x14ac:dyDescent="0.4">
      <c r="E61" t="s">
        <v>2509</v>
      </c>
      <c r="F61" s="29" t="s">
        <v>5651</v>
      </c>
    </row>
    <row r="62" spans="5:6" ht="15" thickBot="1" x14ac:dyDescent="0.4">
      <c r="E62" t="s">
        <v>2967</v>
      </c>
      <c r="F62" s="24" t="s">
        <v>5657</v>
      </c>
    </row>
    <row r="63" spans="5:6" x14ac:dyDescent="0.35">
      <c r="E63" t="s">
        <v>2538</v>
      </c>
      <c r="F63" s="29" t="s">
        <v>5663</v>
      </c>
    </row>
    <row r="64" spans="5:6" x14ac:dyDescent="0.35">
      <c r="E64" t="s">
        <v>2648</v>
      </c>
      <c r="F64" s="29" t="s">
        <v>5637</v>
      </c>
    </row>
    <row r="65" spans="5:6" x14ac:dyDescent="0.35">
      <c r="E65" t="s">
        <v>2735</v>
      </c>
      <c r="F65" s="29" t="s">
        <v>5655</v>
      </c>
    </row>
    <row r="66" spans="5:6" x14ac:dyDescent="0.35">
      <c r="E66" t="s">
        <v>5691</v>
      </c>
      <c r="F66" s="29" t="s">
        <v>5692</v>
      </c>
    </row>
    <row r="67" spans="5:6" x14ac:dyDescent="0.35">
      <c r="E67" t="s">
        <v>5693</v>
      </c>
      <c r="F67" s="29" t="s">
        <v>5663</v>
      </c>
    </row>
    <row r="68" spans="5:6" x14ac:dyDescent="0.35">
      <c r="E68" t="s">
        <v>5694</v>
      </c>
      <c r="F68" s="29" t="s">
        <v>5695</v>
      </c>
    </row>
    <row r="69" spans="5:6" x14ac:dyDescent="0.35">
      <c r="E69" t="s">
        <v>5696</v>
      </c>
      <c r="F69" s="29" t="s">
        <v>5697</v>
      </c>
    </row>
    <row r="70" spans="5:6" x14ac:dyDescent="0.35">
      <c r="E70" t="s">
        <v>5698</v>
      </c>
      <c r="F70" s="29" t="s">
        <v>5699</v>
      </c>
    </row>
    <row r="71" spans="5:6" x14ac:dyDescent="0.35">
      <c r="E71" t="s">
        <v>5700</v>
      </c>
      <c r="F71" s="29" t="s">
        <v>5701</v>
      </c>
    </row>
    <row r="72" spans="5:6" x14ac:dyDescent="0.35">
      <c r="E72" t="s">
        <v>3149</v>
      </c>
      <c r="F72" s="29" t="s">
        <v>5641</v>
      </c>
    </row>
    <row r="73" spans="5:6" ht="15" thickBot="1" x14ac:dyDescent="0.4">
      <c r="E73" t="s">
        <v>5251</v>
      </c>
      <c r="F73" s="29" t="s">
        <v>5639</v>
      </c>
    </row>
    <row r="74" spans="5:6" ht="15" thickBot="1" x14ac:dyDescent="0.4">
      <c r="E74" s="24" t="s">
        <v>23</v>
      </c>
      <c r="F74" s="24" t="s">
        <v>5635</v>
      </c>
    </row>
    <row r="75" spans="5:6" x14ac:dyDescent="0.35">
      <c r="E75" t="s">
        <v>5222</v>
      </c>
      <c r="F75" s="29" t="s">
        <v>5650</v>
      </c>
    </row>
    <row r="76" spans="5:6" x14ac:dyDescent="0.35">
      <c r="E76" t="s">
        <v>1773</v>
      </c>
      <c r="F76" s="29" t="s">
        <v>5702</v>
      </c>
    </row>
    <row r="77" spans="5:6" x14ac:dyDescent="0.35">
      <c r="E77" t="s">
        <v>5703</v>
      </c>
      <c r="F77" s="29" t="s">
        <v>5704</v>
      </c>
    </row>
    <row r="78" spans="5:6" x14ac:dyDescent="0.35">
      <c r="E78" t="s">
        <v>5705</v>
      </c>
      <c r="F78" s="29" t="s">
        <v>5706</v>
      </c>
    </row>
    <row r="79" spans="5:6" x14ac:dyDescent="0.35">
      <c r="E79" t="s">
        <v>5707</v>
      </c>
      <c r="F79" s="29" t="s">
        <v>5708</v>
      </c>
    </row>
    <row r="80" spans="5:6" x14ac:dyDescent="0.35">
      <c r="E80" t="s">
        <v>5709</v>
      </c>
      <c r="F80" s="29" t="s">
        <v>5710</v>
      </c>
    </row>
    <row r="81" spans="5:6" x14ac:dyDescent="0.35">
      <c r="E81" t="s">
        <v>5423</v>
      </c>
      <c r="F81" s="29" t="s">
        <v>5661</v>
      </c>
    </row>
    <row r="82" spans="5:6" x14ac:dyDescent="0.35">
      <c r="E82" t="s">
        <v>5711</v>
      </c>
      <c r="F82" s="29" t="s">
        <v>5712</v>
      </c>
    </row>
    <row r="83" spans="5:6" ht="15" thickBot="1" x14ac:dyDescent="0.4">
      <c r="E83" t="s">
        <v>5713</v>
      </c>
      <c r="F83" s="29" t="s">
        <v>5714</v>
      </c>
    </row>
    <row r="84" spans="5:6" ht="23.5" thickBot="1" x14ac:dyDescent="0.4">
      <c r="E84" s="28" t="s">
        <v>5715</v>
      </c>
      <c r="F84" t="s">
        <v>5715</v>
      </c>
    </row>
    <row r="85" spans="5:6" x14ac:dyDescent="0.35">
      <c r="E85" t="s">
        <v>5716</v>
      </c>
      <c r="F85" s="29" t="s">
        <v>5717</v>
      </c>
    </row>
    <row r="86" spans="5:6" x14ac:dyDescent="0.35">
      <c r="E86" t="s">
        <v>5357</v>
      </c>
      <c r="F86" t="s">
        <v>18</v>
      </c>
    </row>
    <row r="87" spans="5:6" x14ac:dyDescent="0.35">
      <c r="E87" t="s">
        <v>5718</v>
      </c>
      <c r="F87" s="29" t="s">
        <v>5719</v>
      </c>
    </row>
    <row r="88" spans="5:6" x14ac:dyDescent="0.35">
      <c r="E88" t="s">
        <v>5720</v>
      </c>
      <c r="F88" s="29" t="s">
        <v>5721</v>
      </c>
    </row>
    <row r="89" spans="5:6" ht="15" thickBot="1" x14ac:dyDescent="0.4">
      <c r="E89" t="s">
        <v>5722</v>
      </c>
      <c r="F89" s="29" t="s">
        <v>5723</v>
      </c>
    </row>
    <row r="90" spans="5:6" ht="15" thickBot="1" x14ac:dyDescent="0.4">
      <c r="E90" s="28" t="s">
        <v>5724</v>
      </c>
      <c r="F90" t="s">
        <v>5724</v>
      </c>
    </row>
    <row r="91" spans="5:6" ht="15" thickBot="1" x14ac:dyDescent="0.4">
      <c r="E91" s="28" t="s">
        <v>5470</v>
      </c>
      <c r="F91" t="s">
        <v>5470</v>
      </c>
    </row>
    <row r="92" spans="5:6" ht="23.5" thickBot="1" x14ac:dyDescent="0.4">
      <c r="E92" s="28" t="s">
        <v>5725</v>
      </c>
      <c r="F92" t="s">
        <v>5725</v>
      </c>
    </row>
    <row r="93" spans="5:6" ht="15" thickBot="1" x14ac:dyDescent="0.4">
      <c r="E93" t="s">
        <v>5726</v>
      </c>
      <c r="F93" s="29" t="s">
        <v>5636</v>
      </c>
    </row>
    <row r="94" spans="5:6" ht="23.5" thickBot="1" x14ac:dyDescent="0.4">
      <c r="E94" s="28" t="s">
        <v>5727</v>
      </c>
      <c r="F94" t="s">
        <v>5727</v>
      </c>
    </row>
    <row r="95" spans="5:6" ht="15" thickBot="1" x14ac:dyDescent="0.4">
      <c r="E95" t="s">
        <v>5728</v>
      </c>
      <c r="F95" s="29" t="s">
        <v>5729</v>
      </c>
    </row>
    <row r="96" spans="5:6" ht="15" thickBot="1" x14ac:dyDescent="0.4">
      <c r="E96" s="28" t="s">
        <v>5730</v>
      </c>
      <c r="F96" t="s">
        <v>5730</v>
      </c>
    </row>
    <row r="97" spans="5:6" x14ac:dyDescent="0.35">
      <c r="E97" t="s">
        <v>5731</v>
      </c>
      <c r="F97" s="29" t="s">
        <v>5732</v>
      </c>
    </row>
  </sheetData>
  <dataValidations count="1">
    <dataValidation type="list" allowBlank="1" showInputMessage="1" showErrorMessage="1" sqref="B4:B7" xr:uid="{B972B185-CC0C-4B38-B795-9C0F891D94CD}">
      <formula1>impact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Import File</vt:lpstr>
      <vt:lpstr>Matrix</vt:lpstr>
      <vt:lpstr>Input 1 CMDB</vt:lpstr>
      <vt:lpstr>Input 2 Ticket</vt:lpstr>
      <vt:lpstr>Filtered Data</vt:lpstr>
      <vt:lpstr>Matrix Formula</vt:lpstr>
      <vt:lpstr>Data Mapping</vt:lpstr>
      <vt:lpstr>'Filtered Data'!Criteria</vt:lpstr>
      <vt:lpstr>'Filtered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Mohapatra, Debashis</dc:creator>
  <cp:lastModifiedBy>Mohapatra, Debashis</cp:lastModifiedBy>
  <dcterms:created xsi:type="dcterms:W3CDTF">2021-08-02T16:09:49Z</dcterms:created>
  <dcterms:modified xsi:type="dcterms:W3CDTF">2022-05-20T07:45:43Z</dcterms:modified>
</cp:coreProperties>
</file>